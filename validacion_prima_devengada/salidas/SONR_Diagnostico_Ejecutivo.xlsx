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talle por ramo" sheetId="2" state="visible" r:id="rId4"/>
    <sheet name="Por qué el IS" sheetId="3" state="visible" r:id="rId5"/>
    <sheet name="Alerta · Tipo de cambio" sheetId="4" state="visible" r:id="rId6"/>
  </sheets>
  <definedNames>
    <definedName function="false" hidden="false" localSheetId="3" name="_xlnm.Print_Area" vbProcedure="false">'Alerta · Tipo de cambio'!$A$1:$J$22</definedName>
    <definedName function="false" hidden="false" localSheetId="1" name="_xlnm.Print_Area" vbProcedure="false">'Detalle por ramo'!$A$1:$N$32</definedName>
    <definedName function="false" hidden="false" localSheetId="2" name="_xlnm.Print_Area" vbProcedure="false">'Por qué el IS'!$A$1:$L$33</definedName>
    <definedName function="false" hidden="false" localSheetId="0" name="_xlnm.Print_Area" vbProcedure="false">Resumen!$A$1:$J$28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<sst xmlns="http://schemas.openxmlformats.org/spreadsheetml/2006/main" count="166" uniqueCount="125">
  <si>
    <t xml:space="preserve">RESERVA SONR · POR QUÉ EL INSUMO QUE NECESITA AJUSTE ES EL IS</t>
  </si>
  <si>
    <t xml:space="preserve">Reaseguradora Patria · Planeación Financiera (BP&amp;A) · Ventana 202601–202607 · Escenario 2, BEL riesgo, USD</t>
  </si>
  <si>
    <t xml:space="preserve">El modelo de devengamiento (FND) ya llevó el RRC a la meta. El SONR no llega, y no puede llegar por ahí: el 78% de esa reserva viene de cohortes que el FND no toca. El único factor con capacidad de mover el nivel es el IS, y el ajuste que haría falta es de −14% en promedio ponderado.</t>
  </si>
  <si>
    <t xml:space="preserve">RRC</t>
  </si>
  <si>
    <t xml:space="preserve">SONR</t>
  </si>
  <si>
    <t xml:space="preserve">IS</t>
  </si>
  <si>
    <t xml:space="preserve">Desviación con el δ recalibrado</t>
  </si>
  <si>
    <t xml:space="preserve">Desviación de la proyección</t>
  </si>
  <si>
    <t xml:space="preserve">Ajuste necesario al IS</t>
  </si>
  <si>
    <t xml:space="preserve">EN META</t>
  </si>
  <si>
    <t xml:space="preserve">FUERA DE META</t>
  </si>
  <si>
    <t xml:space="preserve">ACCIÓN REQUERIDA</t>
  </si>
  <si>
    <t xml:space="preserve">EL RAZONAMIENTO, EN TRES PASOS</t>
  </si>
  <si>
    <t xml:space="preserve">1</t>
  </si>
  <si>
    <t xml:space="preserve">El SONR es un producto de tres factores</t>
  </si>
  <si>
    <t xml:space="preserve">BEL = Prima Devengada × LAG × IS. Verificado contra la corrida real: la reconstrucción es exacta.</t>
  </si>
  <si>
    <t xml:space="preserve">2</t>
  </si>
  <si>
    <t xml:space="preserve">El FND sólo alcanza al 22% de la base</t>
  </si>
  <si>
    <t xml:space="preserve">Sólo mueve prima registrada en los últimos 12 meses. El 78% del SONR viene de cohortes anteriores, donde el FND vale cero en las dos metodologías. Medido: barriendo δ en todo su rango, Incendio se mueve sólo entre 1.188 y 1.234.</t>
  </si>
  <si>
    <t xml:space="preserve">3</t>
  </si>
  <si>
    <t xml:space="preserve">El ajuste que falta está fuera del rango del IS</t>
  </si>
  <si>
    <t xml:space="preserve">En los cinco ramos que pesan el 92%, el IS tendría que bajar entre 10% y 17%, por debajo del mínimo que el propio IS toma en cualquier mes de 2026. No es ruido: es nivel.</t>
  </si>
  <si>
    <t xml:space="preserve">QUÉ SE NECESITA</t>
  </si>
  <si>
    <t xml:space="preserve">#</t>
  </si>
  <si>
    <t xml:space="preserve">Acción</t>
  </si>
  <si>
    <t xml:space="preserve">Responsable</t>
  </si>
  <si>
    <t xml:space="preserve">Prioridad</t>
  </si>
  <si>
    <t xml:space="preserve">Por qué</t>
  </si>
  <si>
    <t xml:space="preserve">Cargar el tipo de cambio de septiembre a diciembre</t>
  </si>
  <si>
    <t xml:space="preserve">Planeación Financiera</t>
  </si>
  <si>
    <t xml:space="preserve">Inmediato</t>
  </si>
  <si>
    <t xml:space="preserve">Sin él, el SONR de esos cuatro meses sale en CERO y el cierre anual no es utilizable. Ver la hoja de alerta.</t>
  </si>
  <si>
    <t xml:space="preserve">Reconciliar el IS con la base de prima</t>
  </si>
  <si>
    <t xml:space="preserve">Área actuarial</t>
  </si>
  <si>
    <t xml:space="preserve">Alta</t>
  </si>
  <si>
    <t xml:space="preserve">El IS entregado, aplicado a la prima que produce nuestra consulta, tendría que bajar entre 10% y 17% en los ramos que pesan el 93%. Uno de los dos tiene que ajustarse.</t>
  </si>
  <si>
    <t xml:space="preserve">Revisar los parámetros de los ramos 39 y 35</t>
  </si>
  <si>
    <t xml:space="preserve">El ramo 39 proyecta 4.6 veces el real: su curva de desarrollo no reporta nada durante cuatro años y su IS está congelado en 0.1063 todo el año. Ahí el parámetro está roto, no el nivel.</t>
  </si>
  <si>
    <t xml:space="preserve">4</t>
  </si>
  <si>
    <t xml:space="preserve">Mantener el δ recalibrado en el RRC</t>
  </si>
  <si>
    <t xml:space="preserve">Hecho</t>
  </si>
  <si>
    <t xml:space="preserve">Lleva el RRC de +9.3% a +0.2%, y no empeora el SONR.</t>
  </si>
  <si>
    <t xml:space="preserve">Nota de método: todas las cifras salen de la corrida del propio script (SONR_esc.xlsx y el volcado de Metodo_propio), contrastadas contra el cierre real de SAP. Las celdas verdes son fórmulas vivas: si cambias el real o la proyección en «Detalle por ramo», todo lo demás se recalcula.</t>
  </si>
  <si>
    <t xml:space="preserve">DETALLE POR RAMO · SONR proyectado contra real</t>
  </si>
  <si>
    <t xml:space="preserve">Escenario 2, BEL riesgo, en dólares. Ventana 202601–202607, que son los meses con cierre real disponible. El «IS que cuadraría» es el que haría que la proyección igualara al real: IS actual ÷ razón.</t>
  </si>
  <si>
    <t xml:space="preserve">Ramo</t>
  </si>
  <si>
    <t xml:space="preserve">Nombre del ramo</t>
  </si>
  <si>
    <t xml:space="preserve">SONR real
(M USD)</t>
  </si>
  <si>
    <t xml:space="preserve">SONR proyectado
(M USD)</t>
  </si>
  <si>
    <t xml:space="preserve">Razón
proy / real</t>
  </si>
  <si>
    <t xml:space="preserve">Desviación</t>
  </si>
  <si>
    <t xml:space="preserve">IS actual</t>
  </si>
  <si>
    <t xml:space="preserve">IS que
cuadraría</t>
  </si>
  <si>
    <t xml:space="preserve">Ajuste al IS</t>
  </si>
  <si>
    <t xml:space="preserve">IS mín
2026</t>
  </si>
  <si>
    <t xml:space="preserve">IS máx
2026</t>
  </si>
  <si>
    <t xml:space="preserve">¿El IS que cuadra
cabe en su rango?</t>
  </si>
  <si>
    <t xml:space="preserve">Diagnóstico</t>
  </si>
  <si>
    <t xml:space="preserve">Incendio</t>
  </si>
  <si>
    <t xml:space="preserve">Nivel del IS</t>
  </si>
  <si>
    <t xml:space="preserve">Marítimo y Transportes</t>
  </si>
  <si>
    <t xml:space="preserve">Vida</t>
  </si>
  <si>
    <t xml:space="preserve">Diversos</t>
  </si>
  <si>
    <t xml:space="preserve">Automóviles</t>
  </si>
  <si>
    <t xml:space="preserve">Responsabilidad Civil</t>
  </si>
  <si>
    <t xml:space="preserve">En meta o cerca</t>
  </si>
  <si>
    <t xml:space="preserve">Accidentes y Enfermedades</t>
  </si>
  <si>
    <t xml:space="preserve">Parámetro roto</t>
  </si>
  <si>
    <t xml:space="preserve">Crédito</t>
  </si>
  <si>
    <t xml:space="preserve">TOTAL</t>
  </si>
  <si>
    <t xml:space="preserve">Indicadores derivados</t>
  </si>
  <si>
    <t xml:space="preserve">Desviación total del SONR</t>
  </si>
  <si>
    <t xml:space="preserve">Ajuste al IS necesario, promedio ponderado de los ramos de «Nivel del IS»</t>
  </si>
  <si>
    <t xml:space="preserve">Peso de esos ramos en el SONR real</t>
  </si>
  <si>
    <t xml:space="preserve">Ramos cuyo IS necesario NO cabe en el rango que el IS recorre en 2026</t>
  </si>
  <si>
    <t xml:space="preserve">Contexto · RRC, la otra metodología</t>
  </si>
  <si>
    <t xml:space="preserve">Ventana 202602–202605, BEL riesgo USD, sin CAT</t>
  </si>
  <si>
    <t xml:space="preserve">Concepto</t>
  </si>
  <si>
    <t xml:space="preserve">M USD</t>
  </si>
  <si>
    <t xml:space="preserve">Razón proy / real</t>
  </si>
  <si>
    <t xml:space="preserve">RRC real</t>
  </si>
  <si>
    <t xml:space="preserve">RRC proyectado con el δ anterior</t>
  </si>
  <si>
    <t xml:space="preserve">RRC proyectado con el δ recalibrado</t>
  </si>
  <si>
    <t xml:space="preserve">Fuente: recalibrar_delta_reforecast.py sobre ConsultaPPTO_RRC 2–5 contra la RRC real.</t>
  </si>
  <si>
    <t xml:space="preserve">POR QUÉ EL INSUMO QUE NECESITA AJUSTE ES EL IS</t>
  </si>
  <si>
    <t xml:space="preserve">PASO 1 · El SONR es el producto de tres factores</t>
  </si>
  <si>
    <t xml:space="preserve">El script calcula, para cada ramo y cada cohorte de suscripción:   BEL = Prima Devengada × LAG × IS. Se verificó contra la corrida real: la reconstrucción cuadra con un error relativo de 1.9e-16, o sea exacta.</t>
  </si>
  <si>
    <t xml:space="preserve">Factor</t>
  </si>
  <si>
    <t xml:space="preserve">Qué es</t>
  </si>
  <si>
    <t xml:space="preserve">¿De dónde viene?</t>
  </si>
  <si>
    <t xml:space="preserve">¿Lo mueve
Planeación?</t>
  </si>
  <si>
    <t xml:space="preserve">Prima Devengada</t>
  </si>
  <si>
    <t xml:space="preserve">La prima que el reaseguro tomó, devengada.
Sale de nuestra propia consulta.</t>
  </si>
  <si>
    <t xml:space="preserve">El FND sólo la toca en los últimos 12 meses</t>
  </si>
  <si>
    <t xml:space="preserve">Parcial</t>
  </si>
  <si>
    <t xml:space="preserve">LAG</t>
  </si>
  <si>
    <t xml:space="preserve">Qué fracción de la siniestralidad aún no se reporta,
por año de desarrollo.</t>
  </si>
  <si>
    <t xml:space="preserve">Insumo entregado por el área actuarial</t>
  </si>
  <si>
    <t xml:space="preserve">No</t>
  </si>
  <si>
    <t xml:space="preserve">Índice de siniestralidad: siniestros esperados
por cada peso de prima devengada.</t>
  </si>
  <si>
    <t xml:space="preserve">PASO 2 · El FND no alcanza: el 78% del SONR viene de cohortes que no puede tocar</t>
  </si>
  <si>
    <t xml:space="preserve">El FND sólo cambia la prima registrada en los últimos 12 meses. Ese tramo vive casi todo en la cohorte 1. Las cohortes 2 en adelante son negocio de años anteriores, donde el FND vale cero en las dos metodologías.</t>
  </si>
  <si>
    <t xml:space="preserve">Cohorte (años de desarrollo)</t>
  </si>
  <si>
    <t xml:space="preserve">% del SONR que aporta</t>
  </si>
  <si>
    <t xml:space="preserve">¿El FND puede moverla?</t>
  </si>
  <si>
    <t xml:space="preserve">Sí</t>
  </si>
  <si>
    <t xml:space="preserve">Consecuencia medida: barriendo δ de −0.60 a +0.95 —todo el rango imaginable— el SONR de Incendio sólo se mueve entre 1.188 y 1.234. Nunca llega a 1.05. Diversos se mueve menos de un punto.</t>
  </si>
  <si>
    <t xml:space="preserve">PASO 3 · El ajuste que hace falta está fuera del rango que el IS recorre en el año</t>
  </si>
  <si>
    <t xml:space="preserve">Si Prima Devengada y LAG estuvieran bien, el IS tendría que bajar entre 10% y 17% en los cinco ramos pesados. Ese valor queda por debajo del mínimo que el propio IS toma en cualquier mes de 2026: no es ruido del mes, es nivel.</t>
  </si>
  <si>
    <t xml:space="preserve">¿Cabe en
el rango?</t>
  </si>
  <si>
    <t xml:space="preserve">Lectura: el IS y la base de prima no están calibrados uno contra el otro. O el IS se estimó sobre otra base de prima, o la que arma nuestra consulta es 10–17% mayor que la que el IS supone. No es que uno de los dos esté mal por separado: son inconsistentes entre sí.</t>
  </si>
  <si>
    <t xml:space="preserve">ALERTA · EL SONR DE SEPTIEMBRE A DICIEMBRE SALE EN CERO</t>
  </si>
  <si>
    <t xml:space="preserve">Hallazgo independiente del tema del IS, y de mayor impacto: el cierre de diciembre —la reserva de fin de ejercicio— se está reportando en cero. Verificado en la salida cruda del script (SONR_esc.xlsx).</t>
  </si>
  <si>
    <t xml:space="preserve">Mes de valuación</t>
  </si>
  <si>
    <t xml:space="preserve">SONR BEL (M USD)</t>
  </si>
  <si>
    <t xml:space="preserve">La causa, en una línea</t>
  </si>
  <si>
    <t xml:space="preserve">No hay tipo de cambio cargado más allá de 202608. En ConsultaReal la llave «mes de valuación – moneda» no cruza, el tipo de cambio queda vacío y la prima devengada sale vacía. Después, la suma que arma «Prima Dev» convierte un conjunto de vacíos en CERO —no en vacío—, así que la fila sí se escribe, con cero, y nadie recibe un error.</t>
  </si>
  <si>
    <t xml:space="preserve">Qué comprobar y qué hacer</t>
  </si>
  <si>
    <t xml:space="preserve">La prima sí llega</t>
  </si>
  <si>
    <t xml:space="preserve">PmaTomOri suma 972 mil millones de pesos en esos meses y el devengamiento es 1.0. El problema no es la prima ni el FND: es la conversión.</t>
  </si>
  <si>
    <t xml:space="preserve">El insumo que falta</t>
  </si>
  <si>
    <t xml:space="preserve">TablaTCSONR.xlsx y TablaTCRRC.xlsx terminan en 202608, y la tabla de tipos de cambio de la base de valuación tampoco trae septiembre en adelante.</t>
  </si>
  <si>
    <t xml:space="preserve">Cargar los tipos de cambio de septiembre a diciembre y volver a correr. Hasta entonces el cierre anual no es utilizable, y esto pesa más que la desviación del IS.</t>
  </si>
  <si>
    <t xml:space="preserve">Nota sobre el RRC</t>
  </si>
  <si>
    <t xml:space="preserve">El RRC no lo sufre igual: su Base RRC simplemente no genera filas después de 202608, en vez de generarlas en cero. Se nota a simple vista; el del SONR no.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</si>
</sst>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+0.0%;\-0.0%;\-"/>
    <numFmt numFmtId="166" formatCode="#,##0.0"/>
    <numFmt numFmtId="167" formatCode="0.000"/>
    <numFmt numFmtId="168" formatCode="0.0%"/>
    <numFmt numFmtId="169" formatCode="@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2"/>
      <color rgb="FF165C4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6"/>
      <color rgb="FF2E8B57"/>
      <name val="Arial"/>
      <family val="0"/>
      <charset val="1"/>
    </font>
    <font>
      <b val="true"/>
      <sz val="26"/>
      <color rgb="FFB3261E"/>
      <name val="Arial"/>
      <family val="0"/>
      <charset val="1"/>
    </font>
    <font>
      <b val="true"/>
      <sz val="26"/>
      <color rgb="FFC77700"/>
      <name val="Arial"/>
      <family val="0"/>
      <charset val="1"/>
    </font>
    <font>
      <sz val="9"/>
      <color rgb="FF5A5A5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165C4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65C4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9"/>
      <color rgb="FFC77700"/>
      <name val="Arial"/>
      <family val="0"/>
      <charset val="1"/>
    </font>
    <font>
      <b val="true"/>
      <sz val="9"/>
      <color rgb="FF2E8B57"/>
      <name val="Arial"/>
      <family val="0"/>
      <charset val="1"/>
    </font>
    <font>
      <i val="true"/>
      <sz val="8"/>
      <color rgb="FF5A5A5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65C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8B57"/>
      <name val="Arial"/>
      <family val="0"/>
      <charset val="1"/>
    </font>
    <font>
      <b val="true"/>
      <sz val="11"/>
      <color rgb="FFC77700"/>
      <name val="Arial"/>
      <family val="0"/>
      <charset val="1"/>
    </font>
    <font>
      <b val="true"/>
      <sz val="10"/>
      <color rgb="FFC77700"/>
      <name val="Arial"/>
      <family val="0"/>
      <charset val="1"/>
    </font>
    <font>
      <b val="true"/>
      <sz val="11"/>
      <color rgb="FF5A5A5A"/>
      <name val="Arial"/>
      <family val="0"/>
      <charset val="1"/>
    </font>
    <font>
      <b val="true"/>
      <sz val="10"/>
      <color rgb="FF5A5A5A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5A5A5A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65C41"/>
        <bgColor rgb="FF003366"/>
      </patternFill>
    </fill>
    <fill>
      <patternFill patternType="solid">
        <fgColor rgb="FF2E8B57"/>
        <bgColor rgb="FF008080"/>
      </patternFill>
    </fill>
    <fill>
      <patternFill patternType="solid">
        <fgColor rgb="FFE9F3EE"/>
        <bgColor rgb="FFF5F9F7"/>
      </patternFill>
    </fill>
    <fill>
      <patternFill patternType="solid">
        <fgColor rgb="FFB3261E"/>
        <bgColor rgb="FF993366"/>
      </patternFill>
    </fill>
    <fill>
      <patternFill patternType="solid">
        <fgColor rgb="FFC77700"/>
        <bgColor rgb="FF808000"/>
      </patternFill>
    </fill>
    <fill>
      <patternFill patternType="solid">
        <fgColor rgb="FFFFFFFF"/>
        <bgColor rgb="FFF5F9F7"/>
      </patternFill>
    </fill>
    <fill>
      <patternFill patternType="solid">
        <fgColor rgb="FFF5F9F7"/>
        <bgColor rgb="FFFFFFFF"/>
      </patternFill>
    </fill>
    <fill>
      <patternFill patternType="solid">
        <fgColor rgb="FFFFF6E5"/>
        <bgColor rgb="FFF5F9F7"/>
      </patternFill>
    </fill>
    <fill>
      <patternFill patternType="solid">
        <fgColor rgb="FFFDEAE8"/>
        <bgColor rgb="FFFFF6E5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2E8B57"/>
      </left>
      <right/>
      <top style="thin">
        <color rgb="FF2E8B57"/>
      </top>
      <bottom/>
      <diagonal/>
    </border>
    <border diagonalUp="false" diagonalDown="false">
      <left style="thin">
        <color rgb="FF2E8B57"/>
      </left>
      <right style="thin">
        <color rgb="FF2E8B57"/>
      </right>
      <top style="thin">
        <color rgb="FF2E8B57"/>
      </top>
      <bottom style="thin">
        <color rgb="FF2E8B57"/>
      </bottom>
      <diagonal/>
    </border>
    <border diagonalUp="false" diagonalDown="false">
      <left style="thin">
        <color rgb="FFB3261E"/>
      </left>
      <right style="thin">
        <color rgb="FFB3261E"/>
      </right>
      <top style="thin">
        <color rgb="FFB3261E"/>
      </top>
      <bottom style="thin">
        <color rgb="FFB3261E"/>
      </bottom>
      <diagonal/>
    </border>
    <border diagonalUp="false" diagonalDown="false">
      <left style="thin">
        <color rgb="FFC77700"/>
      </left>
      <right style="thin">
        <color rgb="FFC77700"/>
      </right>
      <top style="thin">
        <color rgb="FFC77700"/>
      </top>
      <bottom style="thin">
        <color rgb="FFC77700"/>
      </bottom>
      <diagonal/>
    </border>
    <border diagonalUp="false" diagonalDown="false">
      <left style="thin">
        <color rgb="FFC9DCD2"/>
      </left>
      <right style="thin">
        <color rgb="FFC9DCD2"/>
      </right>
      <top style="thin">
        <color rgb="FFC9DCD2"/>
      </top>
      <bottom style="thin">
        <color rgb="FFC9DCD2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77700"/>
      </left>
      <right/>
      <top style="thin">
        <color rgb="FFC77700"/>
      </top>
      <bottom style="thin">
        <color rgb="FFC77700"/>
      </bottom>
      <diagonal/>
    </border>
    <border diagonalUp="false" diagonalDown="false">
      <left style="thin">
        <color rgb="FF2E8B57"/>
      </left>
      <right/>
      <top style="thin">
        <color rgb="FF2E8B57"/>
      </top>
      <bottom style="thin">
        <color rgb="FF2E8B57"/>
      </bottom>
      <diagonal/>
    </border>
    <border diagonalUp="false" diagonalDown="false">
      <left style="thin">
        <color rgb="FFB3261E"/>
      </left>
      <right/>
      <top style="thin">
        <color rgb="FFB3261E"/>
      </top>
      <bottom style="thin">
        <color rgb="FFB3261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32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5"/>
      <rgbColor rgb="FFE9F3EE"/>
      <rgbColor rgb="FF660066"/>
      <rgbColor rgb="FFFF8080"/>
      <rgbColor rgb="FF0066CC"/>
      <rgbColor rgb="FFC9DC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7"/>
      <rgbColor rgb="FFCCFFCC"/>
      <rgbColor rgb="FFFDEA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77700"/>
      <rgbColor rgb="FF5A5A5A"/>
      <rgbColor rgb="FF969696"/>
      <rgbColor rgb="FF003366"/>
      <rgbColor rgb="FF2E8B57"/>
      <rgbColor rgb="FF003300"/>
      <rgbColor rgb="FF333300"/>
      <rgbColor rgb="FFB3261E"/>
      <rgbColor rgb="FF993366"/>
      <rgbColor rgb="FF333399"/>
      <rgbColor rgb="FF165C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10" min="4" style="0" width="13"/>
    <col collapsed="false" customWidth="true" hidden="false" outlineLevel="0" max="11" min="11" style="0" width="6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24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24" hidden="false" customHeight="true" outlineLevel="0" collapsed="false">
      <c r="B6" s="3"/>
      <c r="C6" s="3"/>
      <c r="D6" s="3"/>
      <c r="E6" s="3"/>
      <c r="F6" s="3"/>
      <c r="G6" s="3"/>
      <c r="H6" s="3"/>
      <c r="I6" s="3"/>
      <c r="J6" s="3"/>
    </row>
    <row r="8" customFormat="false" ht="18" hidden="false" customHeight="true" outlineLevel="0" collapsed="false">
      <c r="B8" s="4" t="s">
        <v>3</v>
      </c>
      <c r="C8" s="4"/>
      <c r="E8" s="5" t="s">
        <v>4</v>
      </c>
      <c r="F8" s="5"/>
      <c r="H8" s="6" t="s">
        <v>5</v>
      </c>
      <c r="I8" s="6"/>
    </row>
    <row r="9" customFormat="false" ht="21.75" hidden="false" customHeight="true" outlineLevel="0" collapsed="false">
      <c r="B9" s="7" t="n">
        <f aca="false">'Detalle por ramo'!G29</f>
        <v>0.00148966000701023</v>
      </c>
      <c r="C9" s="7"/>
      <c r="E9" s="8" t="n">
        <f aca="false">'Detalle por ramo'!I19</f>
        <v>0.186272533301262</v>
      </c>
      <c r="F9" s="8"/>
      <c r="H9" s="9" t="n">
        <f aca="false">'Detalle por ramo'!I20</f>
        <v>-0.14074447230298</v>
      </c>
      <c r="I9" s="9"/>
    </row>
    <row r="10" customFormat="false" ht="21.75" hidden="false" customHeight="true" outlineLevel="0" collapsed="false">
      <c r="B10" s="7"/>
      <c r="C10" s="7"/>
      <c r="E10" s="8"/>
      <c r="F10" s="8"/>
      <c r="H10" s="9"/>
      <c r="I10" s="9"/>
    </row>
    <row r="11" customFormat="false" ht="15" hidden="false" customHeight="false" outlineLevel="0" collapsed="false">
      <c r="B11" s="10" t="s">
        <v>6</v>
      </c>
      <c r="C11" s="10"/>
      <c r="E11" s="11" t="s">
        <v>7</v>
      </c>
      <c r="F11" s="11"/>
      <c r="H11" s="12" t="s">
        <v>8</v>
      </c>
      <c r="I11" s="12"/>
    </row>
    <row r="12" customFormat="false" ht="15.75" hidden="false" customHeight="true" outlineLevel="0" collapsed="false">
      <c r="B12" s="13" t="s">
        <v>9</v>
      </c>
      <c r="C12" s="13"/>
      <c r="E12" s="14" t="s">
        <v>10</v>
      </c>
      <c r="F12" s="14"/>
      <c r="H12" s="15" t="s">
        <v>11</v>
      </c>
      <c r="I12" s="15"/>
    </row>
    <row r="15" customFormat="false" ht="19.5" hidden="false" customHeight="true" outlineLevel="0" collapsed="false">
      <c r="B15" s="16" t="s">
        <v>12</v>
      </c>
      <c r="C15" s="16"/>
      <c r="D15" s="16"/>
      <c r="E15" s="16"/>
      <c r="F15" s="16"/>
      <c r="G15" s="16"/>
      <c r="H15" s="16"/>
      <c r="I15" s="16"/>
      <c r="J15" s="16"/>
    </row>
    <row r="16" customFormat="false" ht="33.75" hidden="false" customHeight="true" outlineLevel="0" collapsed="false">
      <c r="B16" s="17" t="s">
        <v>13</v>
      </c>
      <c r="C16" s="18" t="s">
        <v>14</v>
      </c>
      <c r="D16" s="18"/>
      <c r="E16" s="19" t="s">
        <v>15</v>
      </c>
      <c r="F16" s="19"/>
      <c r="G16" s="19"/>
      <c r="H16" s="19"/>
      <c r="I16" s="19"/>
      <c r="J16" s="19"/>
    </row>
    <row r="17" customFormat="false" ht="33.75" hidden="false" customHeight="true" outlineLevel="0" collapsed="false">
      <c r="B17" s="17" t="s">
        <v>16</v>
      </c>
      <c r="C17" s="20" t="s">
        <v>17</v>
      </c>
      <c r="D17" s="20"/>
      <c r="E17" s="21" t="s">
        <v>18</v>
      </c>
      <c r="F17" s="21"/>
      <c r="G17" s="21"/>
      <c r="H17" s="21"/>
      <c r="I17" s="21"/>
      <c r="J17" s="21"/>
    </row>
    <row r="18" customFormat="false" ht="33.75" hidden="false" customHeight="true" outlineLevel="0" collapsed="false">
      <c r="B18" s="17" t="s">
        <v>19</v>
      </c>
      <c r="C18" s="18" t="s">
        <v>20</v>
      </c>
      <c r="D18" s="18"/>
      <c r="E18" s="19" t="s">
        <v>21</v>
      </c>
      <c r="F18" s="19"/>
      <c r="G18" s="19"/>
      <c r="H18" s="19"/>
      <c r="I18" s="19"/>
      <c r="J18" s="19"/>
    </row>
    <row r="21" customFormat="false" ht="19.5" hidden="false" customHeight="true" outlineLevel="0" collapsed="false">
      <c r="B21" s="16" t="s">
        <v>22</v>
      </c>
      <c r="C21" s="16"/>
      <c r="D21" s="16"/>
      <c r="E21" s="16"/>
      <c r="F21" s="16"/>
      <c r="G21" s="16"/>
      <c r="H21" s="16"/>
      <c r="I21" s="16"/>
      <c r="J21" s="16"/>
    </row>
    <row r="22" customFormat="false" ht="15" hidden="false" customHeight="false" outlineLevel="0" collapsed="false">
      <c r="B22" s="22" t="s">
        <v>23</v>
      </c>
      <c r="C22" s="22" t="s">
        <v>24</v>
      </c>
      <c r="D22" s="22"/>
      <c r="E22" s="22" t="s">
        <v>25</v>
      </c>
      <c r="F22" s="22" t="s">
        <v>26</v>
      </c>
      <c r="G22" s="22" t="s">
        <v>27</v>
      </c>
      <c r="H22" s="22"/>
      <c r="I22" s="22"/>
      <c r="J22" s="22"/>
    </row>
    <row r="23" customFormat="false" ht="31.5" hidden="false" customHeight="true" outlineLevel="0" collapsed="false">
      <c r="B23" s="23" t="s">
        <v>13</v>
      </c>
      <c r="C23" s="24" t="s">
        <v>28</v>
      </c>
      <c r="D23" s="24"/>
      <c r="E23" s="25" t="s">
        <v>29</v>
      </c>
      <c r="F23" s="26" t="s">
        <v>30</v>
      </c>
      <c r="G23" s="19" t="s">
        <v>31</v>
      </c>
      <c r="H23" s="19"/>
      <c r="I23" s="19"/>
      <c r="J23" s="19"/>
    </row>
    <row r="24" customFormat="false" ht="31.5" hidden="false" customHeight="true" outlineLevel="0" collapsed="false">
      <c r="B24" s="27" t="s">
        <v>16</v>
      </c>
      <c r="C24" s="28" t="s">
        <v>32</v>
      </c>
      <c r="D24" s="28"/>
      <c r="E24" s="29" t="s">
        <v>33</v>
      </c>
      <c r="F24" s="30" t="s">
        <v>34</v>
      </c>
      <c r="G24" s="21" t="s">
        <v>35</v>
      </c>
      <c r="H24" s="21"/>
      <c r="I24" s="21"/>
      <c r="J24" s="21"/>
    </row>
    <row r="25" customFormat="false" ht="31.5" hidden="false" customHeight="true" outlineLevel="0" collapsed="false">
      <c r="B25" s="23" t="s">
        <v>19</v>
      </c>
      <c r="C25" s="24" t="s">
        <v>36</v>
      </c>
      <c r="D25" s="24"/>
      <c r="E25" s="25" t="s">
        <v>33</v>
      </c>
      <c r="F25" s="31" t="s">
        <v>34</v>
      </c>
      <c r="G25" s="19" t="s">
        <v>37</v>
      </c>
      <c r="H25" s="19"/>
      <c r="I25" s="19"/>
      <c r="J25" s="19"/>
    </row>
    <row r="26" customFormat="false" ht="31.5" hidden="false" customHeight="true" outlineLevel="0" collapsed="false">
      <c r="B26" s="27" t="s">
        <v>38</v>
      </c>
      <c r="C26" s="28" t="s">
        <v>39</v>
      </c>
      <c r="D26" s="28"/>
      <c r="E26" s="29" t="s">
        <v>29</v>
      </c>
      <c r="F26" s="32" t="s">
        <v>40</v>
      </c>
      <c r="G26" s="21" t="s">
        <v>41</v>
      </c>
      <c r="H26" s="21"/>
      <c r="I26" s="21"/>
      <c r="J26" s="21"/>
    </row>
    <row r="28" customFormat="false" ht="25.5" hidden="false" customHeight="true" outlineLevel="0" collapsed="false">
      <c r="B28" s="33" t="s">
        <v>42</v>
      </c>
      <c r="C28" s="33"/>
      <c r="D28" s="33"/>
      <c r="E28" s="33"/>
      <c r="F28" s="33"/>
      <c r="G28" s="33"/>
      <c r="H28" s="33"/>
      <c r="I28" s="33"/>
      <c r="J28" s="33"/>
    </row>
  </sheetData>
  <mergeCells count="34">
    <mergeCell ref="B2:J2"/>
    <mergeCell ref="B3:J3"/>
    <mergeCell ref="B5:J6"/>
    <mergeCell ref="B8:C8"/>
    <mergeCell ref="E8:F8"/>
    <mergeCell ref="H8:I8"/>
    <mergeCell ref="B9:C10"/>
    <mergeCell ref="E9:F10"/>
    <mergeCell ref="H9:I10"/>
    <mergeCell ref="B11:C11"/>
    <mergeCell ref="E11:F11"/>
    <mergeCell ref="H11:I11"/>
    <mergeCell ref="B12:C12"/>
    <mergeCell ref="E12:F12"/>
    <mergeCell ref="H12:I12"/>
    <mergeCell ref="B15:J15"/>
    <mergeCell ref="C16:D16"/>
    <mergeCell ref="E16:J16"/>
    <mergeCell ref="C17:D17"/>
    <mergeCell ref="E17:J17"/>
    <mergeCell ref="C18:D18"/>
    <mergeCell ref="E18:J18"/>
    <mergeCell ref="B21:J21"/>
    <mergeCell ref="C22:D22"/>
    <mergeCell ref="G22:J22"/>
    <mergeCell ref="C23:D23"/>
    <mergeCell ref="G23:J23"/>
    <mergeCell ref="C24:D24"/>
    <mergeCell ref="G24:J24"/>
    <mergeCell ref="C25:D25"/>
    <mergeCell ref="G25:J25"/>
    <mergeCell ref="C26:D26"/>
    <mergeCell ref="G26:J26"/>
    <mergeCell ref="B28:J2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2" min="11" style="0" width="9"/>
    <col collapsed="false" customWidth="true" hidden="false" outlineLevel="0" max="14" min="13" style="0" width="18"/>
  </cols>
  <sheetData>
    <row r="2" customFormat="false" ht="25.5" hidden="false" customHeight="true" outlineLevel="0" collapsed="false">
      <c r="B2" s="34" t="s">
        <v>43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customFormat="false" ht="25.5" hidden="false" customHeight="true" outlineLevel="0" collapsed="false">
      <c r="B3" s="35" t="s">
        <v>44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5" customFormat="false" ht="33.75" hidden="false" customHeight="true" outlineLevel="0" collapsed="false">
      <c r="B5" s="36" t="s">
        <v>45</v>
      </c>
      <c r="C5" s="36" t="s">
        <v>46</v>
      </c>
      <c r="D5" s="36" t="s">
        <v>47</v>
      </c>
      <c r="E5" s="36" t="s">
        <v>48</v>
      </c>
      <c r="F5" s="36" t="s">
        <v>49</v>
      </c>
      <c r="G5" s="36" t="s">
        <v>50</v>
      </c>
      <c r="H5" s="36" t="s">
        <v>51</v>
      </c>
      <c r="I5" s="36" t="s">
        <v>52</v>
      </c>
      <c r="J5" s="36" t="s">
        <v>53</v>
      </c>
      <c r="K5" s="36" t="s">
        <v>54</v>
      </c>
      <c r="L5" s="36" t="s">
        <v>55</v>
      </c>
      <c r="M5" s="36" t="s">
        <v>56</v>
      </c>
      <c r="N5" s="36" t="s">
        <v>57</v>
      </c>
    </row>
    <row r="6" customFormat="false" ht="15" hidden="false" customHeight="false" outlineLevel="0" collapsed="false">
      <c r="B6" s="37" t="n">
        <v>60</v>
      </c>
      <c r="C6" s="38" t="s">
        <v>58</v>
      </c>
      <c r="D6" s="39" t="n">
        <v>781.6306</v>
      </c>
      <c r="E6" s="39" t="n">
        <v>947.0695</v>
      </c>
      <c r="F6" s="40" t="n">
        <f aca="false">IF(D6=0,"",E6/D6)</f>
        <v>1.21165867866483</v>
      </c>
      <c r="G6" s="41" t="n">
        <f aca="false">IF(F6="","",F6-1)</f>
        <v>0.211658678664832</v>
      </c>
      <c r="H6" s="40" t="n">
        <v>0.494616</v>
      </c>
      <c r="I6" s="40" t="n">
        <f aca="false">IF(F6="","",H6/F6)</f>
        <v>0.408213970410408</v>
      </c>
      <c r="J6" s="41" t="n">
        <f aca="false">IF(I6="","",I6/H6-1)</f>
        <v>-0.174685067991314</v>
      </c>
      <c r="K6" s="40" t="n">
        <v>0.463219</v>
      </c>
      <c r="L6" s="40" t="n">
        <v>0.525705</v>
      </c>
      <c r="M6" s="37" t="str">
        <f aca="false">IF(I6="","",IF(AND(I6&gt;=K6,I6&lt;=L6),"Sí","No"))</f>
        <v>No</v>
      </c>
      <c r="N6" s="31" t="s">
        <v>59</v>
      </c>
    </row>
    <row r="7" customFormat="false" ht="15" hidden="false" customHeight="false" outlineLevel="0" collapsed="false">
      <c r="B7" s="42" t="n">
        <v>50</v>
      </c>
      <c r="C7" s="43" t="s">
        <v>60</v>
      </c>
      <c r="D7" s="44" t="n">
        <v>484.3106</v>
      </c>
      <c r="E7" s="44" t="n">
        <v>554.0311</v>
      </c>
      <c r="F7" s="45" t="n">
        <f aca="false">IF(D7=0,"",E7/D7)</f>
        <v>1.14395823671834</v>
      </c>
      <c r="G7" s="46" t="n">
        <f aca="false">IF(F7="","",F7-1)</f>
        <v>0.143958236718337</v>
      </c>
      <c r="H7" s="45" t="n">
        <v>0.77145</v>
      </c>
      <c r="I7" s="45" t="n">
        <f aca="false">IF(F7="","",H7/F7)</f>
        <v>0.674369024356214</v>
      </c>
      <c r="J7" s="46" t="n">
        <f aca="false">IF(I7="","",I7/H7-1)</f>
        <v>-0.125842213550828</v>
      </c>
      <c r="K7" s="45" t="n">
        <v>0.677071</v>
      </c>
      <c r="L7" s="45" t="n">
        <v>1.0121</v>
      </c>
      <c r="M7" s="42" t="str">
        <f aca="false">IF(I7="","",IF(AND(I7&gt;=K7,I7&lt;=L7),"Sí","No"))</f>
        <v>No</v>
      </c>
      <c r="N7" s="30" t="s">
        <v>59</v>
      </c>
    </row>
    <row r="8" customFormat="false" ht="15" hidden="false" customHeight="false" outlineLevel="0" collapsed="false">
      <c r="B8" s="37" t="n">
        <v>10</v>
      </c>
      <c r="C8" s="38" t="s">
        <v>61</v>
      </c>
      <c r="D8" s="39" t="n">
        <v>269.5091</v>
      </c>
      <c r="E8" s="39" t="n">
        <v>301.0093</v>
      </c>
      <c r="F8" s="40" t="n">
        <f aca="false">IF(D8=0,"",E8/D8)</f>
        <v>1.1168799124037</v>
      </c>
      <c r="G8" s="41" t="n">
        <f aca="false">IF(F8="","",F8-1)</f>
        <v>0.1168799124037</v>
      </c>
      <c r="H8" s="40" t="n">
        <v>0.840814</v>
      </c>
      <c r="I8" s="40" t="n">
        <f aca="false">IF(F8="","",H8/F8)</f>
        <v>0.752823997156898</v>
      </c>
      <c r="J8" s="41" t="n">
        <f aca="false">IF(I8="","",I8/H8-1)</f>
        <v>-0.104648593913876</v>
      </c>
      <c r="K8" s="40" t="n">
        <v>0.76849</v>
      </c>
      <c r="L8" s="40" t="n">
        <v>0.916569</v>
      </c>
      <c r="M8" s="37" t="str">
        <f aca="false">IF(I8="","",IF(AND(I8&gt;=K8,I8&lt;=L8),"Sí","No"))</f>
        <v>No</v>
      </c>
      <c r="N8" s="31" t="s">
        <v>59</v>
      </c>
    </row>
    <row r="9" customFormat="false" ht="15" hidden="false" customHeight="false" outlineLevel="0" collapsed="false">
      <c r="B9" s="42" t="n">
        <v>110</v>
      </c>
      <c r="C9" s="43" t="s">
        <v>62</v>
      </c>
      <c r="D9" s="44" t="n">
        <v>263.807</v>
      </c>
      <c r="E9" s="44" t="n">
        <v>300.7269</v>
      </c>
      <c r="F9" s="45" t="n">
        <f aca="false">IF(D9=0,"",E9/D9)</f>
        <v>1.13995041829823</v>
      </c>
      <c r="G9" s="46" t="n">
        <f aca="false">IF(F9="","",F9-1)</f>
        <v>0.139950418298226</v>
      </c>
      <c r="H9" s="45" t="n">
        <v>0.670353</v>
      </c>
      <c r="I9" s="45" t="n">
        <f aca="false">IF(F9="","",H9/F9)</f>
        <v>0.588054523459657</v>
      </c>
      <c r="J9" s="46" t="n">
        <f aca="false">IF(I9="","",I9/H9-1)</f>
        <v>-0.122768864374953</v>
      </c>
      <c r="K9" s="45" t="n">
        <v>0.607958</v>
      </c>
      <c r="L9" s="45" t="n">
        <v>0.718422</v>
      </c>
      <c r="M9" s="42" t="str">
        <f aca="false">IF(I9="","",IF(AND(I9&gt;=K9,I9&lt;=L9),"Sí","No"))</f>
        <v>No</v>
      </c>
      <c r="N9" s="30" t="s">
        <v>59</v>
      </c>
    </row>
    <row r="10" customFormat="false" ht="15" hidden="false" customHeight="false" outlineLevel="0" collapsed="false">
      <c r="B10" s="37" t="n">
        <v>90</v>
      </c>
      <c r="C10" s="38" t="s">
        <v>63</v>
      </c>
      <c r="D10" s="39" t="n">
        <v>149.2194</v>
      </c>
      <c r="E10" s="39" t="n">
        <v>167.3425</v>
      </c>
      <c r="F10" s="40" t="n">
        <f aca="false">IF(D10=0,"",E10/D10)</f>
        <v>1.12145270655156</v>
      </c>
      <c r="G10" s="41" t="n">
        <f aca="false">IF(F10="","",F10-1)</f>
        <v>0.121452706551561</v>
      </c>
      <c r="H10" s="40" t="n">
        <v>0.73058</v>
      </c>
      <c r="I10" s="40" t="n">
        <f aca="false">IF(F10="","",H10/F10)</f>
        <v>0.651458590925796</v>
      </c>
      <c r="J10" s="41" t="n">
        <f aca="false">IF(I10="","",I10/H10-1)</f>
        <v>-0.108299445747494</v>
      </c>
      <c r="K10" s="40" t="n">
        <v>0.671932</v>
      </c>
      <c r="L10" s="40" t="n">
        <v>0.81509</v>
      </c>
      <c r="M10" s="37" t="str">
        <f aca="false">IF(I10="","",IF(AND(I10&gt;=K10,I10&lt;=L10),"Sí","No"))</f>
        <v>No</v>
      </c>
      <c r="N10" s="31" t="s">
        <v>59</v>
      </c>
    </row>
    <row r="11" customFormat="false" ht="15" hidden="false" customHeight="false" outlineLevel="0" collapsed="false">
      <c r="B11" s="42" t="n">
        <v>40</v>
      </c>
      <c r="C11" s="43" t="s">
        <v>64</v>
      </c>
      <c r="D11" s="44" t="n">
        <v>115.2322</v>
      </c>
      <c r="E11" s="44" t="n">
        <v>120.6909</v>
      </c>
      <c r="F11" s="45" t="n">
        <f aca="false">IF(D11=0,"",E11/D11)</f>
        <v>1.04737130767268</v>
      </c>
      <c r="G11" s="46" t="n">
        <f aca="false">IF(F11="","",F11-1)</f>
        <v>0.0473713076726816</v>
      </c>
      <c r="H11" s="45" t="n">
        <v>0.528709</v>
      </c>
      <c r="I11" s="45" t="n">
        <f aca="false">IF(F11="","",H11/F11)</f>
        <v>0.504796146435233</v>
      </c>
      <c r="J11" s="46" t="n">
        <f aca="false">IF(I11="","",I11/H11-1)</f>
        <v>-0.045228762069054</v>
      </c>
      <c r="K11" s="45" t="n">
        <v>0.449696</v>
      </c>
      <c r="L11" s="45" t="n">
        <v>0.6297</v>
      </c>
      <c r="M11" s="42" t="str">
        <f aca="false">IF(I11="","",IF(AND(I11&gt;=K11,I11&lt;=L11),"Sí","No"))</f>
        <v>Sí</v>
      </c>
      <c r="N11" s="47" t="s">
        <v>65</v>
      </c>
    </row>
    <row r="12" customFormat="false" ht="15" hidden="false" customHeight="false" outlineLevel="0" collapsed="false">
      <c r="B12" s="37" t="n">
        <v>35</v>
      </c>
      <c r="C12" s="38" t="s">
        <v>66</v>
      </c>
      <c r="D12" s="39" t="n">
        <v>20.3151</v>
      </c>
      <c r="E12" s="39" t="n">
        <v>36.4637</v>
      </c>
      <c r="F12" s="40" t="n">
        <f aca="false">IF(D12=0,"",E12/D12)</f>
        <v>1.79490625199974</v>
      </c>
      <c r="G12" s="41" t="n">
        <f aca="false">IF(F12="","",F12-1)</f>
        <v>0.794906251999744</v>
      </c>
      <c r="H12" s="40" t="n">
        <v>0.847023</v>
      </c>
      <c r="I12" s="40" t="n">
        <f aca="false">IF(F12="","",H12/F12)</f>
        <v>0.471903754893223</v>
      </c>
      <c r="J12" s="41" t="n">
        <f aca="false">IF(I12="","",I12/H12-1)</f>
        <v>-0.442867838425612</v>
      </c>
      <c r="K12" s="40" t="n">
        <v>0.782392</v>
      </c>
      <c r="L12" s="40" t="n">
        <v>0.9646</v>
      </c>
      <c r="M12" s="37" t="str">
        <f aca="false">IF(I12="","",IF(AND(I12&gt;=K12,I12&lt;=L12),"Sí","No"))</f>
        <v>No</v>
      </c>
      <c r="N12" s="26" t="s">
        <v>67</v>
      </c>
    </row>
    <row r="13" customFormat="false" ht="15" hidden="false" customHeight="false" outlineLevel="0" collapsed="false">
      <c r="B13" s="42" t="n">
        <v>39</v>
      </c>
      <c r="C13" s="43" t="s">
        <v>66</v>
      </c>
      <c r="D13" s="44" t="n">
        <v>13.6224</v>
      </c>
      <c r="E13" s="44" t="n">
        <v>62.9307</v>
      </c>
      <c r="F13" s="45" t="n">
        <f aca="false">IF(D13=0,"",E13/D13)</f>
        <v>4.61964852008457</v>
      </c>
      <c r="G13" s="46" t="n">
        <f aca="false">IF(F13="","",F13-1)</f>
        <v>3.61964852008457</v>
      </c>
      <c r="H13" s="45" t="n">
        <v>0.1063</v>
      </c>
      <c r="I13" s="45" t="n">
        <f aca="false">IF(F13="","",H13/F13)</f>
        <v>0.0230104085923087</v>
      </c>
      <c r="J13" s="46" t="n">
        <f aca="false">IF(I13="","",I13/H13-1)</f>
        <v>-0.783533315218169</v>
      </c>
      <c r="K13" s="45" t="n">
        <v>0.1063</v>
      </c>
      <c r="L13" s="45" t="n">
        <v>0.1063</v>
      </c>
      <c r="M13" s="42" t="str">
        <f aca="false">IF(I13="","",IF(AND(I13&gt;=K13,I13&lt;=L13),"Sí","No"))</f>
        <v>No</v>
      </c>
      <c r="N13" s="48" t="s">
        <v>67</v>
      </c>
    </row>
    <row r="14" customFormat="false" ht="15" hidden="false" customHeight="false" outlineLevel="0" collapsed="false">
      <c r="B14" s="37" t="n">
        <v>31</v>
      </c>
      <c r="C14" s="38" t="s">
        <v>66</v>
      </c>
      <c r="D14" s="39" t="n">
        <v>4.8022</v>
      </c>
      <c r="E14" s="39" t="n">
        <v>4.42</v>
      </c>
      <c r="F14" s="40" t="n">
        <f aca="false">IF(D14=0,"",E14/D14)</f>
        <v>0.92041147807255</v>
      </c>
      <c r="G14" s="41" t="n">
        <f aca="false">IF(F14="","",F14-1)</f>
        <v>-0.0795885219274499</v>
      </c>
      <c r="H14" s="40" t="n">
        <v>0.569752</v>
      </c>
      <c r="I14" s="40" t="n">
        <f aca="false">IF(F14="","",H14/F14)</f>
        <v>0.619018790588235</v>
      </c>
      <c r="J14" s="41" t="n">
        <f aca="false">IF(I14="","",I14/H14-1)</f>
        <v>0.0864705882352941</v>
      </c>
      <c r="K14" s="40" t="n">
        <v>0.37618</v>
      </c>
      <c r="L14" s="40" t="n">
        <v>1.0914</v>
      </c>
      <c r="M14" s="37" t="str">
        <f aca="false">IF(I14="","",IF(AND(I14&gt;=K14,I14&lt;=L14),"Sí","No"))</f>
        <v>Sí</v>
      </c>
      <c r="N14" s="49" t="s">
        <v>65</v>
      </c>
    </row>
    <row r="15" customFormat="false" ht="15" hidden="false" customHeight="false" outlineLevel="0" collapsed="false">
      <c r="B15" s="42" t="n">
        <v>100</v>
      </c>
      <c r="C15" s="43" t="s">
        <v>68</v>
      </c>
      <c r="D15" s="44" t="n">
        <v>1.1879</v>
      </c>
      <c r="E15" s="44" t="n">
        <v>0.8016</v>
      </c>
      <c r="F15" s="45" t="n">
        <f aca="false">IF(D15=0,"",E15/D15)</f>
        <v>0.674804276454247</v>
      </c>
      <c r="G15" s="46" t="n">
        <f aca="false">IF(F15="","",F15-1)</f>
        <v>-0.325195723545753</v>
      </c>
      <c r="H15" s="45" t="n">
        <v>0.0163</v>
      </c>
      <c r="I15" s="45" t="n">
        <f aca="false">IF(F15="","",H15/F15)</f>
        <v>0.0241551521956088</v>
      </c>
      <c r="J15" s="46" t="n">
        <f aca="false">IF(I15="","",I15/H15-1)</f>
        <v>0.481911177644711</v>
      </c>
      <c r="K15" s="45" t="n">
        <v>0.0163</v>
      </c>
      <c r="L15" s="45" t="n">
        <v>0.0163</v>
      </c>
      <c r="M15" s="42" t="str">
        <f aca="false">IF(I15="","",IF(AND(I15&gt;=K15,I15&lt;=L15),"Sí","No"))</f>
        <v>No</v>
      </c>
      <c r="N15" s="48" t="s">
        <v>67</v>
      </c>
    </row>
    <row r="16" customFormat="false" ht="15" hidden="false" customHeight="false" outlineLevel="0" collapsed="false">
      <c r="B16" s="50" t="s">
        <v>69</v>
      </c>
      <c r="C16" s="50"/>
      <c r="D16" s="51" t="n">
        <f aca="false">SUM(D6:D15)</f>
        <v>2103.6365</v>
      </c>
      <c r="E16" s="51" t="n">
        <f aca="false">SUM(E6:E15)</f>
        <v>2495.4862</v>
      </c>
      <c r="F16" s="52" t="n">
        <f aca="false">E16/D16</f>
        <v>1.18627253330126</v>
      </c>
      <c r="G16" s="53" t="n">
        <f aca="false">F16-1</f>
        <v>0.186272533301262</v>
      </c>
      <c r="H16" s="54"/>
      <c r="I16" s="54"/>
      <c r="J16" s="54"/>
      <c r="K16" s="54"/>
      <c r="L16" s="54"/>
      <c r="M16" s="54"/>
      <c r="N16" s="54"/>
    </row>
    <row r="18" customFormat="false" ht="15" hidden="false" customHeight="false" outlineLevel="0" collapsed="false">
      <c r="B18" s="55" t="s">
        <v>70</v>
      </c>
    </row>
    <row r="19" customFormat="false" ht="15" hidden="false" customHeight="false" outlineLevel="0" collapsed="false">
      <c r="B19" s="56" t="s">
        <v>71</v>
      </c>
      <c r="C19" s="56"/>
      <c r="D19" s="56"/>
      <c r="E19" s="56"/>
      <c r="F19" s="56"/>
      <c r="G19" s="56"/>
      <c r="H19" s="56"/>
      <c r="I19" s="57" t="n">
        <f aca="false">F16-1</f>
        <v>0.186272533301262</v>
      </c>
      <c r="J19" s="57"/>
    </row>
    <row r="20" customFormat="false" ht="15" hidden="false" customHeight="false" outlineLevel="0" collapsed="false">
      <c r="B20" s="56" t="s">
        <v>72</v>
      </c>
      <c r="C20" s="56"/>
      <c r="D20" s="56"/>
      <c r="E20" s="56"/>
      <c r="F20" s="56"/>
      <c r="G20" s="56"/>
      <c r="H20" s="56"/>
      <c r="I20" s="57" t="n">
        <f aca="false">SUMPRODUCT(($N$6:$N$15="Nivel del IS")*$D$6:$D$15*$J$6:$J$15)/SUMPRODUCT(($N$6:$N$15="Nivel del IS")*$D$6:$D$15)</f>
        <v>-0.14074447230298</v>
      </c>
      <c r="J20" s="57"/>
    </row>
    <row r="21" customFormat="false" ht="15" hidden="false" customHeight="false" outlineLevel="0" collapsed="false">
      <c r="B21" s="56" t="s">
        <v>73</v>
      </c>
      <c r="C21" s="56"/>
      <c r="D21" s="56"/>
      <c r="E21" s="56"/>
      <c r="F21" s="56"/>
      <c r="G21" s="56"/>
      <c r="H21" s="56"/>
      <c r="I21" s="58" t="n">
        <f aca="false">SUMPRODUCT(($N$6:$N$15="Nivel del IS")*$D$6:$D$15)/D16</f>
        <v>0.926242105040486</v>
      </c>
      <c r="J21" s="58"/>
    </row>
    <row r="22" customFormat="false" ht="15" hidden="false" customHeight="false" outlineLevel="0" collapsed="false">
      <c r="B22" s="56" t="s">
        <v>74</v>
      </c>
      <c r="C22" s="56"/>
      <c r="D22" s="56"/>
      <c r="E22" s="56"/>
      <c r="F22" s="56"/>
      <c r="G22" s="56"/>
      <c r="H22" s="56"/>
      <c r="I22" s="59" t="str">
        <f aca="false">COUNTIF(M6:M15,"No")&amp;" de "&amp;COUNTA(M6:M15)</f>
        <v>8 de 10</v>
      </c>
      <c r="J22" s="59"/>
    </row>
    <row r="24" customFormat="false" ht="15" hidden="false" customHeight="false" outlineLevel="0" collapsed="false">
      <c r="B24" s="60" t="s">
        <v>75</v>
      </c>
      <c r="C24" s="60"/>
      <c r="D24" s="60"/>
      <c r="E24" s="60"/>
      <c r="F24" s="60"/>
    </row>
    <row r="25" customFormat="false" ht="15" hidden="false" customHeight="false" outlineLevel="0" collapsed="false">
      <c r="B25" s="61" t="s">
        <v>76</v>
      </c>
      <c r="C25" s="61"/>
      <c r="D25" s="61"/>
      <c r="E25" s="61"/>
      <c r="F25" s="61"/>
    </row>
    <row r="26" customFormat="false" ht="22.35" hidden="false" customHeight="true" outlineLevel="0" collapsed="false">
      <c r="B26" s="36" t="s">
        <v>77</v>
      </c>
      <c r="C26" s="36"/>
      <c r="D26" s="36"/>
      <c r="E26" s="36" t="s">
        <v>78</v>
      </c>
      <c r="F26" s="36" t="s">
        <v>79</v>
      </c>
      <c r="G26" s="36" t="s">
        <v>50</v>
      </c>
    </row>
    <row r="27" customFormat="false" ht="15" hidden="false" customHeight="false" outlineLevel="0" collapsed="false">
      <c r="B27" s="38" t="s">
        <v>80</v>
      </c>
      <c r="C27" s="38"/>
      <c r="D27" s="38"/>
      <c r="E27" s="62" t="n">
        <v>1141.2</v>
      </c>
      <c r="F27" s="63"/>
      <c r="G27" s="63"/>
    </row>
    <row r="28" customFormat="false" ht="15" hidden="false" customHeight="false" outlineLevel="0" collapsed="false">
      <c r="B28" s="43" t="s">
        <v>81</v>
      </c>
      <c r="C28" s="43"/>
      <c r="D28" s="43"/>
      <c r="E28" s="64" t="n">
        <v>1247</v>
      </c>
      <c r="F28" s="65" t="n">
        <f aca="false">E28/E27</f>
        <v>1.09270942867157</v>
      </c>
      <c r="G28" s="66" t="n">
        <f aca="false">F28-1</f>
        <v>0.0927094286715737</v>
      </c>
    </row>
    <row r="29" customFormat="false" ht="15" hidden="false" customHeight="false" outlineLevel="0" collapsed="false">
      <c r="B29" s="67" t="s">
        <v>82</v>
      </c>
      <c r="C29" s="67"/>
      <c r="D29" s="67"/>
      <c r="E29" s="68" t="n">
        <v>1142.9</v>
      </c>
      <c r="F29" s="69" t="n">
        <f aca="false">E29/E27</f>
        <v>1.00148966000701</v>
      </c>
      <c r="G29" s="70" t="n">
        <f aca="false">F29-1</f>
        <v>0.00148966000701023</v>
      </c>
    </row>
    <row r="30" customFormat="false" ht="15" hidden="false" customHeight="false" outlineLevel="0" collapsed="false">
      <c r="B30" s="71" t="s">
        <v>83</v>
      </c>
      <c r="C30" s="71"/>
      <c r="D30" s="71"/>
      <c r="E30" s="71"/>
      <c r="F30" s="71"/>
      <c r="G30" s="71"/>
      <c r="H30" s="71"/>
    </row>
  </sheetData>
  <mergeCells count="18">
    <mergeCell ref="B2:N2"/>
    <mergeCell ref="B3:N3"/>
    <mergeCell ref="B16:C16"/>
    <mergeCell ref="B19:H19"/>
    <mergeCell ref="I19:J19"/>
    <mergeCell ref="B20:H20"/>
    <mergeCell ref="I20:J20"/>
    <mergeCell ref="B21:H21"/>
    <mergeCell ref="I21:J21"/>
    <mergeCell ref="B22:H22"/>
    <mergeCell ref="I22:J22"/>
    <mergeCell ref="B24:F24"/>
    <mergeCell ref="B25:F25"/>
    <mergeCell ref="B26:D26"/>
    <mergeCell ref="B27:D27"/>
    <mergeCell ref="B28:D28"/>
    <mergeCell ref="B29:D29"/>
    <mergeCell ref="B30:H3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1" min="3" style="0" width="13"/>
  </cols>
  <sheetData>
    <row r="2" customFormat="false" ht="25.5" hidden="false" customHeight="true" outlineLevel="0" collapsed="false">
      <c r="B2" s="34" t="s">
        <v>84</v>
      </c>
      <c r="C2" s="34"/>
      <c r="D2" s="34"/>
      <c r="E2" s="34"/>
      <c r="F2" s="34"/>
      <c r="G2" s="34"/>
      <c r="H2" s="34"/>
      <c r="I2" s="34"/>
      <c r="J2" s="34"/>
      <c r="K2" s="34"/>
    </row>
    <row r="4" customFormat="false" ht="19.5" hidden="false" customHeight="true" outlineLevel="0" collapsed="false">
      <c r="B4" s="16" t="s">
        <v>85</v>
      </c>
      <c r="C4" s="16"/>
      <c r="D4" s="16"/>
      <c r="E4" s="16"/>
      <c r="F4" s="16"/>
      <c r="G4" s="16"/>
      <c r="H4" s="16"/>
      <c r="I4" s="16"/>
      <c r="J4" s="16"/>
      <c r="K4" s="16"/>
    </row>
    <row r="5" customFormat="false" ht="27.75" hidden="false" customHeight="true" outlineLevel="0" collapsed="false">
      <c r="B5" s="35" t="s">
        <v>86</v>
      </c>
      <c r="C5" s="35"/>
      <c r="D5" s="35"/>
      <c r="E5" s="35"/>
      <c r="F5" s="35"/>
      <c r="G5" s="35"/>
      <c r="H5" s="35"/>
      <c r="I5" s="35"/>
      <c r="J5" s="35"/>
      <c r="K5" s="35"/>
    </row>
    <row r="7" customFormat="false" ht="27.75" hidden="false" customHeight="true" outlineLevel="0" collapsed="false">
      <c r="B7" s="36" t="s">
        <v>87</v>
      </c>
      <c r="C7" s="36" t="s">
        <v>88</v>
      </c>
      <c r="D7" s="36"/>
      <c r="E7" s="36"/>
      <c r="F7" s="36" t="s">
        <v>89</v>
      </c>
      <c r="G7" s="36"/>
      <c r="H7" s="36"/>
      <c r="I7" s="36" t="s">
        <v>90</v>
      </c>
      <c r="J7" s="36"/>
    </row>
    <row r="8" customFormat="false" ht="31.5" hidden="false" customHeight="true" outlineLevel="0" collapsed="false">
      <c r="B8" s="72" t="s">
        <v>91</v>
      </c>
      <c r="C8" s="19" t="s">
        <v>92</v>
      </c>
      <c r="D8" s="19"/>
      <c r="E8" s="19"/>
      <c r="F8" s="19" t="s">
        <v>93</v>
      </c>
      <c r="G8" s="19"/>
      <c r="H8" s="19"/>
      <c r="I8" s="73" t="s">
        <v>94</v>
      </c>
      <c r="J8" s="73"/>
    </row>
    <row r="9" customFormat="false" ht="31.5" hidden="false" customHeight="true" outlineLevel="0" collapsed="false">
      <c r="B9" s="74" t="s">
        <v>95</v>
      </c>
      <c r="C9" s="21" t="s">
        <v>96</v>
      </c>
      <c r="D9" s="21"/>
      <c r="E9" s="21"/>
      <c r="F9" s="21" t="s">
        <v>97</v>
      </c>
      <c r="G9" s="21"/>
      <c r="H9" s="21"/>
      <c r="I9" s="75" t="s">
        <v>98</v>
      </c>
      <c r="J9" s="75"/>
    </row>
    <row r="10" customFormat="false" ht="31.5" hidden="false" customHeight="true" outlineLevel="0" collapsed="false">
      <c r="B10" s="76" t="s">
        <v>5</v>
      </c>
      <c r="C10" s="19" t="s">
        <v>99</v>
      </c>
      <c r="D10" s="19"/>
      <c r="E10" s="19"/>
      <c r="F10" s="19" t="s">
        <v>97</v>
      </c>
      <c r="G10" s="19"/>
      <c r="H10" s="19"/>
      <c r="I10" s="77" t="s">
        <v>98</v>
      </c>
      <c r="J10" s="77"/>
    </row>
    <row r="12" customFormat="false" ht="19.5" hidden="false" customHeight="true" outlineLevel="0" collapsed="false">
      <c r="B12" s="16" t="s">
        <v>100</v>
      </c>
      <c r="C12" s="16"/>
      <c r="D12" s="16"/>
      <c r="E12" s="16"/>
      <c r="F12" s="16"/>
      <c r="G12" s="16"/>
      <c r="H12" s="16"/>
      <c r="I12" s="16"/>
      <c r="J12" s="16"/>
      <c r="K12" s="16"/>
    </row>
    <row r="13" customFormat="false" ht="27.75" hidden="false" customHeight="true" outlineLevel="0" collapsed="false">
      <c r="B13" s="35" t="s">
        <v>101</v>
      </c>
      <c r="C13" s="35"/>
      <c r="D13" s="35"/>
      <c r="E13" s="35"/>
      <c r="F13" s="35"/>
      <c r="G13" s="35"/>
      <c r="H13" s="35"/>
      <c r="I13" s="35"/>
      <c r="J13" s="35"/>
      <c r="K13" s="35"/>
    </row>
    <row r="15" customFormat="false" ht="15" hidden="false" customHeight="false" outlineLevel="0" collapsed="false">
      <c r="B15" s="78" t="s">
        <v>102</v>
      </c>
      <c r="C15" s="79" t="n">
        <v>1</v>
      </c>
      <c r="D15" s="79" t="n">
        <v>2</v>
      </c>
      <c r="E15" s="79" t="n">
        <v>3</v>
      </c>
      <c r="F15" s="79" t="n">
        <v>4</v>
      </c>
      <c r="G15" s="79" t="n">
        <v>5</v>
      </c>
      <c r="H15" s="79" t="n">
        <v>6</v>
      </c>
      <c r="I15" s="79" t="n">
        <v>7</v>
      </c>
      <c r="J15" s="79" t="n">
        <v>8</v>
      </c>
      <c r="K15" s="79" t="n">
        <v>9</v>
      </c>
      <c r="L15" s="79" t="n">
        <v>10</v>
      </c>
    </row>
    <row r="16" customFormat="false" ht="15" hidden="false" customHeight="false" outlineLevel="0" collapsed="false">
      <c r="B16" s="80" t="s">
        <v>103</v>
      </c>
      <c r="C16" s="81" t="n">
        <v>0.2216</v>
      </c>
      <c r="D16" s="82" t="n">
        <v>0.3743</v>
      </c>
      <c r="E16" s="82" t="n">
        <v>0.2423</v>
      </c>
      <c r="F16" s="82" t="n">
        <v>0.1041</v>
      </c>
      <c r="G16" s="82" t="n">
        <v>0.0321</v>
      </c>
      <c r="H16" s="82" t="n">
        <v>0.0158</v>
      </c>
      <c r="I16" s="82" t="n">
        <v>0.007</v>
      </c>
      <c r="J16" s="82" t="n">
        <v>0.0021</v>
      </c>
      <c r="K16" s="82" t="n">
        <v>0.0007</v>
      </c>
      <c r="L16" s="82" t="n">
        <v>0</v>
      </c>
    </row>
    <row r="17" customFormat="false" ht="15" hidden="false" customHeight="false" outlineLevel="0" collapsed="false">
      <c r="B17" s="80" t="s">
        <v>104</v>
      </c>
      <c r="C17" s="83" t="s">
        <v>105</v>
      </c>
      <c r="D17" s="84" t="s">
        <v>98</v>
      </c>
      <c r="E17" s="84" t="s">
        <v>98</v>
      </c>
      <c r="F17" s="84" t="s">
        <v>98</v>
      </c>
      <c r="G17" s="84" t="s">
        <v>98</v>
      </c>
      <c r="H17" s="84" t="s">
        <v>98</v>
      </c>
      <c r="I17" s="84" t="s">
        <v>98</v>
      </c>
      <c r="J17" s="84" t="s">
        <v>98</v>
      </c>
      <c r="K17" s="84" t="s">
        <v>98</v>
      </c>
      <c r="L17" s="84" t="s">
        <v>98</v>
      </c>
    </row>
    <row r="19" customFormat="false" ht="30" hidden="false" customHeight="true" outlineLevel="0" collapsed="false">
      <c r="B19" s="85" t="s">
        <v>106</v>
      </c>
      <c r="C19" s="85"/>
      <c r="D19" s="85"/>
      <c r="E19" s="85"/>
      <c r="F19" s="85"/>
      <c r="G19" s="85"/>
      <c r="H19" s="85"/>
      <c r="I19" s="85"/>
      <c r="J19" s="85"/>
      <c r="K19" s="85"/>
    </row>
    <row r="22" customFormat="false" ht="19.5" hidden="false" customHeight="true" outlineLevel="0" collapsed="false">
      <c r="B22" s="16" t="s">
        <v>107</v>
      </c>
      <c r="C22" s="16"/>
      <c r="D22" s="16"/>
      <c r="E22" s="16"/>
      <c r="F22" s="16"/>
      <c r="G22" s="16"/>
      <c r="H22" s="16"/>
      <c r="I22" s="16"/>
      <c r="J22" s="16"/>
      <c r="K22" s="16"/>
    </row>
    <row r="23" customFormat="false" ht="27.75" hidden="false" customHeight="true" outlineLevel="0" collapsed="false">
      <c r="B23" s="35" t="s">
        <v>108</v>
      </c>
      <c r="C23" s="35"/>
      <c r="D23" s="35"/>
      <c r="E23" s="35"/>
      <c r="F23" s="35"/>
      <c r="G23" s="35"/>
      <c r="H23" s="35"/>
      <c r="I23" s="35"/>
      <c r="J23" s="35"/>
      <c r="K23" s="35"/>
    </row>
    <row r="25" customFormat="false" ht="30" hidden="false" customHeight="true" outlineLevel="0" collapsed="false">
      <c r="B25" s="36" t="s">
        <v>45</v>
      </c>
      <c r="C25" s="36" t="s">
        <v>51</v>
      </c>
      <c r="D25" s="36" t="s">
        <v>52</v>
      </c>
      <c r="E25" s="36" t="s">
        <v>54</v>
      </c>
      <c r="F25" s="36" t="s">
        <v>55</v>
      </c>
      <c r="G25" s="36" t="s">
        <v>109</v>
      </c>
    </row>
    <row r="26" customFormat="false" ht="15" hidden="false" customHeight="false" outlineLevel="0" collapsed="false">
      <c r="B26" s="38" t="s">
        <v>58</v>
      </c>
      <c r="C26" s="40" t="n">
        <v>0.494616</v>
      </c>
      <c r="D26" s="86" t="n">
        <v>0.408</v>
      </c>
      <c r="E26" s="40" t="n">
        <v>0.463219</v>
      </c>
      <c r="F26" s="40" t="n">
        <v>0.525705</v>
      </c>
      <c r="G26" s="77" t="str">
        <f aca="false">IF(AND(D26&gt;=E26,D26&lt;=F26),"Sí","No")</f>
        <v>No</v>
      </c>
    </row>
    <row r="27" customFormat="false" ht="15" hidden="false" customHeight="false" outlineLevel="0" collapsed="false">
      <c r="B27" s="43" t="s">
        <v>60</v>
      </c>
      <c r="C27" s="45" t="n">
        <v>0.77145</v>
      </c>
      <c r="D27" s="87" t="n">
        <v>0.674</v>
      </c>
      <c r="E27" s="45" t="n">
        <v>0.677071</v>
      </c>
      <c r="F27" s="45" t="n">
        <v>1.0121</v>
      </c>
      <c r="G27" s="88" t="str">
        <f aca="false">IF(AND(D27&gt;=E27,D27&lt;=F27),"Sí","No")</f>
        <v>No</v>
      </c>
    </row>
    <row r="28" customFormat="false" ht="15" hidden="false" customHeight="false" outlineLevel="0" collapsed="false">
      <c r="B28" s="38" t="s">
        <v>62</v>
      </c>
      <c r="C28" s="40" t="n">
        <v>0.670353</v>
      </c>
      <c r="D28" s="86" t="n">
        <v>0.588</v>
      </c>
      <c r="E28" s="40" t="n">
        <v>0.607958</v>
      </c>
      <c r="F28" s="40" t="n">
        <v>0.718422</v>
      </c>
      <c r="G28" s="77" t="str">
        <f aca="false">IF(AND(D28&gt;=E28,D28&lt;=F28),"Sí","No")</f>
        <v>No</v>
      </c>
    </row>
    <row r="29" customFormat="false" ht="15" hidden="false" customHeight="false" outlineLevel="0" collapsed="false">
      <c r="B29" s="43" t="s">
        <v>63</v>
      </c>
      <c r="C29" s="45" t="n">
        <v>0.73058</v>
      </c>
      <c r="D29" s="87" t="n">
        <v>0.651</v>
      </c>
      <c r="E29" s="45" t="n">
        <v>0.671932</v>
      </c>
      <c r="F29" s="45" t="n">
        <v>0.81509</v>
      </c>
      <c r="G29" s="88" t="str">
        <f aca="false">IF(AND(D29&gt;=E29,D29&lt;=F29),"Sí","No")</f>
        <v>No</v>
      </c>
    </row>
    <row r="30" customFormat="false" ht="15" hidden="false" customHeight="false" outlineLevel="0" collapsed="false">
      <c r="B30" s="38" t="s">
        <v>61</v>
      </c>
      <c r="C30" s="40" t="n">
        <v>0.840814</v>
      </c>
      <c r="D30" s="86" t="n">
        <v>0.753</v>
      </c>
      <c r="E30" s="40" t="n">
        <v>0.76849</v>
      </c>
      <c r="F30" s="40" t="n">
        <v>0.916569</v>
      </c>
      <c r="G30" s="77" t="str">
        <f aca="false">IF(AND(D30&gt;=E30,D30&lt;=F30),"Sí","No")</f>
        <v>No</v>
      </c>
    </row>
    <row r="32" customFormat="false" ht="33.75" hidden="false" customHeight="true" outlineLevel="0" collapsed="false">
      <c r="B32" s="89" t="s">
        <v>110</v>
      </c>
      <c r="C32" s="89"/>
      <c r="D32" s="89"/>
      <c r="E32" s="89"/>
      <c r="F32" s="89"/>
      <c r="G32" s="89"/>
      <c r="H32" s="89"/>
      <c r="I32" s="89"/>
      <c r="J32" s="89"/>
      <c r="K32" s="89"/>
    </row>
  </sheetData>
  <mergeCells count="21">
    <mergeCell ref="B2:K2"/>
    <mergeCell ref="B4:K4"/>
    <mergeCell ref="B5:K5"/>
    <mergeCell ref="C7:E7"/>
    <mergeCell ref="F7:H7"/>
    <mergeCell ref="I7:J7"/>
    <mergeCell ref="C8:E8"/>
    <mergeCell ref="F8:H8"/>
    <mergeCell ref="I8:J8"/>
    <mergeCell ref="C9:E9"/>
    <mergeCell ref="F9:H9"/>
    <mergeCell ref="I9:J9"/>
    <mergeCell ref="C10:E10"/>
    <mergeCell ref="F10:H10"/>
    <mergeCell ref="I10:J10"/>
    <mergeCell ref="B12:K12"/>
    <mergeCell ref="B13:K13"/>
    <mergeCell ref="B19:K19"/>
    <mergeCell ref="B22:K22"/>
    <mergeCell ref="B23:K23"/>
    <mergeCell ref="B32:K3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0" min="3" style="0" width="14"/>
  </cols>
  <sheetData>
    <row r="2" customFormat="false" ht="25.5" hidden="false" customHeight="true" outlineLevel="0" collapsed="false">
      <c r="B2" s="90" t="s">
        <v>111</v>
      </c>
      <c r="C2" s="90"/>
      <c r="D2" s="90"/>
      <c r="E2" s="90"/>
      <c r="F2" s="90"/>
      <c r="G2" s="90"/>
      <c r="H2" s="90"/>
      <c r="I2" s="90"/>
      <c r="J2" s="90"/>
    </row>
    <row r="3" customFormat="false" ht="27.75" hidden="false" customHeight="true" outlineLevel="0" collapsed="false">
      <c r="B3" s="91" t="s">
        <v>112</v>
      </c>
      <c r="C3" s="91"/>
      <c r="D3" s="91"/>
      <c r="E3" s="91"/>
      <c r="F3" s="91"/>
      <c r="G3" s="91"/>
      <c r="H3" s="91"/>
      <c r="I3" s="91"/>
      <c r="J3" s="91"/>
    </row>
    <row r="6" customFormat="false" ht="15" hidden="false" customHeight="false" outlineLevel="0" collapsed="false">
      <c r="B6" s="78" t="s">
        <v>113</v>
      </c>
      <c r="C6" s="79" t="n">
        <v>202601</v>
      </c>
      <c r="D6" s="79" t="n">
        <v>202602</v>
      </c>
      <c r="E6" s="79" t="n">
        <v>202603</v>
      </c>
      <c r="F6" s="79" t="n">
        <v>202604</v>
      </c>
      <c r="G6" s="79" t="n">
        <v>202605</v>
      </c>
      <c r="H6" s="79" t="n">
        <v>202606</v>
      </c>
    </row>
    <row r="7" customFormat="false" ht="15" hidden="false" customHeight="false" outlineLevel="0" collapsed="false">
      <c r="B7" s="92" t="s">
        <v>114</v>
      </c>
      <c r="C7" s="93" t="n">
        <v>334.09</v>
      </c>
      <c r="D7" s="93" t="n">
        <v>342.2</v>
      </c>
      <c r="E7" s="93" t="n">
        <v>350.06</v>
      </c>
      <c r="F7" s="93" t="n">
        <v>365.71</v>
      </c>
      <c r="G7" s="93" t="n">
        <v>387.31</v>
      </c>
      <c r="H7" s="93" t="n">
        <v>394.42</v>
      </c>
    </row>
    <row r="9" customFormat="false" ht="15" hidden="false" customHeight="false" outlineLevel="0" collapsed="false">
      <c r="B9" s="78" t="s">
        <v>113</v>
      </c>
      <c r="C9" s="79" t="n">
        <v>202607</v>
      </c>
      <c r="D9" s="79" t="n">
        <v>202608</v>
      </c>
      <c r="E9" s="79" t="n">
        <v>202609</v>
      </c>
      <c r="F9" s="79" t="n">
        <v>202610</v>
      </c>
      <c r="G9" s="79" t="n">
        <v>202611</v>
      </c>
      <c r="H9" s="79" t="n">
        <v>202612</v>
      </c>
    </row>
    <row r="10" customFormat="false" ht="15" hidden="false" customHeight="false" outlineLevel="0" collapsed="false">
      <c r="B10" s="92" t="s">
        <v>114</v>
      </c>
      <c r="C10" s="94" t="n">
        <v>414.28</v>
      </c>
      <c r="D10" s="94" t="n">
        <v>370.97</v>
      </c>
      <c r="E10" s="95" t="n">
        <v>0</v>
      </c>
      <c r="F10" s="95" t="n">
        <v>0</v>
      </c>
      <c r="G10" s="95" t="n">
        <v>0</v>
      </c>
      <c r="H10" s="95" t="n">
        <v>0</v>
      </c>
    </row>
    <row r="13" customFormat="false" ht="19.5" hidden="false" customHeight="true" outlineLevel="0" collapsed="false">
      <c r="B13" s="16" t="s">
        <v>115</v>
      </c>
      <c r="C13" s="16"/>
      <c r="D13" s="16"/>
      <c r="E13" s="16"/>
      <c r="F13" s="16"/>
      <c r="G13" s="16"/>
      <c r="H13" s="16"/>
      <c r="I13" s="16"/>
      <c r="J13" s="16"/>
    </row>
    <row r="14" customFormat="false" ht="45.75" hidden="false" customHeight="true" outlineLevel="0" collapsed="false">
      <c r="B14" s="96" t="s">
        <v>116</v>
      </c>
      <c r="C14" s="96"/>
      <c r="D14" s="96"/>
      <c r="E14" s="96"/>
      <c r="F14" s="96"/>
      <c r="G14" s="96"/>
      <c r="H14" s="96"/>
      <c r="I14" s="96"/>
      <c r="J14" s="96"/>
    </row>
    <row r="17" customFormat="false" ht="19.5" hidden="false" customHeight="true" outlineLevel="0" collapsed="false">
      <c r="B17" s="16" t="s">
        <v>117</v>
      </c>
      <c r="C17" s="16"/>
      <c r="D17" s="16"/>
      <c r="E17" s="16"/>
      <c r="F17" s="16"/>
      <c r="G17" s="16"/>
      <c r="H17" s="16"/>
      <c r="I17" s="16"/>
      <c r="J17" s="16"/>
    </row>
    <row r="18" customFormat="false" ht="30" hidden="false" customHeight="true" outlineLevel="0" collapsed="false">
      <c r="B18" s="97" t="s">
        <v>118</v>
      </c>
      <c r="C18" s="19" t="s">
        <v>119</v>
      </c>
      <c r="D18" s="19"/>
      <c r="E18" s="19"/>
      <c r="F18" s="19"/>
      <c r="G18" s="19"/>
      <c r="H18" s="19"/>
      <c r="I18" s="19"/>
      <c r="J18" s="19"/>
    </row>
    <row r="19" customFormat="false" ht="30" hidden="false" customHeight="true" outlineLevel="0" collapsed="false">
      <c r="B19" s="98" t="s">
        <v>120</v>
      </c>
      <c r="C19" s="21" t="s">
        <v>121</v>
      </c>
      <c r="D19" s="21"/>
      <c r="E19" s="21"/>
      <c r="F19" s="21"/>
      <c r="G19" s="21"/>
      <c r="H19" s="21"/>
      <c r="I19" s="21"/>
      <c r="J19" s="21"/>
    </row>
    <row r="20" customFormat="false" ht="30" hidden="false" customHeight="true" outlineLevel="0" collapsed="false">
      <c r="B20" s="97" t="s">
        <v>24</v>
      </c>
      <c r="C20" s="19" t="s">
        <v>122</v>
      </c>
      <c r="D20" s="19"/>
      <c r="E20" s="19"/>
      <c r="F20" s="19"/>
      <c r="G20" s="19"/>
      <c r="H20" s="19"/>
      <c r="I20" s="19"/>
      <c r="J20" s="19"/>
    </row>
    <row r="21" customFormat="false" ht="30" hidden="false" customHeight="true" outlineLevel="0" collapsed="false">
      <c r="B21" s="98" t="s">
        <v>123</v>
      </c>
      <c r="C21" s="21" t="s">
        <v>124</v>
      </c>
      <c r="D21" s="21"/>
      <c r="E21" s="21"/>
      <c r="F21" s="21"/>
      <c r="G21" s="21"/>
      <c r="H21" s="21"/>
      <c r="I21" s="21"/>
      <c r="J21" s="21"/>
    </row>
  </sheetData>
  <mergeCells count="9">
    <mergeCell ref="B2:J2"/>
    <mergeCell ref="B3:J3"/>
    <mergeCell ref="B13:J13"/>
    <mergeCell ref="B14:J14"/>
    <mergeCell ref="B17:J17"/>
    <mergeCell ref="C18:J18"/>
    <mergeCell ref="C19:J19"/>
    <mergeCell ref="C20:J20"/>
    <mergeCell ref="C21:J2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2026-09-07T16:31:25Z</dcterms:created>
  <dc:creator>openpyxl</dc:creator>
  <dc:description/>
  <dc:language>en-US</dc:language>
  <cp:lastModifiedBy/>
  <dcterms:modified xsi:type="dcterms:W3CDTF">2026-09-07T16:31:26Z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