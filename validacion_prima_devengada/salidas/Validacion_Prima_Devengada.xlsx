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ormulas" sheetId="2" state="visible" r:id="rId2"/>
    <sheet name="Graficas" sheetId="3" state="visible" r:id="rId3"/>
    <sheet name="PD_anual_por_ramo" sheetId="4" state="visible" r:id="rId4"/>
    <sheet name="Ajuste_PND" sheetId="5" state="visible" r:id="rId5"/>
    <sheet name="Calibracion" sheetId="6" state="visible" r:id="rId6"/>
    <sheet name="TablaFND_calibrada" sheetId="7" state="visible" r:id="rId7"/>
    <sheet name="Mensual" sheetId="8" state="visible" r:id="rId8"/>
    <sheet name="Real_parametros" sheetId="9" state="visible" r:id="rId9"/>
    <sheet name="Supues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FFFFFFFF"/>
      <sz val="12"/>
    </font>
    <font>
      <i val="1"/>
      <color rgb="FFFFFFFF"/>
      <sz val="9"/>
    </font>
    <font>
      <b val="1"/>
      <color rgb="FFFFFFFF"/>
    </font>
    <font>
      <name val="Consolas"/>
      <sz val="9"/>
    </font>
    <font>
      <b val="1"/>
      <color rgb="FFA6192E"/>
    </font>
  </fonts>
  <fills count="9">
    <fill>
      <patternFill/>
    </fill>
    <fill>
      <patternFill patternType="gray125"/>
    </fill>
    <fill>
      <patternFill patternType="solid">
        <fgColor rgb="FF00573F"/>
      </patternFill>
    </fill>
    <fill>
      <patternFill patternType="solid">
        <fgColor rgb="FF2E7D53"/>
      </patternFill>
    </fill>
    <fill>
      <patternFill patternType="solid">
        <fgColor rgb="FFF2F2EE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7F6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1" fontId="0" fillId="4" borderId="0" pivotButton="0" quotePrefix="0" xfId="0"/>
    <xf numFmtId="3" fontId="0" fillId="4" borderId="0" pivotButton="0" quotePrefix="0" xfId="0"/>
    <xf numFmtId="10" fontId="5" fillId="4" borderId="0" pivotButton="0" quotePrefix="0" xfId="0"/>
    <xf numFmtId="1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0" fontId="0" fillId="4" borderId="0" pivotButton="0" quotePrefix="0" xfId="0"/>
    <xf numFmtId="10" fontId="5" fillId="0" borderId="0" pivotButton="0" quotePrefix="0" xfId="0"/>
    <xf numFmtId="0" fontId="0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center" wrapText="1"/>
    </xf>
    <xf numFmtId="3" fontId="0" fillId="6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3" fontId="0" fillId="8" borderId="0" pivotButton="0" quotePrefix="0" xfId="0"/>
    <xf numFmtId="1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Prima no devengada: real vs modelo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'Graficas'!C3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'Graficas'!$C$4:$C$44</f>
            </numRef>
          </val>
          <smooth val="0"/>
        </ser>
        <ser>
          <idx val="1"/>
          <order val="1"/>
          <tx>
            <strRef>
              <f>'Graficas'!D3</f>
            </strRef>
          </tx>
          <spPr>
            <a:ln w="20000">
              <a:solidFill>
                <a:srgbClr val="C9A9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'Graficas'!$D$4:$D$44</f>
            </numRef>
          </val>
          <smooth val="0"/>
        </ser>
        <ser>
          <idx val="2"/>
          <order val="2"/>
          <tx>
            <strRef>
              <f>'Graficas'!E3</f>
            </strRef>
          </tx>
          <spPr>
            <a:ln w="20000">
              <a:solidFill>
                <a:srgbClr val="A619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'Graficas'!$E$4:$E$44</f>
            </numRef>
          </val>
          <smooth val="0"/>
        </ser>
        <ser>
          <idx val="3"/>
          <order val="3"/>
          <tx>
            <strRef>
              <f>'Graficas'!F3</f>
            </strRef>
          </tx>
          <spPr>
            <a:ln w="20000">
              <a:solidFill>
                <a:srgbClr val="00573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'Graficas'!$F$4:$F$44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RRC bruta: real vs modelo</a:t>
            </a:r>
          </a:p>
        </rich>
      </tx>
    </title>
    <plotArea>
      <lineChart>
        <grouping val="standard"/>
        <ser>
          <idx val="0"/>
          <order val="0"/>
          <tx>
            <strRef>
              <f>'Graficas'!G3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'Graficas'!$G$4:$G$44</f>
            </numRef>
          </val>
          <smooth val="0"/>
        </ser>
        <ser>
          <idx val="1"/>
          <order val="1"/>
          <tx>
            <strRef>
              <f>'Graficas'!H3</f>
            </strRef>
          </tx>
          <spPr>
            <a:ln w="20000">
              <a:solidFill>
                <a:srgbClr val="C9A9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'Graficas'!$H$4:$H$44</f>
            </numRef>
          </val>
          <smooth val="0"/>
        </ser>
        <ser>
          <idx val="2"/>
          <order val="2"/>
          <tx>
            <strRef>
              <f>'Graficas'!I3</f>
            </strRef>
          </tx>
          <spPr>
            <a:ln w="20000">
              <a:solidFill>
                <a:srgbClr val="A619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'Graficas'!$A$4:$A$44</f>
            </numRef>
          </cat>
          <val>
            <numRef>
              <f>'Graficas'!$I$4:$I$44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validar_prima_devengada</author>
  </authors>
  <commentList>
    <comment ref="C3" authorId="0" shapeId="0">
      <text>
        <t>Año contable = ENTERO(PERIODO/100). PERIODO es el mes de valuación, no el año de suscripción.</t>
      </text>
    </comment>
    <comment ref="E3" authorId="0" shapeId="0">
      <text>
        <t>ces = prima cedida / prima emitida del ER real, por ramo y año contable.</t>
      </text>
    </comment>
    <comment ref="G3" authorId="0" shapeId="0">
      <text>
        <t>IS_eff = BEL_real / PND_real (índice de siniestralidad efectivo del grupo, real del mes).</t>
      </text>
    </comment>
    <comment ref="H3" authorId="0" shapeId="0">
      <text>
        <t>g = 'RRC GTO' / 'RRC BEL' real del mes.</t>
      </text>
    </comment>
    <comment ref="I3" authorId="0" shapeId="0">
      <text>
        <t>mr = 'RRC MR' / 'RRC BEL' real del mes.</t>
      </text>
    </comment>
    <comment ref="J3" authorId="0" shapeId="0">
      <text>
        <t>c = 'RRC IRR' / 'RRC BEL' real del mes.</t>
      </text>
    </comment>
    <comment ref="L3" authorId="0" shapeId="0">
      <text>
        <t>PND real implícita = Σ_subramos BEL_subramo / IS_subramo (base BEL-IRR-MR: 'RRC BEL' y 'Ind Sin RRC' de HParametros Real). En esta hoja equivale a BEL_real / IS_eff. Es el REAL contra el que se compara el modelo.</t>
      </text>
    </comment>
    <comment ref="M3" authorId="0" shapeId="0">
      <text>
        <t>PND calibrado = Σ_registros Prima_USD × FND, con FND = MIN(1, MAX(0, NT[k] − δ_ramo)), k = mes de valuación − mes de registro (proporcional y facultativo); prorrata por cohorte para el no proporcional. Es el MODELO.</t>
      </text>
    </comment>
    <comment ref="N3" authorId="0" shapeId="0">
      <text>
        <t>ratio = PND_CAL / PND_real. 1.00 = el modelo reproduce la reserva real del mes.</t>
      </text>
    </comment>
    <comment ref="P3" authorId="0" shapeId="0">
      <text>
        <t>RRC bruta modelo = PND_CAL × IS_eff × (1 + g + mr).</t>
      </text>
    </comment>
    <comment ref="R3" authorId="0" shapeId="0">
      <text>
        <t>RRC neta modelo = BRUTO_CAL − PND_CAL × IS_eff × c.</t>
      </text>
    </comment>
    <comment ref="W3" authorId="0" shapeId="0">
      <text>
        <t>Prima devengada tomada real = PE − (BRUTO_real del mes − BRUTO_real del mes anterior).</t>
      </text>
    </comment>
    <comment ref="X3" authorId="0" shapeId="0">
      <text>
        <t>Prima devengada tomada modelo = PE − (BRUTO_CAL del mes − BRUTO_CAL del mes anterior).</t>
      </text>
    </comment>
    <comment ref="Y3" authorId="0" shapeId="0">
      <text>
        <t>Prima devengada retenida real = PR − (NETO_real del mes − NETO_real del mes anterior).</t>
      </text>
    </comment>
    <comment ref="Z3" authorId="0" shapeId="0">
      <text>
        <t>Prima devengada retenida modelo = PR − (NETO_CAL del mes − NETO_CAL del mes anterior).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PRIMA DEVENGADA · REAL vs MODELO · TOTAL CARTERA (USD y MXN, sin fianzas) · por AÑO CONTABLE</t>
        </is>
      </c>
    </row>
    <row r="2" ht="30" customHeight="1">
      <c r="A2" s="2" t="inlineStr">
        <is>
          <t>Real: prima emitida − ΔRRC bruta (tomada); prima retenida − ΔRRC neta (retenida), saldos base BEL-IRR-MR. Modelo: misma fórmula con RRC reconstruida = PND_modelo · IS · (1+g+mr) e IRR = BEL·c, con IS, g, mr, c reales. Año contable = año del mes de valuación (PERIODO); 2026 = enero–may. MXN = Δ mensual × TC de cierre. Variante CAL = FND calibrado.</t>
        </is>
      </c>
    </row>
    <row r="3" ht="32" customHeight="1">
      <c r="A3" s="3" t="inlineStr">
        <is>
          <t>Variante</t>
        </is>
      </c>
      <c r="B3" s="3" t="inlineStr">
        <is>
          <t>Lado</t>
        </is>
      </c>
      <c r="C3" s="3" t="inlineStr">
        <is>
          <t>Año contable</t>
        </is>
      </c>
      <c r="D3" s="3" t="inlineStr">
        <is>
          <t>PD_real</t>
        </is>
      </c>
      <c r="E3" s="3" t="inlineStr">
        <is>
          <t>PD_modelo</t>
        </is>
      </c>
      <c r="F3" s="3" t="inlineStr">
        <is>
          <t>error</t>
        </is>
      </c>
      <c r="G3" s="3" t="inlineStr">
        <is>
          <t>err%</t>
        </is>
      </c>
      <c r="H3" s="3" t="inlineStr">
        <is>
          <t>PD_real_MXN</t>
        </is>
      </c>
      <c r="I3" s="3" t="inlineStr">
        <is>
          <t>PD_modelo_MXN</t>
        </is>
      </c>
    </row>
    <row r="4">
      <c r="A4" s="4" t="inlineStr">
        <is>
          <t>NT_reg_m</t>
        </is>
      </c>
      <c r="B4" s="4" t="inlineStr">
        <is>
          <t>Tomada</t>
        </is>
      </c>
      <c r="C4" s="5" t="n">
        <v>2023</v>
      </c>
      <c r="D4" s="6" t="n">
        <v>599937431.777704</v>
      </c>
      <c r="E4" s="6" t="n">
        <v>586536325.268177</v>
      </c>
      <c r="F4" s="6" t="n">
        <v>-13401106.50952697</v>
      </c>
      <c r="G4" s="7" t="n">
        <v>-0.02233750687937156</v>
      </c>
      <c r="H4" s="6" t="n">
        <v>10550833300.26336</v>
      </c>
      <c r="I4" s="6" t="n">
        <v>10323432590.85343</v>
      </c>
    </row>
    <row r="5">
      <c r="A5" t="inlineStr">
        <is>
          <t>NT_reg_m</t>
        </is>
      </c>
      <c r="B5" t="inlineStr">
        <is>
          <t>Tomada</t>
        </is>
      </c>
      <c r="C5" s="8" t="n">
        <v>2024</v>
      </c>
      <c r="D5" s="9" t="n">
        <v>730276465.9539369</v>
      </c>
      <c r="E5" s="9" t="n">
        <v>740550825.1506343</v>
      </c>
      <c r="F5" s="9" t="n">
        <v>10274359.19669735</v>
      </c>
      <c r="G5" s="10" t="n">
        <v>0.01406913638285781</v>
      </c>
      <c r="H5" s="9" t="n">
        <v>13625523913.39193</v>
      </c>
      <c r="I5" s="9" t="n">
        <v>13806668617.3006</v>
      </c>
    </row>
    <row r="6">
      <c r="A6" s="4" t="inlineStr">
        <is>
          <t>NT_reg_m</t>
        </is>
      </c>
      <c r="B6" s="4" t="inlineStr">
        <is>
          <t>Tomada</t>
        </is>
      </c>
      <c r="C6" s="5" t="n">
        <v>2025</v>
      </c>
      <c r="D6" s="6" t="n">
        <v>962221309.4167328</v>
      </c>
      <c r="E6" s="6" t="n">
        <v>966184467.1515241</v>
      </c>
      <c r="F6" s="6" t="n">
        <v>3963157.734791279</v>
      </c>
      <c r="G6" s="11" t="n">
        <v>0.004118759058863096</v>
      </c>
      <c r="H6" s="6" t="n">
        <v>18375244408.48093</v>
      </c>
      <c r="I6" s="6" t="n">
        <v>18479749474.05746</v>
      </c>
    </row>
    <row r="7">
      <c r="A7" t="inlineStr">
        <is>
          <t>NT_reg_m</t>
        </is>
      </c>
      <c r="B7" t="inlineStr">
        <is>
          <t>Tomada</t>
        </is>
      </c>
      <c r="C7" s="8" t="n">
        <v>2026</v>
      </c>
      <c r="D7" s="9" t="n">
        <v>445627606.412671</v>
      </c>
      <c r="E7" s="9" t="n">
        <v>447793016.0275046</v>
      </c>
      <c r="F7" s="9" t="n">
        <v>2165409.614833593</v>
      </c>
      <c r="G7" s="10" t="n">
        <v>0.004859235791663068</v>
      </c>
      <c r="H7" s="9" t="n">
        <v>7782201412.711169</v>
      </c>
      <c r="I7" s="9" t="n">
        <v>7827230194.506352</v>
      </c>
    </row>
    <row r="8">
      <c r="A8" s="4" t="inlineStr">
        <is>
          <t>NT_reg_m</t>
        </is>
      </c>
      <c r="B8" s="4" t="inlineStr">
        <is>
          <t>Retenida</t>
        </is>
      </c>
      <c r="C8" s="5" t="n">
        <v>2023</v>
      </c>
      <c r="D8" s="6" t="n">
        <v>475982479.6867163</v>
      </c>
      <c r="E8" s="6" t="n">
        <v>464690684.7814394</v>
      </c>
      <c r="F8" s="6" t="n">
        <v>-11291794.90527695</v>
      </c>
      <c r="G8" s="7" t="n">
        <v>-0.02372313139069536</v>
      </c>
      <c r="H8" s="6" t="n">
        <v>8370284578.547653</v>
      </c>
      <c r="I8" s="6" t="n">
        <v>8179169021.6582</v>
      </c>
    </row>
    <row r="9">
      <c r="A9" t="inlineStr">
        <is>
          <t>NT_reg_m</t>
        </is>
      </c>
      <c r="B9" t="inlineStr">
        <is>
          <t>Retenida</t>
        </is>
      </c>
      <c r="C9" s="8" t="n">
        <v>2024</v>
      </c>
      <c r="D9" s="9" t="n">
        <v>564694223.9004399</v>
      </c>
      <c r="E9" s="9" t="n">
        <v>574507433.2883152</v>
      </c>
      <c r="F9" s="9" t="n">
        <v>9813209.387875319</v>
      </c>
      <c r="G9" s="10" t="n">
        <v>0.01737791706119074</v>
      </c>
      <c r="H9" s="9" t="n">
        <v>10547606653.96036</v>
      </c>
      <c r="I9" s="9" t="n">
        <v>10724590788.72521</v>
      </c>
    </row>
    <row r="10">
      <c r="A10" s="4" t="inlineStr">
        <is>
          <t>NT_reg_m</t>
        </is>
      </c>
      <c r="B10" s="4" t="inlineStr">
        <is>
          <t>Retenida</t>
        </is>
      </c>
      <c r="C10" s="5" t="n">
        <v>2025</v>
      </c>
      <c r="D10" s="6" t="n">
        <v>695221565.6376227</v>
      </c>
      <c r="E10" s="6" t="n">
        <v>698844337.3455305</v>
      </c>
      <c r="F10" s="6" t="n">
        <v>3622771.707907796</v>
      </c>
      <c r="G10" s="11" t="n">
        <v>0.005210959911154611</v>
      </c>
      <c r="H10" s="6" t="n">
        <v>13277901620.17355</v>
      </c>
      <c r="I10" s="6" t="n">
        <v>13371853353.72483</v>
      </c>
    </row>
    <row r="11">
      <c r="A11" t="inlineStr">
        <is>
          <t>NT_reg_m</t>
        </is>
      </c>
      <c r="B11" t="inlineStr">
        <is>
          <t>Retenida</t>
        </is>
      </c>
      <c r="C11" s="8" t="n">
        <v>2026</v>
      </c>
      <c r="D11" s="9" t="n">
        <v>337304345.4009084</v>
      </c>
      <c r="E11" s="9" t="n">
        <v>339305628.3251823</v>
      </c>
      <c r="F11" s="9" t="n">
        <v>2001282.924273908</v>
      </c>
      <c r="G11" s="10" t="n">
        <v>0.005933166742620087</v>
      </c>
      <c r="H11" s="9" t="n">
        <v>5892188053.2989</v>
      </c>
      <c r="I11" s="9" t="n">
        <v>5932039569.906524</v>
      </c>
    </row>
    <row r="12">
      <c r="A12" s="4" t="inlineStr">
        <is>
          <t>NT_reg_t</t>
        </is>
      </c>
      <c r="B12" s="4" t="inlineStr">
        <is>
          <t>Tomada</t>
        </is>
      </c>
      <c r="C12" s="5" t="n">
        <v>2023</v>
      </c>
      <c r="D12" s="6" t="n">
        <v>599937431.777704</v>
      </c>
      <c r="E12" s="6" t="n">
        <v>592719259.6081907</v>
      </c>
      <c r="F12" s="6" t="n">
        <v>-7218172.169513345</v>
      </c>
      <c r="G12" s="11" t="n">
        <v>-0.01203154160280485</v>
      </c>
      <c r="H12" s="6" t="n">
        <v>10550833300.26336</v>
      </c>
      <c r="I12" s="6" t="n">
        <v>10430426011.8135</v>
      </c>
    </row>
    <row r="13">
      <c r="A13" t="inlineStr">
        <is>
          <t>NT_reg_t</t>
        </is>
      </c>
      <c r="B13" t="inlineStr">
        <is>
          <t>Tomada</t>
        </is>
      </c>
      <c r="C13" s="8" t="n">
        <v>2024</v>
      </c>
      <c r="D13" s="9" t="n">
        <v>730276465.9539369</v>
      </c>
      <c r="E13" s="9" t="n">
        <v>749413857.6284199</v>
      </c>
      <c r="F13" s="9" t="n">
        <v>19137391.67448294</v>
      </c>
      <c r="G13" s="12" t="n">
        <v>0.02620568040554939</v>
      </c>
      <c r="H13" s="9" t="n">
        <v>13625523913.39193</v>
      </c>
      <c r="I13" s="9" t="n">
        <v>13974339470.46996</v>
      </c>
    </row>
    <row r="14">
      <c r="A14" s="4" t="inlineStr">
        <is>
          <t>NT_reg_t</t>
        </is>
      </c>
      <c r="B14" s="4" t="inlineStr">
        <is>
          <t>Tomada</t>
        </is>
      </c>
      <c r="C14" s="5" t="n">
        <v>2025</v>
      </c>
      <c r="D14" s="6" t="n">
        <v>962221309.4167328</v>
      </c>
      <c r="E14" s="6" t="n">
        <v>972273351.9755968</v>
      </c>
      <c r="F14" s="6" t="n">
        <v>10052042.558864</v>
      </c>
      <c r="G14" s="11" t="n">
        <v>0.01044670541016933</v>
      </c>
      <c r="H14" s="6" t="n">
        <v>18375244408.48093</v>
      </c>
      <c r="I14" s="6" t="n">
        <v>18596570970.33222</v>
      </c>
    </row>
    <row r="15">
      <c r="A15" t="inlineStr">
        <is>
          <t>NT_reg_t</t>
        </is>
      </c>
      <c r="B15" t="inlineStr">
        <is>
          <t>Tomada</t>
        </is>
      </c>
      <c r="C15" s="8" t="n">
        <v>2026</v>
      </c>
      <c r="D15" s="9" t="n">
        <v>445627606.412671</v>
      </c>
      <c r="E15" s="9" t="n">
        <v>450022316.2918597</v>
      </c>
      <c r="F15" s="9" t="n">
        <v>4394709.879188657</v>
      </c>
      <c r="G15" s="10" t="n">
        <v>0.009861843871312944</v>
      </c>
      <c r="H15" s="9" t="n">
        <v>7782201412.711169</v>
      </c>
      <c r="I15" s="9" t="n">
        <v>7865762759.433172</v>
      </c>
    </row>
    <row r="16">
      <c r="A16" s="4" t="inlineStr">
        <is>
          <t>NT_reg_t</t>
        </is>
      </c>
      <c r="B16" s="4" t="inlineStr">
        <is>
          <t>Retenida</t>
        </is>
      </c>
      <c r="C16" s="5" t="n">
        <v>2023</v>
      </c>
      <c r="D16" s="6" t="n">
        <v>475982479.6867163</v>
      </c>
      <c r="E16" s="6" t="n">
        <v>469437484.5294005</v>
      </c>
      <c r="F16" s="6" t="n">
        <v>-6544995.15731585</v>
      </c>
      <c r="G16" s="11" t="n">
        <v>-0.01375049594603494</v>
      </c>
      <c r="H16" s="6" t="n">
        <v>8370284578.547653</v>
      </c>
      <c r="I16" s="6" t="n">
        <v>8261253603.944392</v>
      </c>
    </row>
    <row r="17">
      <c r="A17" t="inlineStr">
        <is>
          <t>NT_reg_t</t>
        </is>
      </c>
      <c r="B17" t="inlineStr">
        <is>
          <t>Retenida</t>
        </is>
      </c>
      <c r="C17" s="8" t="n">
        <v>2024</v>
      </c>
      <c r="D17" s="9" t="n">
        <v>564694223.9004399</v>
      </c>
      <c r="E17" s="9" t="n">
        <v>581068327.7828863</v>
      </c>
      <c r="F17" s="9" t="n">
        <v>16374103.88244641</v>
      </c>
      <c r="G17" s="12" t="n">
        <v>0.02899640759444583</v>
      </c>
      <c r="H17" s="9" t="n">
        <v>10547606653.96036</v>
      </c>
      <c r="I17" s="9" t="n">
        <v>10847728207.04392</v>
      </c>
    </row>
    <row r="18">
      <c r="A18" s="4" t="inlineStr">
        <is>
          <t>NT_reg_t</t>
        </is>
      </c>
      <c r="B18" s="4" t="inlineStr">
        <is>
          <t>Retenida</t>
        </is>
      </c>
      <c r="C18" s="5" t="n">
        <v>2025</v>
      </c>
      <c r="D18" s="6" t="n">
        <v>695221565.6376227</v>
      </c>
      <c r="E18" s="6" t="n">
        <v>701823702.6835191</v>
      </c>
      <c r="F18" s="6" t="n">
        <v>6602137.045896411</v>
      </c>
      <c r="G18" s="11" t="n">
        <v>0.009496450300475445</v>
      </c>
      <c r="H18" s="6" t="n">
        <v>13277901620.17355</v>
      </c>
      <c r="I18" s="6" t="n">
        <v>13428682803.31816</v>
      </c>
    </row>
    <row r="19">
      <c r="A19" t="inlineStr">
        <is>
          <t>NT_reg_t</t>
        </is>
      </c>
      <c r="B19" t="inlineStr">
        <is>
          <t>Retenida</t>
        </is>
      </c>
      <c r="C19" s="8" t="n">
        <v>2026</v>
      </c>
      <c r="D19" s="9" t="n">
        <v>337304345.4009084</v>
      </c>
      <c r="E19" s="9" t="n">
        <v>339036723.5875602</v>
      </c>
      <c r="F19" s="9" t="n">
        <v>1732378.186651886</v>
      </c>
      <c r="G19" s="10" t="n">
        <v>0.005135949804005164</v>
      </c>
      <c r="H19" s="9" t="n">
        <v>5892188053.2989</v>
      </c>
      <c r="I19" s="9" t="n">
        <v>5926997633.435028</v>
      </c>
    </row>
    <row r="20">
      <c r="A20" s="4" t="inlineStr">
        <is>
          <t>NT_reg_susc</t>
        </is>
      </c>
      <c r="B20" s="4" t="inlineStr">
        <is>
          <t>Tomada</t>
        </is>
      </c>
      <c r="C20" s="5" t="n">
        <v>2023</v>
      </c>
      <c r="D20" s="6" t="n">
        <v>599937431.777704</v>
      </c>
      <c r="E20" s="6" t="n">
        <v>632129452.9784166</v>
      </c>
      <c r="F20" s="6" t="n">
        <v>32192021.20071256</v>
      </c>
      <c r="G20" s="7" t="n">
        <v>0.05365896424452598</v>
      </c>
      <c r="H20" s="6" t="n">
        <v>10550833300.26336</v>
      </c>
      <c r="I20" s="6" t="n">
        <v>11139822547.53955</v>
      </c>
    </row>
    <row r="21">
      <c r="A21" t="inlineStr">
        <is>
          <t>NT_reg_susc</t>
        </is>
      </c>
      <c r="B21" t="inlineStr">
        <is>
          <t>Tomada</t>
        </is>
      </c>
      <c r="C21" s="8" t="n">
        <v>2024</v>
      </c>
      <c r="D21" s="9" t="n">
        <v>730276465.9539369</v>
      </c>
      <c r="E21" s="9" t="n">
        <v>778767676.3127198</v>
      </c>
      <c r="F21" s="9" t="n">
        <v>48491210.35878289</v>
      </c>
      <c r="G21" s="12" t="n">
        <v>0.06640116807740801</v>
      </c>
      <c r="H21" s="9" t="n">
        <v>13625523913.39193</v>
      </c>
      <c r="I21" s="9" t="n">
        <v>14420985029.86986</v>
      </c>
    </row>
    <row r="22">
      <c r="A22" s="4" t="inlineStr">
        <is>
          <t>NT_reg_susc</t>
        </is>
      </c>
      <c r="B22" s="4" t="inlineStr">
        <is>
          <t>Tomada</t>
        </is>
      </c>
      <c r="C22" s="5" t="n">
        <v>2025</v>
      </c>
      <c r="D22" s="6" t="n">
        <v>962221309.4167328</v>
      </c>
      <c r="E22" s="6" t="n">
        <v>979790818.3677624</v>
      </c>
      <c r="F22" s="6" t="n">
        <v>17569508.95102966</v>
      </c>
      <c r="G22" s="11" t="n">
        <v>0.01825932223604539</v>
      </c>
      <c r="H22" s="6" t="n">
        <v>18375244408.48093</v>
      </c>
      <c r="I22" s="6" t="n">
        <v>18802028138.7971</v>
      </c>
    </row>
    <row r="23">
      <c r="A23" t="inlineStr">
        <is>
          <t>NT_reg_susc</t>
        </is>
      </c>
      <c r="B23" t="inlineStr">
        <is>
          <t>Tomada</t>
        </is>
      </c>
      <c r="C23" s="8" t="n">
        <v>2026</v>
      </c>
      <c r="D23" s="9" t="n">
        <v>445627606.412671</v>
      </c>
      <c r="E23" s="9" t="n">
        <v>517206848.143179</v>
      </c>
      <c r="F23" s="9" t="n">
        <v>71579241.73050797</v>
      </c>
      <c r="G23" s="12" t="n">
        <v>0.1606256899268992</v>
      </c>
      <c r="H23" s="9" t="n">
        <v>7782201412.711169</v>
      </c>
      <c r="I23" s="9" t="n">
        <v>9035264098.387836</v>
      </c>
    </row>
    <row r="24">
      <c r="A24" s="4" t="inlineStr">
        <is>
          <t>NT_reg_susc</t>
        </is>
      </c>
      <c r="B24" s="4" t="inlineStr">
        <is>
          <t>Retenida</t>
        </is>
      </c>
      <c r="C24" s="5" t="n">
        <v>2023</v>
      </c>
      <c r="D24" s="6" t="n">
        <v>475982479.6867163</v>
      </c>
      <c r="E24" s="6" t="n">
        <v>501497095.9898949</v>
      </c>
      <c r="F24" s="6" t="n">
        <v>25514616.30317855</v>
      </c>
      <c r="G24" s="7" t="n">
        <v>0.05360410811753374</v>
      </c>
      <c r="H24" s="6" t="n">
        <v>8370284578.547653</v>
      </c>
      <c r="I24" s="6" t="n">
        <v>8838051246.803036</v>
      </c>
    </row>
    <row r="25">
      <c r="A25" t="inlineStr">
        <is>
          <t>NT_reg_susc</t>
        </is>
      </c>
      <c r="B25" t="inlineStr">
        <is>
          <t>Retenida</t>
        </is>
      </c>
      <c r="C25" s="8" t="n">
        <v>2024</v>
      </c>
      <c r="D25" s="9" t="n">
        <v>564694223.9004399</v>
      </c>
      <c r="E25" s="9" t="n">
        <v>597469798.8948307</v>
      </c>
      <c r="F25" s="9" t="n">
        <v>32775574.99439085</v>
      </c>
      <c r="G25" s="12" t="n">
        <v>0.0580412789916715</v>
      </c>
      <c r="H25" s="9" t="n">
        <v>10547606653.96036</v>
      </c>
      <c r="I25" s="9" t="n">
        <v>11060198756.57601</v>
      </c>
    </row>
    <row r="26">
      <c r="A26" s="4" t="inlineStr">
        <is>
          <t>NT_reg_susc</t>
        </is>
      </c>
      <c r="B26" s="4" t="inlineStr">
        <is>
          <t>Retenida</t>
        </is>
      </c>
      <c r="C26" s="5" t="n">
        <v>2025</v>
      </c>
      <c r="D26" s="6" t="n">
        <v>695221565.6376227</v>
      </c>
      <c r="E26" s="6" t="n">
        <v>701249614.5490285</v>
      </c>
      <c r="F26" s="6" t="n">
        <v>6028048.911405802</v>
      </c>
      <c r="G26" s="11" t="n">
        <v>0.008670687460446044</v>
      </c>
      <c r="H26" s="6" t="n">
        <v>13277901620.17355</v>
      </c>
      <c r="I26" s="6" t="n">
        <v>13461305795.34298</v>
      </c>
    </row>
    <row r="27">
      <c r="A27" t="inlineStr">
        <is>
          <t>NT_reg_susc</t>
        </is>
      </c>
      <c r="B27" t="inlineStr">
        <is>
          <t>Retenida</t>
        </is>
      </c>
      <c r="C27" s="8" t="n">
        <v>2026</v>
      </c>
      <c r="D27" s="9" t="n">
        <v>337304345.4009084</v>
      </c>
      <c r="E27" s="9" t="n">
        <v>376351722.799837</v>
      </c>
      <c r="F27" s="9" t="n">
        <v>39047377.39892864</v>
      </c>
      <c r="G27" s="12" t="n">
        <v>0.1157630428760657</v>
      </c>
      <c r="H27" s="9" t="n">
        <v>5892188053.2989</v>
      </c>
      <c r="I27" s="9" t="n">
        <v>6575087198.679389</v>
      </c>
    </row>
    <row r="28">
      <c r="A28" s="4" t="inlineStr">
        <is>
          <t>MEC_pub</t>
        </is>
      </c>
      <c r="B28" s="4" t="inlineStr">
        <is>
          <t>Tomada</t>
        </is>
      </c>
      <c r="C28" s="5" t="n">
        <v>2023</v>
      </c>
      <c r="D28" s="6" t="n">
        <v>599937431.777704</v>
      </c>
      <c r="E28" s="6" t="n">
        <v>639065795.986122</v>
      </c>
      <c r="F28" s="6" t="n">
        <v>39128364.20841801</v>
      </c>
      <c r="G28" s="7" t="n">
        <v>0.06522074159046026</v>
      </c>
      <c r="H28" s="6" t="n">
        <v>10550833300.26336</v>
      </c>
      <c r="I28" s="6" t="n">
        <v>11232141505.74209</v>
      </c>
    </row>
    <row r="29">
      <c r="A29" t="inlineStr">
        <is>
          <t>MEC_pub</t>
        </is>
      </c>
      <c r="B29" t="inlineStr">
        <is>
          <t>Tomada</t>
        </is>
      </c>
      <c r="C29" s="8" t="n">
        <v>2024</v>
      </c>
      <c r="D29" s="9" t="n">
        <v>730276465.9539369</v>
      </c>
      <c r="E29" s="9" t="n">
        <v>791235247.4771756</v>
      </c>
      <c r="F29" s="9" t="n">
        <v>60958781.52323866</v>
      </c>
      <c r="G29" s="12" t="n">
        <v>0.08347356701904687</v>
      </c>
      <c r="H29" s="9" t="n">
        <v>13625523913.39193</v>
      </c>
      <c r="I29" s="9" t="n">
        <v>14811566369.33614</v>
      </c>
    </row>
    <row r="30">
      <c r="A30" s="4" t="inlineStr">
        <is>
          <t>MEC_pub</t>
        </is>
      </c>
      <c r="B30" s="4" t="inlineStr">
        <is>
          <t>Tomada</t>
        </is>
      </c>
      <c r="C30" s="5" t="n">
        <v>2025</v>
      </c>
      <c r="D30" s="6" t="n">
        <v>962221309.4167328</v>
      </c>
      <c r="E30" s="6" t="n">
        <v>998301476.7347473</v>
      </c>
      <c r="F30" s="6" t="n">
        <v>36080167.3180145</v>
      </c>
      <c r="G30" s="7" t="n">
        <v>0.03749674525487814</v>
      </c>
      <c r="H30" s="6" t="n">
        <v>18375244408.48093</v>
      </c>
      <c r="I30" s="6" t="n">
        <v>19060400495.31724</v>
      </c>
    </row>
    <row r="31">
      <c r="A31" t="inlineStr">
        <is>
          <t>MEC_pub</t>
        </is>
      </c>
      <c r="B31" t="inlineStr">
        <is>
          <t>Tomada</t>
        </is>
      </c>
      <c r="C31" s="8" t="n">
        <v>2026</v>
      </c>
      <c r="D31" s="9" t="n">
        <v>445627606.412671</v>
      </c>
      <c r="E31" s="9" t="n">
        <v>457252439.9635935</v>
      </c>
      <c r="F31" s="9" t="n">
        <v>11624833.55092251</v>
      </c>
      <c r="G31" s="12" t="n">
        <v>0.02608643042674829</v>
      </c>
      <c r="H31" s="9" t="n">
        <v>7782201412.711169</v>
      </c>
      <c r="I31" s="9" t="n">
        <v>7989331150.763044</v>
      </c>
    </row>
    <row r="32">
      <c r="A32" s="4" t="inlineStr">
        <is>
          <t>MEC_pub</t>
        </is>
      </c>
      <c r="B32" s="4" t="inlineStr">
        <is>
          <t>Retenida</t>
        </is>
      </c>
      <c r="C32" s="5" t="n">
        <v>2023</v>
      </c>
      <c r="D32" s="6" t="n">
        <v>475982479.6867163</v>
      </c>
      <c r="E32" s="6" t="n">
        <v>506707666.0649036</v>
      </c>
      <c r="F32" s="6" t="n">
        <v>30725186.3781873</v>
      </c>
      <c r="G32" s="7" t="n">
        <v>0.06455108683498204</v>
      </c>
      <c r="H32" s="6" t="n">
        <v>8370284578.547653</v>
      </c>
      <c r="I32" s="6" t="n">
        <v>8905636780.222584</v>
      </c>
    </row>
    <row r="33">
      <c r="A33" t="inlineStr">
        <is>
          <t>MEC_pub</t>
        </is>
      </c>
      <c r="B33" t="inlineStr">
        <is>
          <t>Retenida</t>
        </is>
      </c>
      <c r="C33" s="8" t="n">
        <v>2024</v>
      </c>
      <c r="D33" s="9" t="n">
        <v>564694223.9004399</v>
      </c>
      <c r="E33" s="9" t="n">
        <v>609410537.378535</v>
      </c>
      <c r="F33" s="9" t="n">
        <v>44716313.47809517</v>
      </c>
      <c r="G33" s="12" t="n">
        <v>0.07918677327568879</v>
      </c>
      <c r="H33" s="9" t="n">
        <v>10547606653.96036</v>
      </c>
      <c r="I33" s="9" t="n">
        <v>11414285711.77667</v>
      </c>
    </row>
    <row r="34">
      <c r="A34" s="4" t="inlineStr">
        <is>
          <t>MEC_pub</t>
        </is>
      </c>
      <c r="B34" s="4" t="inlineStr">
        <is>
          <t>Retenida</t>
        </is>
      </c>
      <c r="C34" s="5" t="n">
        <v>2025</v>
      </c>
      <c r="D34" s="6" t="n">
        <v>695221565.6376227</v>
      </c>
      <c r="E34" s="6" t="n">
        <v>710137971.4773022</v>
      </c>
      <c r="F34" s="6" t="n">
        <v>14916405.83967948</v>
      </c>
      <c r="G34" s="7" t="n">
        <v>0.02145561440689616</v>
      </c>
      <c r="H34" s="6" t="n">
        <v>13277901620.17355</v>
      </c>
      <c r="I34" s="6" t="n">
        <v>13559061837.10839</v>
      </c>
    </row>
    <row r="35">
      <c r="A35" t="inlineStr">
        <is>
          <t>MEC_pub</t>
        </is>
      </c>
      <c r="B35" t="inlineStr">
        <is>
          <t>Retenida</t>
        </is>
      </c>
      <c r="C35" s="8" t="n">
        <v>2026</v>
      </c>
      <c r="D35" s="9" t="n">
        <v>337304345.4009084</v>
      </c>
      <c r="E35" s="9" t="n">
        <v>330645964.3074415</v>
      </c>
      <c r="F35" s="9" t="n">
        <v>-6658381.093466878</v>
      </c>
      <c r="G35" s="10" t="n">
        <v>-0.01973998018185314</v>
      </c>
      <c r="H35" s="9" t="n">
        <v>5892188053.2989</v>
      </c>
      <c r="I35" s="9" t="n">
        <v>5777949631.270683</v>
      </c>
    </row>
    <row r="36">
      <c r="A36" s="4" t="inlineStr">
        <is>
          <t>MEC_prop</t>
        </is>
      </c>
      <c r="B36" s="4" t="inlineStr">
        <is>
          <t>Tomada</t>
        </is>
      </c>
      <c r="C36" s="5" t="n">
        <v>2023</v>
      </c>
      <c r="D36" s="6" t="n">
        <v>599937431.777704</v>
      </c>
      <c r="E36" s="6" t="n">
        <v>639687616.6125038</v>
      </c>
      <c r="F36" s="6" t="n">
        <v>39750184.83479977</v>
      </c>
      <c r="G36" s="7" t="n">
        <v>0.0662572173851764</v>
      </c>
      <c r="H36" s="6" t="n">
        <v>10550833300.26336</v>
      </c>
      <c r="I36" s="6" t="n">
        <v>11242432616.96117</v>
      </c>
    </row>
    <row r="37">
      <c r="A37" t="inlineStr">
        <is>
          <t>MEC_prop</t>
        </is>
      </c>
      <c r="B37" t="inlineStr">
        <is>
          <t>Tomada</t>
        </is>
      </c>
      <c r="C37" s="8" t="n">
        <v>2024</v>
      </c>
      <c r="D37" s="9" t="n">
        <v>730276465.9539369</v>
      </c>
      <c r="E37" s="9" t="n">
        <v>792466446.7843132</v>
      </c>
      <c r="F37" s="9" t="n">
        <v>62189980.83037627</v>
      </c>
      <c r="G37" s="12" t="n">
        <v>0.08515950291392654</v>
      </c>
      <c r="H37" s="9" t="n">
        <v>13625523913.39193</v>
      </c>
      <c r="I37" s="9" t="n">
        <v>14833784662.30755</v>
      </c>
    </row>
    <row r="38">
      <c r="A38" s="4" t="inlineStr">
        <is>
          <t>MEC_prop</t>
        </is>
      </c>
      <c r="B38" s="4" t="inlineStr">
        <is>
          <t>Tomada</t>
        </is>
      </c>
      <c r="C38" s="5" t="n">
        <v>2025</v>
      </c>
      <c r="D38" s="6" t="n">
        <v>962221309.4167328</v>
      </c>
      <c r="E38" s="6" t="n">
        <v>999601067.4837011</v>
      </c>
      <c r="F38" s="6" t="n">
        <v>37379758.06696832</v>
      </c>
      <c r="G38" s="7" t="n">
        <v>0.03884736047846073</v>
      </c>
      <c r="H38" s="6" t="n">
        <v>18375244408.48093</v>
      </c>
      <c r="I38" s="6" t="n">
        <v>19084539396.28634</v>
      </c>
    </row>
    <row r="39">
      <c r="A39" t="inlineStr">
        <is>
          <t>MEC_prop</t>
        </is>
      </c>
      <c r="B39" t="inlineStr">
        <is>
          <t>Tomada</t>
        </is>
      </c>
      <c r="C39" s="8" t="n">
        <v>2026</v>
      </c>
      <c r="D39" s="9" t="n">
        <v>445627606.412671</v>
      </c>
      <c r="E39" s="9" t="n">
        <v>457070563.3014966</v>
      </c>
      <c r="F39" s="9" t="n">
        <v>11442956.88882554</v>
      </c>
      <c r="G39" s="12" t="n">
        <v>0.02567829444172462</v>
      </c>
      <c r="H39" s="9" t="n">
        <v>7782201412.711169</v>
      </c>
      <c r="I39" s="9" t="n">
        <v>7986060449.47508</v>
      </c>
    </row>
    <row r="40">
      <c r="A40" s="4" t="inlineStr">
        <is>
          <t>MEC_prop</t>
        </is>
      </c>
      <c r="B40" s="4" t="inlineStr">
        <is>
          <t>Retenida</t>
        </is>
      </c>
      <c r="C40" s="5" t="n">
        <v>2023</v>
      </c>
      <c r="D40" s="6" t="n">
        <v>475982479.6867163</v>
      </c>
      <c r="E40" s="6" t="n">
        <v>507143177.4515445</v>
      </c>
      <c r="F40" s="6" t="n">
        <v>31160697.76482815</v>
      </c>
      <c r="G40" s="7" t="n">
        <v>0.06546606040066347</v>
      </c>
      <c r="H40" s="6" t="n">
        <v>8370284578.547653</v>
      </c>
      <c r="I40" s="6" t="n">
        <v>8912663823.892096</v>
      </c>
    </row>
    <row r="41">
      <c r="A41" t="inlineStr">
        <is>
          <t>MEC_prop</t>
        </is>
      </c>
      <c r="B41" t="inlineStr">
        <is>
          <t>Retenida</t>
        </is>
      </c>
      <c r="C41" s="8" t="n">
        <v>2024</v>
      </c>
      <c r="D41" s="9" t="n">
        <v>564694223.9004399</v>
      </c>
      <c r="E41" s="9" t="n">
        <v>610189079.0042989</v>
      </c>
      <c r="F41" s="9" t="n">
        <v>45494855.10385907</v>
      </c>
      <c r="G41" s="12" t="n">
        <v>0.08056546920139948</v>
      </c>
      <c r="H41" s="9" t="n">
        <v>10547606653.96036</v>
      </c>
      <c r="I41" s="9" t="n">
        <v>11428171984.71539</v>
      </c>
    </row>
    <row r="42">
      <c r="A42" s="4" t="inlineStr">
        <is>
          <t>MEC_prop</t>
        </is>
      </c>
      <c r="B42" s="4" t="inlineStr">
        <is>
          <t>Retenida</t>
        </is>
      </c>
      <c r="C42" s="5" t="n">
        <v>2025</v>
      </c>
      <c r="D42" s="6" t="n">
        <v>695221565.6376227</v>
      </c>
      <c r="E42" s="6" t="n">
        <v>711019445.9306327</v>
      </c>
      <c r="F42" s="6" t="n">
        <v>15797880.29301</v>
      </c>
      <c r="G42" s="7" t="n">
        <v>0.02272351876559089</v>
      </c>
      <c r="H42" s="6" t="n">
        <v>13277901620.17355</v>
      </c>
      <c r="I42" s="6" t="n">
        <v>13575087910.20851</v>
      </c>
    </row>
    <row r="43">
      <c r="A43" t="inlineStr">
        <is>
          <t>MEC_prop</t>
        </is>
      </c>
      <c r="B43" t="inlineStr">
        <is>
          <t>Retenida</t>
        </is>
      </c>
      <c r="C43" s="8" t="n">
        <v>2026</v>
      </c>
      <c r="D43" s="9" t="n">
        <v>337304345.4009084</v>
      </c>
      <c r="E43" s="9" t="n">
        <v>330114487.9110448</v>
      </c>
      <c r="F43" s="9" t="n">
        <v>-7189857.489863515</v>
      </c>
      <c r="G43" s="12" t="n">
        <v>-0.02131563849649757</v>
      </c>
      <c r="H43" s="9" t="n">
        <v>5892188053.2989</v>
      </c>
      <c r="I43" s="9" t="n">
        <v>5768618266.174819</v>
      </c>
    </row>
    <row r="44">
      <c r="A44" s="4" t="inlineStr">
        <is>
          <t>MEC_reg</t>
        </is>
      </c>
      <c r="B44" s="4" t="inlineStr">
        <is>
          <t>Tomada</t>
        </is>
      </c>
      <c r="C44" s="5" t="n">
        <v>2023</v>
      </c>
      <c r="D44" s="6" t="n">
        <v>599937431.777704</v>
      </c>
      <c r="E44" s="6" t="n">
        <v>588221535.845282</v>
      </c>
      <c r="F44" s="6" t="n">
        <v>-11715895.93242204</v>
      </c>
      <c r="G44" s="11" t="n">
        <v>-0.01952852966301185</v>
      </c>
      <c r="H44" s="6" t="n">
        <v>10550833300.26336</v>
      </c>
      <c r="I44" s="6" t="n">
        <v>10354519335.69539</v>
      </c>
    </row>
    <row r="45">
      <c r="A45" t="inlineStr">
        <is>
          <t>MEC_reg</t>
        </is>
      </c>
      <c r="B45" t="inlineStr">
        <is>
          <t>Tomada</t>
        </is>
      </c>
      <c r="C45" s="8" t="n">
        <v>2024</v>
      </c>
      <c r="D45" s="9" t="n">
        <v>730276465.9539369</v>
      </c>
      <c r="E45" s="9" t="n">
        <v>744372960.7744069</v>
      </c>
      <c r="F45" s="9" t="n">
        <v>14096494.82046998</v>
      </c>
      <c r="G45" s="10" t="n">
        <v>0.01930295645232956</v>
      </c>
      <c r="H45" s="9" t="n">
        <v>13625523913.39193</v>
      </c>
      <c r="I45" s="9" t="n">
        <v>13875562078.23223</v>
      </c>
    </row>
    <row r="46">
      <c r="A46" s="4" t="inlineStr">
        <is>
          <t>MEC_reg</t>
        </is>
      </c>
      <c r="B46" s="4" t="inlineStr">
        <is>
          <t>Tomada</t>
        </is>
      </c>
      <c r="C46" s="5" t="n">
        <v>2025</v>
      </c>
      <c r="D46" s="6" t="n">
        <v>962221309.4167328</v>
      </c>
      <c r="E46" s="6" t="n">
        <v>964374604.647787</v>
      </c>
      <c r="F46" s="6" t="n">
        <v>2153295.231054187</v>
      </c>
      <c r="G46" s="11" t="n">
        <v>0.00223783781338146</v>
      </c>
      <c r="H46" s="6" t="n">
        <v>18375244408.48093</v>
      </c>
      <c r="I46" s="6" t="n">
        <v>18445750622.30525</v>
      </c>
    </row>
    <row r="47">
      <c r="A47" t="inlineStr">
        <is>
          <t>MEC_reg</t>
        </is>
      </c>
      <c r="B47" t="inlineStr">
        <is>
          <t>Tomada</t>
        </is>
      </c>
      <c r="C47" s="8" t="n">
        <v>2026</v>
      </c>
      <c r="D47" s="9" t="n">
        <v>445627606.412671</v>
      </c>
      <c r="E47" s="9" t="n">
        <v>445190235.9525448</v>
      </c>
      <c r="F47" s="9" t="n">
        <v>-437370.4601262212</v>
      </c>
      <c r="G47" s="10" t="n">
        <v>-0.0009814707478449992</v>
      </c>
      <c r="H47" s="9" t="n">
        <v>7782201412.711169</v>
      </c>
      <c r="I47" s="9" t="n">
        <v>7781188263.960304</v>
      </c>
    </row>
    <row r="48">
      <c r="A48" s="4" t="inlineStr">
        <is>
          <t>MEC_reg</t>
        </is>
      </c>
      <c r="B48" s="4" t="inlineStr">
        <is>
          <t>Retenida</t>
        </is>
      </c>
      <c r="C48" s="5" t="n">
        <v>2023</v>
      </c>
      <c r="D48" s="6" t="n">
        <v>475982479.6867163</v>
      </c>
      <c r="E48" s="6" t="n">
        <v>466334722.1665044</v>
      </c>
      <c r="F48" s="6" t="n">
        <v>-9647757.520211875</v>
      </c>
      <c r="G48" s="7" t="n">
        <v>-0.02026914420581587</v>
      </c>
      <c r="H48" s="6" t="n">
        <v>8370284578.547653</v>
      </c>
      <c r="I48" s="6" t="n">
        <v>8209502374.956145</v>
      </c>
    </row>
    <row r="49">
      <c r="A49" t="inlineStr">
        <is>
          <t>MEC_reg</t>
        </is>
      </c>
      <c r="B49" t="inlineStr">
        <is>
          <t>Retenida</t>
        </is>
      </c>
      <c r="C49" s="8" t="n">
        <v>2024</v>
      </c>
      <c r="D49" s="9" t="n">
        <v>564694223.9004399</v>
      </c>
      <c r="E49" s="9" t="n">
        <v>577804555.4521767</v>
      </c>
      <c r="F49" s="9" t="n">
        <v>13110331.55173683</v>
      </c>
      <c r="G49" s="12" t="n">
        <v>0.0232166914355552</v>
      </c>
      <c r="H49" s="9" t="n">
        <v>10547606653.96036</v>
      </c>
      <c r="I49" s="9" t="n">
        <v>10783711557.69317</v>
      </c>
    </row>
    <row r="50">
      <c r="A50" s="4" t="inlineStr">
        <is>
          <t>MEC_reg</t>
        </is>
      </c>
      <c r="B50" s="4" t="inlineStr">
        <is>
          <t>Retenida</t>
        </is>
      </c>
      <c r="C50" s="5" t="n">
        <v>2025</v>
      </c>
      <c r="D50" s="6" t="n">
        <v>695221565.6376227</v>
      </c>
      <c r="E50" s="6" t="n">
        <v>697087990.5149378</v>
      </c>
      <c r="F50" s="6" t="n">
        <v>1866424.877315044</v>
      </c>
      <c r="G50" s="11" t="n">
        <v>0.002684647556356012</v>
      </c>
      <c r="H50" s="6" t="n">
        <v>13277901620.17355</v>
      </c>
      <c r="I50" s="6" t="n">
        <v>13339042229.70597</v>
      </c>
    </row>
    <row r="51">
      <c r="A51" t="inlineStr">
        <is>
          <t>MEC_reg</t>
        </is>
      </c>
      <c r="B51" t="inlineStr">
        <is>
          <t>Retenida</t>
        </is>
      </c>
      <c r="C51" s="8" t="n">
        <v>2026</v>
      </c>
      <c r="D51" s="9" t="n">
        <v>337304345.4009084</v>
      </c>
      <c r="E51" s="9" t="n">
        <v>337636920.0995544</v>
      </c>
      <c r="F51" s="9" t="n">
        <v>332574.698646009</v>
      </c>
      <c r="G51" s="10" t="n">
        <v>0.0009859781031006942</v>
      </c>
      <c r="H51" s="9" t="n">
        <v>5892188053.2989</v>
      </c>
      <c r="I51" s="9" t="n">
        <v>5902287144.88954</v>
      </c>
    </row>
    <row r="52">
      <c r="A52" s="4" t="inlineStr">
        <is>
          <t>CAL</t>
        </is>
      </c>
      <c r="B52" s="4" t="inlineStr">
        <is>
          <t>Tomada</t>
        </is>
      </c>
      <c r="C52" s="5" t="n">
        <v>2023</v>
      </c>
      <c r="D52" s="6" t="n">
        <v>599937431.777704</v>
      </c>
      <c r="E52" s="6" t="n">
        <v>586015383.9088495</v>
      </c>
      <c r="F52" s="6" t="n">
        <v>-13922047.86885452</v>
      </c>
      <c r="G52" s="7" t="n">
        <v>-0.02320583302762326</v>
      </c>
      <c r="H52" s="6" t="n">
        <v>10550833300.26336</v>
      </c>
      <c r="I52" s="6" t="n">
        <v>10313138910.97925</v>
      </c>
    </row>
    <row r="53">
      <c r="A53" t="inlineStr">
        <is>
          <t>CAL</t>
        </is>
      </c>
      <c r="B53" t="inlineStr">
        <is>
          <t>Tomada</t>
        </is>
      </c>
      <c r="C53" s="8" t="n">
        <v>2024</v>
      </c>
      <c r="D53" s="9" t="n">
        <v>730276465.9539369</v>
      </c>
      <c r="E53" s="9" t="n">
        <v>740481989.6421918</v>
      </c>
      <c r="F53" s="9" t="n">
        <v>10205523.68825483</v>
      </c>
      <c r="G53" s="10" t="n">
        <v>0.01397487686382401</v>
      </c>
      <c r="H53" s="9" t="n">
        <v>13625523913.39193</v>
      </c>
      <c r="I53" s="9" t="n">
        <v>13800780530.92773</v>
      </c>
    </row>
    <row r="54">
      <c r="A54" s="4" t="inlineStr">
        <is>
          <t>CAL</t>
        </is>
      </c>
      <c r="B54" s="4" t="inlineStr">
        <is>
          <t>Tomada</t>
        </is>
      </c>
      <c r="C54" s="5" t="n">
        <v>2025</v>
      </c>
      <c r="D54" s="6" t="n">
        <v>962221309.4167328</v>
      </c>
      <c r="E54" s="6" t="n">
        <v>969363613.2590379</v>
      </c>
      <c r="F54" s="6" t="n">
        <v>7142303.842305064</v>
      </c>
      <c r="G54" s="11" t="n">
        <v>0.007422724660540407</v>
      </c>
      <c r="H54" s="6" t="n">
        <v>18375244408.48093</v>
      </c>
      <c r="I54" s="6" t="n">
        <v>18538689760.31364</v>
      </c>
    </row>
    <row r="55">
      <c r="A55" t="inlineStr">
        <is>
          <t>CAL</t>
        </is>
      </c>
      <c r="B55" t="inlineStr">
        <is>
          <t>Tomada</t>
        </is>
      </c>
      <c r="C55" s="8" t="n">
        <v>2026</v>
      </c>
      <c r="D55" s="9" t="n">
        <v>445627606.412671</v>
      </c>
      <c r="E55" s="9" t="n">
        <v>451049125.064928</v>
      </c>
      <c r="F55" s="9" t="n">
        <v>5421518.652256966</v>
      </c>
      <c r="G55" s="10" t="n">
        <v>0.01216602960463001</v>
      </c>
      <c r="H55" s="9" t="n">
        <v>7782201412.711169</v>
      </c>
      <c r="I55" s="9" t="n">
        <v>7883880455.170377</v>
      </c>
    </row>
    <row r="56">
      <c r="A56" s="4" t="inlineStr">
        <is>
          <t>CAL</t>
        </is>
      </c>
      <c r="B56" s="4" t="inlineStr">
        <is>
          <t>Retenida</t>
        </is>
      </c>
      <c r="C56" s="5" t="n">
        <v>2023</v>
      </c>
      <c r="D56" s="6" t="n">
        <v>475982479.6867163</v>
      </c>
      <c r="E56" s="6" t="n">
        <v>464397146.5754007</v>
      </c>
      <c r="F56" s="6" t="n">
        <v>-11585333.11131561</v>
      </c>
      <c r="G56" s="7" t="n">
        <v>-0.02433983099323505</v>
      </c>
      <c r="H56" s="6" t="n">
        <v>8370284578.547653</v>
      </c>
      <c r="I56" s="6" t="n">
        <v>8172811099.963447</v>
      </c>
    </row>
    <row r="57">
      <c r="A57" t="inlineStr">
        <is>
          <t>CAL</t>
        </is>
      </c>
      <c r="B57" t="inlineStr">
        <is>
          <t>Retenida</t>
        </is>
      </c>
      <c r="C57" s="8" t="n">
        <v>2024</v>
      </c>
      <c r="D57" s="9" t="n">
        <v>564694223.9004399</v>
      </c>
      <c r="E57" s="9" t="n">
        <v>574310483.1255584</v>
      </c>
      <c r="F57" s="9" t="n">
        <v>9616259.225118518</v>
      </c>
      <c r="G57" s="10" t="n">
        <v>0.01702914394749315</v>
      </c>
      <c r="H57" s="9" t="n">
        <v>10547606653.96036</v>
      </c>
      <c r="I57" s="9" t="n">
        <v>10715897600.79383</v>
      </c>
    </row>
    <row r="58">
      <c r="A58" s="4" t="inlineStr">
        <is>
          <t>CAL</t>
        </is>
      </c>
      <c r="B58" s="4" t="inlineStr">
        <is>
          <t>Retenida</t>
        </is>
      </c>
      <c r="C58" s="5" t="n">
        <v>2025</v>
      </c>
      <c r="D58" s="6" t="n">
        <v>695221565.6376227</v>
      </c>
      <c r="E58" s="6" t="n">
        <v>700528899.5120372</v>
      </c>
      <c r="F58" s="6" t="n">
        <v>5307333.874414444</v>
      </c>
      <c r="G58" s="11" t="n">
        <v>0.00763401789693739</v>
      </c>
      <c r="H58" s="6" t="n">
        <v>13277901620.17355</v>
      </c>
      <c r="I58" s="6" t="n">
        <v>13402583942.9882</v>
      </c>
    </row>
    <row r="59">
      <c r="A59" t="inlineStr">
        <is>
          <t>CAL</t>
        </is>
      </c>
      <c r="B59" t="inlineStr">
        <is>
          <t>Retenida</t>
        </is>
      </c>
      <c r="C59" s="8" t="n">
        <v>2026</v>
      </c>
      <c r="D59" s="9" t="n">
        <v>337304345.4009084</v>
      </c>
      <c r="E59" s="9" t="n">
        <v>339924912.341463</v>
      </c>
      <c r="F59" s="9" t="n">
        <v>2620566.940554619</v>
      </c>
      <c r="G59" s="10" t="n">
        <v>0.007769146695812362</v>
      </c>
      <c r="H59" s="9" t="n">
        <v>5892188053.2989</v>
      </c>
      <c r="I59" s="9" t="n">
        <v>5942435016.255485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110" customWidth="1" min="3" max="3"/>
  </cols>
  <sheetData>
    <row r="1">
      <c r="A1" s="1" t="inlineStr">
        <is>
          <t>FÓRMULAS · CÓMO SE CALCULA CADA COLUMNA</t>
        </is>
      </c>
    </row>
    <row r="2" ht="30" customHeight="1">
      <c r="A2" s="2" t="inlineStr">
        <is>
          <t>Orden de cálculo: FND → PND modelo → RRC modelo → prima devengada. Azul = lo que se compara (PND real vs PND calibrado); ámbar = celdas con fórmula Excel viva en la hoja Mensual.</t>
        </is>
      </c>
    </row>
    <row r="3">
      <c r="A3" s="3" t="inlineStr">
        <is>
          <t>Concepto</t>
        </is>
      </c>
      <c r="B3" s="3" t="inlineStr">
        <is>
          <t>Fórmula</t>
        </is>
      </c>
      <c r="C3" s="3" t="inlineStr">
        <is>
          <t>Dónde sale y con qué datos</t>
        </is>
      </c>
    </row>
    <row r="4" ht="48" customHeight="1">
      <c r="A4" s="13" t="inlineStr">
        <is>
          <t>Año contable</t>
        </is>
      </c>
      <c r="B4" s="14" t="inlineStr">
        <is>
          <t>Año = ENTERO(PERIODO / 100)</t>
        </is>
      </c>
      <c r="C4" s="13" t="inlineStr">
        <is>
          <t>PERIODO es el mes CONTABLE: el mes de valuación del saldo de RRC en la base BEL-IRR-MR y el mes en que se registra la prima (aPog_MesProc / CALMONTH). No es el año de suscripción; ése queda como dato descriptivo (AñoSusc) en el input del MEC.</t>
        </is>
      </c>
    </row>
    <row r="5" ht="48" customHeight="1">
      <c r="A5" s="15" t="inlineStr">
        <is>
          <t>Antigüedad de registro k</t>
        </is>
      </c>
      <c r="B5" s="16" t="inlineStr">
        <is>
          <t>k = mes de valuación − mes de registro (CALMONTH), en meses</t>
        </is>
      </c>
      <c r="C5" s="15" t="inlineStr">
        <is>
          <t>Es el eje del FND para proporcional y facultativo. k = 0 es el propio mes en que entra la cuenta.</t>
        </is>
      </c>
    </row>
    <row r="6" ht="48" customHeight="1">
      <c r="A6" s="13" t="inlineStr">
        <is>
          <t>FND calibrado (TipoRea 1 y 3)</t>
        </is>
      </c>
      <c r="B6" s="14" t="inlineStr">
        <is>
          <t>FND = MIN(1, MAX(0, NT[k] − δ_ramo))  para k = 0…11;  FND = 0 si k &lt; 0 o k ≥ 12</t>
        </is>
      </c>
      <c r="C6" s="13" t="inlineStr">
        <is>
          <t>NT = recta de 24-avos de la Nota Técnica (tabla xPND 'NA'): [0.9589, 0.8767, 0.7918, 0.7068, 0.6247, 0.5397, 0.4575, 0.3726, 0.2959, 0.2110, 0.1260, 0.0438]. δ_ramo en delta_calibrado.json / hoja Calibracion.</t>
        </is>
      </c>
    </row>
    <row r="7" ht="48" customHeight="1">
      <c r="A7" s="15" t="inlineStr">
        <is>
          <t>FND no proporcional (TipoRea 2)</t>
        </is>
      </c>
      <c r="B7" s="16" t="inlineStr">
        <is>
          <t>FND = MIN(1, MAX(0, (FinVig − cierre del mes de valuación) / (FinVig − IniVig)))</t>
        </is>
      </c>
      <c r="C7" s="15" t="inlineStr">
        <is>
          <t>Prorrata exacta por fechas. Si el registro no trae fechas (como en la BD del MEC), se usa la curva PF+ de cartera por antigüedad de cohorte.</t>
        </is>
      </c>
    </row>
    <row r="8" ht="48" customHeight="1">
      <c r="A8" s="13" t="inlineStr">
        <is>
          <t>Prima en USD</t>
        </is>
      </c>
      <c r="B8" s="14" t="inlineStr">
        <is>
          <t>Prima_USD = PrimasNal / TC(mes de registro)</t>
        </is>
      </c>
      <c r="C8" s="13" t="inlineStr">
        <is>
          <t>TC de cierre mensual de la base BEL-IRR-MR (2022 en adelante); 2019–2021 promedios Banxico aproximados.</t>
        </is>
      </c>
    </row>
    <row r="9" ht="48" customHeight="1">
      <c r="A9" s="15" t="inlineStr">
        <is>
          <t>PND modelo (por ramo y mes)</t>
        </is>
      </c>
      <c r="B9" s="16" t="inlineStr">
        <is>
          <t>PND_modelo(ramo, t) = Σ_registros Prima_USD × FND(k, ramo)</t>
        </is>
      </c>
      <c r="C9" s="15" t="inlineStr">
        <is>
          <t>Suma sobre todos los registros de prima con mes de registro ≤ t. Columna PND_CAL (azul) en la hoja Mensual.</t>
        </is>
      </c>
    </row>
    <row r="10" ht="48" customHeight="1">
      <c r="A10" s="13" t="inlineStr">
        <is>
          <t>PND real implícita</t>
        </is>
      </c>
      <c r="B10" s="14" t="inlineStr">
        <is>
          <t>PND_real(ramo, t) = Σ_subramos BEL_subramo(t) / IS_subramo(t)</t>
        </is>
      </c>
      <c r="C10" s="13" t="inlineStr">
        <is>
          <t>BEL = 'RRC BEL' de BD_Montos_RRC_SONR; IS = 'Ind Sin RRC' de HParametros (Real). AyE suma 30+34+37; CAT suma 71+73. Columna PND_real (azul) en Mensual. En esa hoja, BEL_real / IS_eff reproduce PND_real.</t>
        </is>
      </c>
    </row>
    <row r="11" ht="48" customHeight="1">
      <c r="A11" s="15" t="inlineStr">
        <is>
          <t>Índice efectivo</t>
        </is>
      </c>
      <c r="B11" s="16" t="inlineStr">
        <is>
          <t>IS_eff = BEL_real / PND_real</t>
        </is>
      </c>
      <c r="C11" s="15" t="inlineStr">
        <is>
          <t>Índice de siniestralidad efectivo del grupo; en grupos de un solo subramo es el 'Ind Sin RRC' tal cual.</t>
        </is>
      </c>
    </row>
    <row r="12" ht="48" customHeight="1">
      <c r="A12" s="13" t="inlineStr">
        <is>
          <t>RRC bruta modelo</t>
        </is>
      </c>
      <c r="B12" s="14" t="inlineStr">
        <is>
          <t>BRUTO_modelo = PND_modelo × IS_eff × (1 + g + mr)</t>
        </is>
      </c>
      <c r="C12" s="13" t="inlineStr">
        <is>
          <t>g = 'RRC GTO' / 'RRC BEL' real del mes; mr = 'RRC MR' / 'RRC BEL' real del mes. Fórmula viva en la columna BRUTO_CAL.</t>
        </is>
      </c>
    </row>
    <row r="13" ht="48" customHeight="1">
      <c r="A13" s="15" t="inlineStr">
        <is>
          <t>IRR y RRC neta modelo</t>
        </is>
      </c>
      <c r="B13" s="16" t="inlineStr">
        <is>
          <t>IRR_modelo = PND_modelo × IS_eff × c ;  NETO_modelo = BRUTO_modelo − IRR_modelo</t>
        </is>
      </c>
      <c r="C13" s="15" t="inlineStr">
        <is>
          <t>c = 'RRC IRR' / 'RRC BEL' real del mes. Fórmula viva en NETO_CAL.</t>
        </is>
      </c>
    </row>
    <row r="14" ht="48" customHeight="1">
      <c r="A14" s="13" t="inlineStr">
        <is>
          <t>Prima retenida</t>
        </is>
      </c>
      <c r="B14" s="14" t="inlineStr">
        <is>
          <t>PR = PE × (1 − ces)</t>
        </is>
      </c>
      <c r="C14" s="13" t="inlineStr">
        <is>
          <t>ces = prima cedida / prima emitida del ER real, por ramo y año contable (2023, 2024, 2025 YTD oct; 2026 usa 2025).</t>
        </is>
      </c>
    </row>
    <row r="15" ht="48" customHeight="1">
      <c r="A15" s="15" t="inlineStr">
        <is>
          <t>Prima devengada tomada</t>
        </is>
      </c>
      <c r="B15" s="16" t="inlineStr">
        <is>
          <t>PD_tomada(t) = PE(t) − [BRUTO(t) − BRUTO(t − 1)]</t>
        </is>
      </c>
      <c r="C15" s="15" t="inlineStr">
        <is>
          <t>Misma fórmula que Integración Dim (ER_2026: prima emitida − variación de reserva de primas s/prima tomada). Real usa BRUTO real; modelo usa BRUTO_CAL.</t>
        </is>
      </c>
    </row>
    <row r="16" ht="48" customHeight="1">
      <c r="A16" s="13" t="inlineStr">
        <is>
          <t>Prima devengada retenida</t>
        </is>
      </c>
      <c r="B16" s="14" t="inlineStr">
        <is>
          <t>PD_retenida(t) = PR(t) − [NETO(t) − NETO(t − 1)]</t>
        </is>
      </c>
      <c r="C16" s="13" t="inlineStr">
        <is>
          <t>Real usa NETO real; modelo usa NETO_CAL. La diferencia del mes anterior se toma dentro del mismo ramo.</t>
        </is>
      </c>
    </row>
    <row r="17" ht="48" customHeight="1">
      <c r="A17" s="15" t="inlineStr">
        <is>
          <t>Conversión a MXN</t>
        </is>
      </c>
      <c r="B17" s="16" t="inlineStr">
        <is>
          <t>Monto_MXN(t) = Monto_USD(t) × TC de cierre(t)</t>
        </is>
      </c>
      <c r="C17" s="15" t="inlineStr">
        <is>
          <t>Como el ER: la variación de reserva del mes al TC del mes; el efecto cambiario del saldo no pasa por la prima devengada.</t>
        </is>
      </c>
    </row>
    <row r="18" ht="48" customHeight="1">
      <c r="A18" s="13" t="inlineStr">
        <is>
          <t>Calibración de δ</t>
        </is>
      </c>
      <c r="B18" s="14" t="inlineStr">
        <is>
          <t>δ_ramo = argmin_δ Σ_t [ PND_modelo(ramo, t; δ) − PND_real(ramo, t) ]²</t>
        </is>
      </c>
      <c r="C18" s="13" t="inlineStr">
        <is>
          <t>Mínimos cuadrados sobre la serie mensual 202301–202605 (CAT desde 202401). Malla de δ en pasos de 0.005; la parte no proporcional no depende de δ.</t>
        </is>
      </c>
    </row>
    <row r="19" ht="48" customHeight="1">
      <c r="A19" s="15" t="inlineStr">
        <is>
          <t>Lectura de δ</t>
        </is>
      </c>
      <c r="B19" s="16" t="inlineStr">
        <is>
          <t>δ = (t − 1) / 2 × 30 / 365   ⇔   t = 1 + 2 δ × 365 / 30 meses de cuenta</t>
        </is>
      </c>
      <c r="C19" s="15" t="inlineStr">
        <is>
          <t>Regla M4 del MEC: δ = 0 es NT mensual; 0.082 trimestral; 0.123 cuatrimestral; 0.205 semestral.</t>
        </is>
      </c>
    </row>
    <row r="20" ht="48" customHeight="1">
      <c r="A20" s="13" t="inlineStr">
        <is>
          <t>Métricas de ajuste</t>
        </is>
      </c>
      <c r="B20" s="14" t="inlineStr">
        <is>
          <t>ratio = Σ_t PND_modelo / Σ_t PND_real ;  MAPE = media_t |PND_modelo / PND_real − 1| ;  R² sobre la serie mensual</t>
        </is>
      </c>
      <c r="C20" s="13" t="inlineStr">
        <is>
          <t>Hoja Ajuste_PND. Como IS, g, mr y c son los reales, ratio(RRC modelo / RRC real) = ratio(PND modelo / PND real).</t>
        </is>
      </c>
    </row>
    <row r="21" ht="48" customHeight="1">
      <c r="A21" s="15" t="inlineStr">
        <is>
          <t>Error de prima devengada</t>
        </is>
      </c>
      <c r="B21" s="16" t="inlineStr">
        <is>
          <t>err% = (PD_modelo − PD_real) / PD_real</t>
        </is>
      </c>
      <c r="C21" s="15" t="inlineStr">
        <is>
          <t>Hojas Resumen y PD_anual_por_ramo, por año contable y por ramo. En rojo si |err%| &gt; 2%.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SERIES MENSUALES · TOTAL CARTERA (USD)</t>
        </is>
      </c>
    </row>
    <row r="2" ht="30" customHeight="1">
      <c r="A2" s="2" t="inlineStr">
        <is>
          <t>Prima no devengada implícita y RRC bruta: real vs variantes. Azul = PND real y PND calibrado (lo que se compara).</t>
        </is>
      </c>
    </row>
    <row r="3" ht="32" customHeight="1">
      <c r="A3" s="3" t="inlineStr">
        <is>
          <t>Mes contable
(AAAAMM)</t>
        </is>
      </c>
      <c r="B3" s="3" t="inlineStr">
        <is>
          <t>Año contable</t>
        </is>
      </c>
      <c r="C3" s="17" t="inlineStr">
        <is>
          <t>PND real (BEL/IS)</t>
        </is>
      </c>
      <c r="D3" s="3" t="inlineStr">
        <is>
          <t>PND NT registro mensual</t>
        </is>
      </c>
      <c r="E3" s="3" t="inlineStr">
        <is>
          <t>PND MEC publicado (cohorte vigencia)</t>
        </is>
      </c>
      <c r="F3" s="17" t="inlineStr">
        <is>
          <t>PND calibrado δ</t>
        </is>
      </c>
      <c r="G3" s="3" t="inlineStr">
        <is>
          <t>RRC bruta real</t>
        </is>
      </c>
      <c r="H3" s="3" t="inlineStr">
        <is>
          <t>RRC bruta calibrado δ</t>
        </is>
      </c>
      <c r="I3" s="3" t="inlineStr">
        <is>
          <t>RRC bruta MEC publicado</t>
        </is>
      </c>
    </row>
    <row r="4">
      <c r="A4" s="5" t="n">
        <v>202301</v>
      </c>
      <c r="B4" s="5" t="n">
        <v>2023</v>
      </c>
      <c r="C4" s="18" t="n">
        <v>295357558.8089995</v>
      </c>
      <c r="D4" s="6" t="n">
        <v>263595182.697538</v>
      </c>
      <c r="E4" s="6" t="n">
        <v>64279124.99909073</v>
      </c>
      <c r="F4" s="18" t="n">
        <v>260331627.5542347</v>
      </c>
      <c r="G4" s="6" t="n">
        <v>173862651.105685</v>
      </c>
      <c r="H4" s="6" t="n">
        <v>171458297.9624861</v>
      </c>
      <c r="I4" s="6" t="n">
        <v>40546631.24587237</v>
      </c>
    </row>
    <row r="5">
      <c r="A5" s="8" t="n">
        <v>202302</v>
      </c>
      <c r="B5" s="8" t="n">
        <v>2023</v>
      </c>
      <c r="C5" s="18" t="n">
        <v>280559388.6606688</v>
      </c>
      <c r="D5" s="9" t="n">
        <v>255014361.2118385</v>
      </c>
      <c r="E5" s="9" t="n">
        <v>58987415.99118266</v>
      </c>
      <c r="F5" s="18" t="n">
        <v>251735025.5605496</v>
      </c>
      <c r="G5" s="9" t="n">
        <v>174509157.8768151</v>
      </c>
      <c r="H5" s="9" t="n">
        <v>172652050.6864525</v>
      </c>
      <c r="I5" s="9" t="n">
        <v>38842907.97487143</v>
      </c>
    </row>
    <row r="6">
      <c r="A6" s="5" t="n">
        <v>202303</v>
      </c>
      <c r="B6" s="5" t="n">
        <v>2023</v>
      </c>
      <c r="C6" s="18" t="n">
        <v>277523486.3820902</v>
      </c>
      <c r="D6" s="6" t="n">
        <v>249973901.6281602</v>
      </c>
      <c r="E6" s="6" t="n">
        <v>56122542.09161039</v>
      </c>
      <c r="F6" s="18" t="n">
        <v>247315704.2715523</v>
      </c>
      <c r="G6" s="6" t="n">
        <v>174824869.5839646</v>
      </c>
      <c r="H6" s="6" t="n">
        <v>168313517.9377725</v>
      </c>
      <c r="I6" s="6" t="n">
        <v>37226851.5141596</v>
      </c>
    </row>
    <row r="7">
      <c r="A7" s="8" t="n">
        <v>202304</v>
      </c>
      <c r="B7" s="8" t="n">
        <v>2023</v>
      </c>
      <c r="C7" s="18" t="n">
        <v>281749335.2179048</v>
      </c>
      <c r="D7" s="9" t="n">
        <v>255836501.6395066</v>
      </c>
      <c r="E7" s="9" t="n">
        <v>59259236.19087311</v>
      </c>
      <c r="F7" s="18" t="n">
        <v>254175237.9657683</v>
      </c>
      <c r="G7" s="9" t="n">
        <v>178563377.3785037</v>
      </c>
      <c r="H7" s="9" t="n">
        <v>170753615.7663896</v>
      </c>
      <c r="I7" s="9" t="n">
        <v>38094950.77329077</v>
      </c>
    </row>
    <row r="8">
      <c r="A8" s="5" t="n">
        <v>202305</v>
      </c>
      <c r="B8" s="5" t="n">
        <v>2023</v>
      </c>
      <c r="C8" s="18" t="n">
        <v>271651284.2272476</v>
      </c>
      <c r="D8" s="6" t="n">
        <v>258614228.514548</v>
      </c>
      <c r="E8" s="6" t="n">
        <v>58769210.664666</v>
      </c>
      <c r="F8" s="18" t="n">
        <v>256916619.3402906</v>
      </c>
      <c r="G8" s="6" t="n">
        <v>172223733.267189</v>
      </c>
      <c r="H8" s="6" t="n">
        <v>170956121.8689577</v>
      </c>
      <c r="I8" s="6" t="n">
        <v>36393773.45779745</v>
      </c>
    </row>
    <row r="9">
      <c r="A9" s="8" t="n">
        <v>202306</v>
      </c>
      <c r="B9" s="8" t="n">
        <v>2023</v>
      </c>
      <c r="C9" s="18" t="n">
        <v>271299652.0172474</v>
      </c>
      <c r="D9" s="9" t="n">
        <v>263322738.4108512</v>
      </c>
      <c r="E9" s="9" t="n">
        <v>59387894.48787172</v>
      </c>
      <c r="F9" s="18" t="n">
        <v>262122502.05542</v>
      </c>
      <c r="G9" s="9" t="n">
        <v>181293086.1337026</v>
      </c>
      <c r="H9" s="9" t="n">
        <v>182163291.8731178</v>
      </c>
      <c r="I9" s="9" t="n">
        <v>35992319.02669197</v>
      </c>
    </row>
    <row r="10">
      <c r="A10" s="5" t="n">
        <v>202307</v>
      </c>
      <c r="B10" s="5" t="n">
        <v>2023</v>
      </c>
      <c r="C10" s="18" t="n">
        <v>270822143.5807092</v>
      </c>
      <c r="D10" s="6" t="n">
        <v>266904657.5226104</v>
      </c>
      <c r="E10" s="6" t="n">
        <v>72908660.0148683</v>
      </c>
      <c r="F10" s="18" t="n">
        <v>265852747.523426</v>
      </c>
      <c r="G10" s="6" t="n">
        <v>184510685.436151</v>
      </c>
      <c r="H10" s="6" t="n">
        <v>183077357.6190471</v>
      </c>
      <c r="I10" s="6" t="n">
        <v>46929803.79822088</v>
      </c>
    </row>
    <row r="11">
      <c r="A11" s="8" t="n">
        <v>202308</v>
      </c>
      <c r="B11" s="8" t="n">
        <v>2023</v>
      </c>
      <c r="C11" s="18" t="n">
        <v>297440390.0298916</v>
      </c>
      <c r="D11" s="9" t="n">
        <v>295543618.5968013</v>
      </c>
      <c r="E11" s="9" t="n">
        <v>79657234.6693393</v>
      </c>
      <c r="F11" s="18" t="n">
        <v>293361572.7587224</v>
      </c>
      <c r="G11" s="9" t="n">
        <v>197806415.6298372</v>
      </c>
      <c r="H11" s="9" t="n">
        <v>199530262.5157415</v>
      </c>
      <c r="I11" s="9" t="n">
        <v>51789796.35898612</v>
      </c>
    </row>
    <row r="12">
      <c r="A12" s="5" t="n">
        <v>202309</v>
      </c>
      <c r="B12" s="5" t="n">
        <v>2023</v>
      </c>
      <c r="C12" s="18" t="n">
        <v>278647967.5402579</v>
      </c>
      <c r="D12" s="6" t="n">
        <v>291197014.6621763</v>
      </c>
      <c r="E12" s="6" t="n">
        <v>75470612.7797645</v>
      </c>
      <c r="F12" s="18" t="n">
        <v>289127662.7730711</v>
      </c>
      <c r="G12" s="6" t="n">
        <v>180032735.0552849</v>
      </c>
      <c r="H12" s="6" t="n">
        <v>191674827.6253445</v>
      </c>
      <c r="I12" s="6" t="n">
        <v>47915830.27855185</v>
      </c>
    </row>
    <row r="13">
      <c r="A13" s="8" t="n">
        <v>202310</v>
      </c>
      <c r="B13" s="8" t="n">
        <v>2023</v>
      </c>
      <c r="C13" s="18" t="n">
        <v>287145976.479777</v>
      </c>
      <c r="D13" s="9" t="n">
        <v>296480477.1160275</v>
      </c>
      <c r="E13" s="9" t="n">
        <v>69365354.49478379</v>
      </c>
      <c r="F13" s="18" t="n">
        <v>294490078.055455</v>
      </c>
      <c r="G13" s="9" t="n">
        <v>186891236.4206263</v>
      </c>
      <c r="H13" s="9" t="n">
        <v>195769364.6059102</v>
      </c>
      <c r="I13" s="9" t="n">
        <v>41951065.12196524</v>
      </c>
    </row>
    <row r="14">
      <c r="A14" s="5" t="n">
        <v>202311</v>
      </c>
      <c r="B14" s="5" t="n">
        <v>2023</v>
      </c>
      <c r="C14" s="18" t="n">
        <v>306962975.3775364</v>
      </c>
      <c r="D14" s="6" t="n">
        <v>318783365.2162989</v>
      </c>
      <c r="E14" s="6" t="n">
        <v>73186775.00083102</v>
      </c>
      <c r="F14" s="18" t="n">
        <v>317824271.2056149</v>
      </c>
      <c r="G14" s="6" t="n">
        <v>198720755.9316283</v>
      </c>
      <c r="H14" s="6" t="n">
        <v>211754101.9442002</v>
      </c>
      <c r="I14" s="6" t="n">
        <v>44952617.09880851</v>
      </c>
    </row>
    <row r="15">
      <c r="A15" s="8" t="n">
        <v>202312</v>
      </c>
      <c r="B15" s="8" t="n">
        <v>2023</v>
      </c>
      <c r="C15" s="18" t="n">
        <v>327647453.4004048</v>
      </c>
      <c r="D15" s="9" t="n">
        <v>343093783.1116837</v>
      </c>
      <c r="E15" s="9" t="n">
        <v>71935793.3108875</v>
      </c>
      <c r="F15" s="18" t="n">
        <v>341965442.5235869</v>
      </c>
      <c r="G15" s="9" t="n">
        <v>218244098.7475393</v>
      </c>
      <c r="H15" s="9" t="n">
        <v>230968743.2408227</v>
      </c>
      <c r="I15" s="9" t="n">
        <v>44659512.7504539</v>
      </c>
    </row>
    <row r="16">
      <c r="A16" s="5" t="n">
        <v>202401</v>
      </c>
      <c r="B16" s="5" t="n">
        <v>2024</v>
      </c>
      <c r="C16" s="18" t="n">
        <v>311526051.1386711</v>
      </c>
      <c r="D16" s="6" t="n">
        <v>324424183.0369085</v>
      </c>
      <c r="E16" s="6" t="n">
        <v>79001344.96432662</v>
      </c>
      <c r="F16" s="18" t="n">
        <v>323248613.0041853</v>
      </c>
      <c r="G16" s="6" t="n">
        <v>204731577.5517112</v>
      </c>
      <c r="H16" s="6" t="n">
        <v>214866467.506043</v>
      </c>
      <c r="I16" s="6" t="n">
        <v>46908429.67238522</v>
      </c>
    </row>
    <row r="17">
      <c r="A17" s="8" t="n">
        <v>202402</v>
      </c>
      <c r="B17" s="8" t="n">
        <v>2024</v>
      </c>
      <c r="C17" s="18" t="n">
        <v>282146490.6423078</v>
      </c>
      <c r="D17" s="9" t="n">
        <v>310142088.2907452</v>
      </c>
      <c r="E17" s="9" t="n">
        <v>70218879.88650128</v>
      </c>
      <c r="F17" s="18" t="n">
        <v>308996559.3642021</v>
      </c>
      <c r="G17" s="9" t="n">
        <v>197084774.3642366</v>
      </c>
      <c r="H17" s="9" t="n">
        <v>210438876.9855877</v>
      </c>
      <c r="I17" s="9" t="n">
        <v>43962360.15042699</v>
      </c>
    </row>
    <row r="18">
      <c r="A18" s="5" t="n">
        <v>202403</v>
      </c>
      <c r="B18" s="5" t="n">
        <v>2024</v>
      </c>
      <c r="C18" s="18" t="n">
        <v>283390266.2355874</v>
      </c>
      <c r="D18" s="6" t="n">
        <v>311435970.8184611</v>
      </c>
      <c r="E18" s="6" t="n">
        <v>64780393.3227344</v>
      </c>
      <c r="F18" s="18" t="n">
        <v>309998054.5719638</v>
      </c>
      <c r="G18" s="6" t="n">
        <v>207397194.6209811</v>
      </c>
      <c r="H18" s="6" t="n">
        <v>220330718.486269</v>
      </c>
      <c r="I18" s="6" t="n">
        <v>42256520.84637158</v>
      </c>
    </row>
    <row r="19">
      <c r="A19" s="8" t="n">
        <v>202404</v>
      </c>
      <c r="B19" s="8" t="n">
        <v>2024</v>
      </c>
      <c r="C19" s="18" t="n">
        <v>365645692.0167364</v>
      </c>
      <c r="D19" s="9" t="n">
        <v>367506058.9749021</v>
      </c>
      <c r="E19" s="9" t="n">
        <v>76872319.65743601</v>
      </c>
      <c r="F19" s="18" t="n">
        <v>365947127.8735681</v>
      </c>
      <c r="G19" s="9" t="n">
        <v>234263850.136628</v>
      </c>
      <c r="H19" s="9" t="n">
        <v>239249844.9535695</v>
      </c>
      <c r="I19" s="9" t="n">
        <v>48425878.24391638</v>
      </c>
    </row>
    <row r="20">
      <c r="A20" s="5" t="n">
        <v>202405</v>
      </c>
      <c r="B20" s="5" t="n">
        <v>2024</v>
      </c>
      <c r="C20" s="18" t="n">
        <v>371785316.9142763</v>
      </c>
      <c r="D20" s="6" t="n">
        <v>373104406.5533496</v>
      </c>
      <c r="E20" s="6" t="n">
        <v>79674818.01297341</v>
      </c>
      <c r="F20" s="18" t="n">
        <v>371785982.3795892</v>
      </c>
      <c r="G20" s="6" t="n">
        <v>233700202.8871654</v>
      </c>
      <c r="H20" s="6" t="n">
        <v>237664304.4111026</v>
      </c>
      <c r="I20" s="6" t="n">
        <v>48364377.85027799</v>
      </c>
    </row>
    <row r="21">
      <c r="A21" s="8" t="n">
        <v>202406</v>
      </c>
      <c r="B21" s="8" t="n">
        <v>2024</v>
      </c>
      <c r="C21" s="18" t="n">
        <v>350066174.2805562</v>
      </c>
      <c r="D21" s="9" t="n">
        <v>356211524.7225753</v>
      </c>
      <c r="E21" s="9" t="n">
        <v>73471190.05254579</v>
      </c>
      <c r="F21" s="18" t="n">
        <v>353578010.2290204</v>
      </c>
      <c r="G21" s="9" t="n">
        <v>234323985.1647691</v>
      </c>
      <c r="H21" s="9" t="n">
        <v>240536885.0357493</v>
      </c>
      <c r="I21" s="9" t="n">
        <v>45804725.07881877</v>
      </c>
    </row>
    <row r="22">
      <c r="A22" s="5" t="n">
        <v>202407</v>
      </c>
      <c r="B22" s="5" t="n">
        <v>2024</v>
      </c>
      <c r="C22" s="18" t="n">
        <v>381169942.9264997</v>
      </c>
      <c r="D22" s="6" t="n">
        <v>386244762.6019582</v>
      </c>
      <c r="E22" s="6" t="n">
        <v>94298560.25238015</v>
      </c>
      <c r="F22" s="18" t="n">
        <v>384331447.8386047</v>
      </c>
      <c r="G22" s="6" t="n">
        <v>252839451.8623873</v>
      </c>
      <c r="H22" s="6" t="n">
        <v>258073179.9617532</v>
      </c>
      <c r="I22" s="6" t="n">
        <v>57865007.45192017</v>
      </c>
    </row>
    <row r="23">
      <c r="A23" s="8" t="n">
        <v>202408</v>
      </c>
      <c r="B23" s="8" t="n">
        <v>2024</v>
      </c>
      <c r="C23" s="18" t="n">
        <v>407639846.9559226</v>
      </c>
      <c r="D23" s="9" t="n">
        <v>400634034.1241974</v>
      </c>
      <c r="E23" s="9" t="n">
        <v>104324262.9827873</v>
      </c>
      <c r="F23" s="18" t="n">
        <v>400499028.670185</v>
      </c>
      <c r="G23" s="9" t="n">
        <v>266061141.7222005</v>
      </c>
      <c r="H23" s="9" t="n">
        <v>261663068.8006712</v>
      </c>
      <c r="I23" s="9" t="n">
        <v>66637757.00295928</v>
      </c>
    </row>
    <row r="24">
      <c r="A24" s="5" t="n">
        <v>202409</v>
      </c>
      <c r="B24" s="5" t="n">
        <v>2024</v>
      </c>
      <c r="C24" s="18" t="n">
        <v>392656424.1501926</v>
      </c>
      <c r="D24" s="6" t="n">
        <v>384493951.8864198</v>
      </c>
      <c r="E24" s="6" t="n">
        <v>93227240.33230717</v>
      </c>
      <c r="F24" s="18" t="n">
        <v>383501784.5414505</v>
      </c>
      <c r="G24" s="6" t="n">
        <v>253380912.1967693</v>
      </c>
      <c r="H24" s="6" t="n">
        <v>250720827.2924812</v>
      </c>
      <c r="I24" s="6" t="n">
        <v>59361567.01111719</v>
      </c>
    </row>
    <row r="25">
      <c r="A25" s="8" t="n">
        <v>202410</v>
      </c>
      <c r="B25" s="8" t="n">
        <v>2024</v>
      </c>
      <c r="C25" s="18" t="n">
        <v>386997259.3452154</v>
      </c>
      <c r="D25" s="9" t="n">
        <v>382247027.8352164</v>
      </c>
      <c r="E25" s="9" t="n">
        <v>88926736.32733159</v>
      </c>
      <c r="F25" s="18" t="n">
        <v>381582206.9317402</v>
      </c>
      <c r="G25" s="9" t="n">
        <v>253647753.0705765</v>
      </c>
      <c r="H25" s="9" t="n">
        <v>251508186.9865965</v>
      </c>
      <c r="I25" s="9" t="n">
        <v>56561621.9480335</v>
      </c>
    </row>
    <row r="26">
      <c r="A26" s="5" t="n">
        <v>202411</v>
      </c>
      <c r="B26" s="5" t="n">
        <v>2024</v>
      </c>
      <c r="C26" s="18" t="n">
        <v>408916822.3933392</v>
      </c>
      <c r="D26" s="6" t="n">
        <v>408686234.8982319</v>
      </c>
      <c r="E26" s="6" t="n">
        <v>80420175.81977949</v>
      </c>
      <c r="F26" s="18" t="n">
        <v>408206828.1139429</v>
      </c>
      <c r="G26" s="6" t="n">
        <v>271128194.7409521</v>
      </c>
      <c r="H26" s="6" t="n">
        <v>269751545.6140099</v>
      </c>
      <c r="I26" s="6" t="n">
        <v>50929627.43211499</v>
      </c>
    </row>
    <row r="27">
      <c r="A27" s="8" t="n">
        <v>202412</v>
      </c>
      <c r="B27" s="8" t="n">
        <v>2024</v>
      </c>
      <c r="C27" s="18" t="n">
        <v>417767696.2819993</v>
      </c>
      <c r="D27" s="9" t="n">
        <v>424471641.6478032</v>
      </c>
      <c r="E27" s="9" t="n">
        <v>73699555.37151803</v>
      </c>
      <c r="F27" s="18" t="n">
        <v>423720335.8195693</v>
      </c>
      <c r="G27" s="9" t="n">
        <v>283045473.0109324</v>
      </c>
      <c r="H27" s="9" t="n">
        <v>285564593.815961</v>
      </c>
      <c r="I27" s="9" t="n">
        <v>48502105.49060834</v>
      </c>
    </row>
    <row r="28">
      <c r="A28" s="5" t="n">
        <v>202501</v>
      </c>
      <c r="B28" s="5" t="n">
        <v>2025</v>
      </c>
      <c r="C28" s="18" t="n">
        <v>425265627.3710813</v>
      </c>
      <c r="D28" s="6" t="n">
        <v>432338138.0769665</v>
      </c>
      <c r="E28" s="6" t="n">
        <v>85679081.65866117</v>
      </c>
      <c r="F28" s="18" t="n">
        <v>432079546.2623884</v>
      </c>
      <c r="G28" s="6" t="n">
        <v>286920808.0441434</v>
      </c>
      <c r="H28" s="6" t="n">
        <v>288824421.63306</v>
      </c>
      <c r="I28" s="6" t="n">
        <v>53375604.19310351</v>
      </c>
    </row>
    <row r="29">
      <c r="A29" s="8" t="n">
        <v>202502</v>
      </c>
      <c r="B29" s="8" t="n">
        <v>2025</v>
      </c>
      <c r="C29" s="18" t="n">
        <v>432510444.0721266</v>
      </c>
      <c r="D29" s="9" t="n">
        <v>432681350.5164384</v>
      </c>
      <c r="E29" s="9" t="n">
        <v>85687944.59551534</v>
      </c>
      <c r="F29" s="18" t="n">
        <v>432470982.9379742</v>
      </c>
      <c r="G29" s="9" t="n">
        <v>285355980.4511571</v>
      </c>
      <c r="H29" s="9" t="n">
        <v>281999358.9476629</v>
      </c>
      <c r="I29" s="9" t="n">
        <v>53082655.59691256</v>
      </c>
    </row>
    <row r="30">
      <c r="A30" s="5" t="n">
        <v>202503</v>
      </c>
      <c r="B30" s="5" t="n">
        <v>2025</v>
      </c>
      <c r="C30" s="18" t="n">
        <v>431024123.1239504</v>
      </c>
      <c r="D30" s="6" t="n">
        <v>428250353.579492</v>
      </c>
      <c r="E30" s="6" t="n">
        <v>80566572.91542959</v>
      </c>
      <c r="F30" s="18" t="n">
        <v>428600366.4546505</v>
      </c>
      <c r="G30" s="6" t="n">
        <v>294244734.0819339</v>
      </c>
      <c r="H30" s="6" t="n">
        <v>283547657.1159477</v>
      </c>
      <c r="I30" s="6" t="n">
        <v>50471684.27564637</v>
      </c>
    </row>
    <row r="31">
      <c r="A31" s="8" t="n">
        <v>202504</v>
      </c>
      <c r="B31" s="8" t="n">
        <v>2025</v>
      </c>
      <c r="C31" s="18" t="n">
        <v>449284578.5978478</v>
      </c>
      <c r="D31" s="9" t="n">
        <v>433545983.626675</v>
      </c>
      <c r="E31" s="9" t="n">
        <v>89047297.36808774</v>
      </c>
      <c r="F31" s="18" t="n">
        <v>433728126.7059684</v>
      </c>
      <c r="G31" s="9" t="n">
        <v>304587085.4249092</v>
      </c>
      <c r="H31" s="9" t="n">
        <v>286532294.1648687</v>
      </c>
      <c r="I31" s="9" t="n">
        <v>54680374.17532486</v>
      </c>
    </row>
    <row r="32">
      <c r="A32" s="5" t="n">
        <v>202505</v>
      </c>
      <c r="B32" s="5" t="n">
        <v>2025</v>
      </c>
      <c r="C32" s="18" t="n">
        <v>449937431.2908272</v>
      </c>
      <c r="D32" s="6" t="n">
        <v>435100810.1241277</v>
      </c>
      <c r="E32" s="6" t="n">
        <v>94763864.03964312</v>
      </c>
      <c r="F32" s="18" t="n">
        <v>434952167.1960795</v>
      </c>
      <c r="G32" s="6" t="n">
        <v>298088994.6745928</v>
      </c>
      <c r="H32" s="6" t="n">
        <v>283373981.6982775</v>
      </c>
      <c r="I32" s="6" t="n">
        <v>57299539.99098708</v>
      </c>
    </row>
    <row r="33">
      <c r="A33" s="8" t="n">
        <v>202506</v>
      </c>
      <c r="B33" s="8" t="n">
        <v>2025</v>
      </c>
      <c r="C33" s="18" t="n">
        <v>466328904.8962245</v>
      </c>
      <c r="D33" s="9" t="n">
        <v>450340018.8797171</v>
      </c>
      <c r="E33" s="9" t="n">
        <v>97542864.53134219</v>
      </c>
      <c r="F33" s="18" t="n">
        <v>450516745.8201845</v>
      </c>
      <c r="G33" s="9" t="n">
        <v>310384305.4957528</v>
      </c>
      <c r="H33" s="9" t="n">
        <v>298155959.0933262</v>
      </c>
      <c r="I33" s="9" t="n">
        <v>59566127.05609806</v>
      </c>
    </row>
    <row r="34">
      <c r="A34" s="5" t="n">
        <v>202507</v>
      </c>
      <c r="B34" s="5" t="n">
        <v>2025</v>
      </c>
      <c r="C34" s="18" t="n">
        <v>486596811.2181756</v>
      </c>
      <c r="D34" s="6" t="n">
        <v>483396096.2322226</v>
      </c>
      <c r="E34" s="6" t="n">
        <v>116113865.9367007</v>
      </c>
      <c r="F34" s="18" t="n">
        <v>483205861.0446921</v>
      </c>
      <c r="G34" s="6" t="n">
        <v>322611495.8739665</v>
      </c>
      <c r="H34" s="6" t="n">
        <v>312910672.4612294</v>
      </c>
      <c r="I34" s="6" t="n">
        <v>72475065.19439249</v>
      </c>
    </row>
    <row r="35">
      <c r="A35" s="8" t="n">
        <v>202508</v>
      </c>
      <c r="B35" s="8" t="n">
        <v>2025</v>
      </c>
      <c r="C35" s="18" t="n">
        <v>490228857.8719625</v>
      </c>
      <c r="D35" s="9" t="n">
        <v>483768934.1321358</v>
      </c>
      <c r="E35" s="9" t="n">
        <v>114347342.4490132</v>
      </c>
      <c r="F35" s="18" t="n">
        <v>482853492.0033115</v>
      </c>
      <c r="G35" s="9" t="n">
        <v>325981707.1125044</v>
      </c>
      <c r="H35" s="9" t="n">
        <v>312607155.9847194</v>
      </c>
      <c r="I35" s="9" t="n">
        <v>72567068.20794314</v>
      </c>
    </row>
    <row r="36">
      <c r="A36" s="5" t="n">
        <v>202509</v>
      </c>
      <c r="B36" s="5" t="n">
        <v>2025</v>
      </c>
      <c r="C36" s="18" t="n">
        <v>507540872.775081</v>
      </c>
      <c r="D36" s="6" t="n">
        <v>503698760.3003458</v>
      </c>
      <c r="E36" s="6" t="n">
        <v>109665675.8994119</v>
      </c>
      <c r="F36" s="18" t="n">
        <v>503843603.368808</v>
      </c>
      <c r="G36" s="6" t="n">
        <v>330203674.0192305</v>
      </c>
      <c r="H36" s="6" t="n">
        <v>320423236.9967098</v>
      </c>
      <c r="I36" s="6" t="n">
        <v>69876591.07885522</v>
      </c>
    </row>
    <row r="37">
      <c r="A37" s="8" t="n">
        <v>202510</v>
      </c>
      <c r="B37" s="8" t="n">
        <v>2025</v>
      </c>
      <c r="C37" s="18" t="n">
        <v>515771994.2066162</v>
      </c>
      <c r="D37" s="9" t="n">
        <v>512136229.297969</v>
      </c>
      <c r="E37" s="9" t="n">
        <v>117763233.2978296</v>
      </c>
      <c r="F37" s="18" t="n">
        <v>512466285.7017083</v>
      </c>
      <c r="G37" s="9" t="n">
        <v>334126389.4314194</v>
      </c>
      <c r="H37" s="9" t="n">
        <v>327652488.8087406</v>
      </c>
      <c r="I37" s="9" t="n">
        <v>74890881.32049425</v>
      </c>
    </row>
    <row r="38">
      <c r="A38" s="5" t="n">
        <v>202511</v>
      </c>
      <c r="B38" s="5" t="n">
        <v>2025</v>
      </c>
      <c r="C38" s="18" t="n">
        <v>543035594.3502362</v>
      </c>
      <c r="D38" s="6" t="n">
        <v>542359373.1125289</v>
      </c>
      <c r="E38" s="6" t="n">
        <v>112361443.4257593</v>
      </c>
      <c r="F38" s="18" t="n">
        <v>540332173.7625153</v>
      </c>
      <c r="G38" s="6" t="n">
        <v>350838523.7388837</v>
      </c>
      <c r="H38" s="6" t="n">
        <v>347407314.1168948</v>
      </c>
      <c r="I38" s="6" t="n">
        <v>73080153.3904022</v>
      </c>
    </row>
    <row r="39">
      <c r="A39" s="8" t="n">
        <v>202512</v>
      </c>
      <c r="B39" s="8" t="n">
        <v>2025</v>
      </c>
      <c r="C39" s="18" t="n">
        <v>522243323.4166828</v>
      </c>
      <c r="D39" s="9" t="n">
        <v>518069844.3458605</v>
      </c>
      <c r="E39" s="9" t="n">
        <v>98867146.22581114</v>
      </c>
      <c r="F39" s="18" t="n">
        <v>515919344.4783565</v>
      </c>
      <c r="G39" s="9" t="n">
        <v>334505949.9089294</v>
      </c>
      <c r="H39" s="9" t="n">
        <v>329882766.8716528</v>
      </c>
      <c r="I39" s="9" t="n">
        <v>63882415.07059084</v>
      </c>
    </row>
    <row r="40">
      <c r="A40" s="5" t="n">
        <v>202601</v>
      </c>
      <c r="B40" s="5" t="n">
        <v>2026</v>
      </c>
      <c r="C40" s="18" t="n">
        <v>543603565.6937832</v>
      </c>
      <c r="D40" s="6" t="n">
        <v>532866813.6620775</v>
      </c>
      <c r="E40" s="6" t="n">
        <v>110828812.8315532</v>
      </c>
      <c r="F40" s="18" t="n">
        <v>530842916.5308914</v>
      </c>
      <c r="G40" s="6" t="n">
        <v>336105879.7021831</v>
      </c>
      <c r="H40" s="6" t="n">
        <v>330227965.3256938</v>
      </c>
      <c r="I40" s="6" t="n">
        <v>67870560.24943125</v>
      </c>
    </row>
    <row r="41">
      <c r="A41" s="8" t="n">
        <v>202602</v>
      </c>
      <c r="B41" s="8" t="n">
        <v>2026</v>
      </c>
      <c r="C41" s="18" t="n">
        <v>540117307.8952526</v>
      </c>
      <c r="D41" s="9" t="n">
        <v>542179409.2738765</v>
      </c>
      <c r="E41" s="9" t="n">
        <v>106924626.8276879</v>
      </c>
      <c r="F41" s="18" t="n">
        <v>539495721.6444966</v>
      </c>
      <c r="G41" s="9" t="n">
        <v>339778667.0574172</v>
      </c>
      <c r="H41" s="9" t="n">
        <v>347543920.6251619</v>
      </c>
      <c r="I41" s="9" t="n">
        <v>68166357.57475318</v>
      </c>
    </row>
    <row r="42">
      <c r="A42" s="5" t="n">
        <v>202603</v>
      </c>
      <c r="B42" s="5" t="n">
        <v>2026</v>
      </c>
      <c r="C42" s="18" t="n">
        <v>536836472.2075441</v>
      </c>
      <c r="D42" s="6" t="n">
        <v>531034479.7780398</v>
      </c>
      <c r="E42" s="6" t="n">
        <v>97299624.75541781</v>
      </c>
      <c r="F42" s="18" t="n">
        <v>527819782.58397</v>
      </c>
      <c r="G42" s="6" t="n">
        <v>342796108.6308661</v>
      </c>
      <c r="H42" s="6" t="n">
        <v>341911296.2086041</v>
      </c>
      <c r="I42" s="6" t="n">
        <v>61991062.69340961</v>
      </c>
    </row>
    <row r="43">
      <c r="A43" s="8" t="n">
        <v>202604</v>
      </c>
      <c r="B43" s="8" t="n">
        <v>2026</v>
      </c>
      <c r="C43" s="18" t="n">
        <v>570331494.8820662</v>
      </c>
      <c r="D43" s="9" t="n">
        <v>557173963.7243826</v>
      </c>
      <c r="E43" s="9" t="n">
        <v>120564816.7165278</v>
      </c>
      <c r="F43" s="18" t="n">
        <v>552964345.9696318</v>
      </c>
      <c r="G43" s="9" t="n">
        <v>364224950.978888</v>
      </c>
      <c r="H43" s="9" t="n">
        <v>355334857.5080153</v>
      </c>
      <c r="I43" s="9" t="n">
        <v>77731661.47568581</v>
      </c>
    </row>
    <row r="44">
      <c r="A44" s="5" t="n">
        <v>202605</v>
      </c>
      <c r="B44" s="5" t="n">
        <v>2026</v>
      </c>
      <c r="C44" s="18" t="n">
        <v>559239310.1987755</v>
      </c>
      <c r="D44" s="6" t="n">
        <v>549264675.7132238</v>
      </c>
      <c r="E44" s="6" t="n">
        <v>130873894.4058458</v>
      </c>
      <c r="F44" s="18" t="n">
        <v>544175560.705219</v>
      </c>
      <c r="G44" s="6" t="n">
        <v>370368345.1116199</v>
      </c>
      <c r="H44" s="6" t="n">
        <v>360323643.4220864</v>
      </c>
      <c r="I44" s="6" t="n">
        <v>88119976.72235881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</cols>
  <sheetData>
    <row r="1">
      <c r="A1" s="1" t="inlineStr">
        <is>
          <t>PRIMA DEVENGADA POR RAMO Y AÑO CONTABLE · REAL vs VARIANTES (USD)</t>
        </is>
      </c>
    </row>
    <row r="2" ht="30" customHeight="1">
      <c r="A2" s="2" t="inlineStr">
        <is>
          <t>err% = (modelo − real) / real. Año contable = año del mes de valuación. 2026 = enero–may.</t>
        </is>
      </c>
    </row>
    <row r="3" ht="32" customHeight="1">
      <c r="A3" s="3" t="inlineStr">
        <is>
          <t>Grupo</t>
        </is>
      </c>
      <c r="B3" s="3" t="inlineStr">
        <is>
          <t>Año contable</t>
        </is>
      </c>
      <c r="C3" s="3" t="inlineStr">
        <is>
          <t>PE</t>
        </is>
      </c>
      <c r="D3" s="3" t="inlineStr">
        <is>
          <t>PR</t>
        </is>
      </c>
      <c r="E3" s="3" t="inlineStr">
        <is>
          <t>PD_tom_real</t>
        </is>
      </c>
      <c r="F3" s="3" t="inlineStr">
        <is>
          <t>PD_ret_real</t>
        </is>
      </c>
      <c r="G3" s="3" t="inlineStr">
        <is>
          <t>dBRUTO_real</t>
        </is>
      </c>
      <c r="H3" s="3" t="inlineStr">
        <is>
          <t>dNETO_real</t>
        </is>
      </c>
      <c r="I3" s="3" t="inlineStr">
        <is>
          <t>PE_MXN</t>
        </is>
      </c>
      <c r="J3" s="3" t="inlineStr">
        <is>
          <t>PD_tom_real_MXN</t>
        </is>
      </c>
      <c r="K3" s="3" t="inlineStr">
        <is>
          <t>PD_ret_real_MXN</t>
        </is>
      </c>
      <c r="L3" s="3" t="inlineStr">
        <is>
          <t>PD_tom_NT_reg_m</t>
        </is>
      </c>
      <c r="M3" s="3" t="inlineStr">
        <is>
          <t>PD_ret_NT_reg_m</t>
        </is>
      </c>
      <c r="N3" s="3" t="inlineStr">
        <is>
          <t>dBRUTO_NT_reg_m</t>
        </is>
      </c>
      <c r="O3" s="3" t="inlineStr">
        <is>
          <t>dNETO_NT_reg_m</t>
        </is>
      </c>
      <c r="P3" s="3" t="inlineStr">
        <is>
          <t>PD_tom_NT_reg_m_MXN</t>
        </is>
      </c>
      <c r="Q3" s="3" t="inlineStr">
        <is>
          <t>PD_ret_NT_reg_m_MXN</t>
        </is>
      </c>
      <c r="R3" s="3" t="inlineStr">
        <is>
          <t>PD_tom_NT_reg_t</t>
        </is>
      </c>
      <c r="S3" s="3" t="inlineStr">
        <is>
          <t>PD_ret_NT_reg_t</t>
        </is>
      </c>
      <c r="T3" s="3" t="inlineStr">
        <is>
          <t>dBRUTO_NT_reg_t</t>
        </is>
      </c>
      <c r="U3" s="3" t="inlineStr">
        <is>
          <t>dNETO_NT_reg_t</t>
        </is>
      </c>
      <c r="V3" s="3" t="inlineStr">
        <is>
          <t>PD_tom_NT_reg_t_MXN</t>
        </is>
      </c>
      <c r="W3" s="3" t="inlineStr">
        <is>
          <t>PD_ret_NT_reg_t_MXN</t>
        </is>
      </c>
      <c r="X3" s="3" t="inlineStr">
        <is>
          <t>PD_tom_NT_reg_susc</t>
        </is>
      </c>
      <c r="Y3" s="3" t="inlineStr">
        <is>
          <t>PD_ret_NT_reg_susc</t>
        </is>
      </c>
      <c r="Z3" s="3" t="inlineStr">
        <is>
          <t>dBRUTO_NT_reg_susc</t>
        </is>
      </c>
      <c r="AA3" s="3" t="inlineStr">
        <is>
          <t>dNETO_NT_reg_susc</t>
        </is>
      </c>
      <c r="AB3" s="3" t="inlineStr">
        <is>
          <t>PD_tom_NT_reg_susc_MXN</t>
        </is>
      </c>
      <c r="AC3" s="3" t="inlineStr">
        <is>
          <t>PD_ret_NT_reg_susc_MXN</t>
        </is>
      </c>
      <c r="AD3" s="3" t="inlineStr">
        <is>
          <t>PD_tom_MEC_pub</t>
        </is>
      </c>
      <c r="AE3" s="3" t="inlineStr">
        <is>
          <t>PD_ret_MEC_pub</t>
        </is>
      </c>
      <c r="AF3" s="3" t="inlineStr">
        <is>
          <t>dBRUTO_MEC_pub</t>
        </is>
      </c>
      <c r="AG3" s="3" t="inlineStr">
        <is>
          <t>dNETO_MEC_pub</t>
        </is>
      </c>
      <c r="AH3" s="3" t="inlineStr">
        <is>
          <t>PD_tom_MEC_pub_MXN</t>
        </is>
      </c>
      <c r="AI3" s="3" t="inlineStr">
        <is>
          <t>PD_ret_MEC_pub_MXN</t>
        </is>
      </c>
      <c r="AJ3" s="3" t="inlineStr">
        <is>
          <t>PD_tom_MEC_prop</t>
        </is>
      </c>
      <c r="AK3" s="3" t="inlineStr">
        <is>
          <t>PD_ret_MEC_prop</t>
        </is>
      </c>
      <c r="AL3" s="3" t="inlineStr">
        <is>
          <t>dBRUTO_MEC_prop</t>
        </is>
      </c>
      <c r="AM3" s="3" t="inlineStr">
        <is>
          <t>dNETO_MEC_prop</t>
        </is>
      </c>
      <c r="AN3" s="3" t="inlineStr">
        <is>
          <t>PD_tom_MEC_prop_MXN</t>
        </is>
      </c>
      <c r="AO3" s="3" t="inlineStr">
        <is>
          <t>PD_ret_MEC_prop_MXN</t>
        </is>
      </c>
      <c r="AP3" s="3" t="inlineStr">
        <is>
          <t>PD_tom_MEC_reg</t>
        </is>
      </c>
      <c r="AQ3" s="3" t="inlineStr">
        <is>
          <t>PD_ret_MEC_reg</t>
        </is>
      </c>
      <c r="AR3" s="3" t="inlineStr">
        <is>
          <t>dBRUTO_MEC_reg</t>
        </is>
      </c>
      <c r="AS3" s="3" t="inlineStr">
        <is>
          <t>dNETO_MEC_reg</t>
        </is>
      </c>
      <c r="AT3" s="3" t="inlineStr">
        <is>
          <t>PD_tom_MEC_reg_MXN</t>
        </is>
      </c>
      <c r="AU3" s="3" t="inlineStr">
        <is>
          <t>PD_ret_MEC_reg_MXN</t>
        </is>
      </c>
      <c r="AV3" s="3" t="inlineStr">
        <is>
          <t>PD_tom_CAL</t>
        </is>
      </c>
      <c r="AW3" s="3" t="inlineStr">
        <is>
          <t>PD_ret_CAL</t>
        </is>
      </c>
      <c r="AX3" s="3" t="inlineStr">
        <is>
          <t>dBRUTO_CAL</t>
        </is>
      </c>
      <c r="AY3" s="3" t="inlineStr">
        <is>
          <t>dNETO_CAL</t>
        </is>
      </c>
      <c r="AZ3" s="3" t="inlineStr">
        <is>
          <t>PD_tom_CAL_MXN</t>
        </is>
      </c>
      <c r="BA3" s="3" t="inlineStr">
        <is>
          <t>PD_ret_CAL_MXN</t>
        </is>
      </c>
      <c r="BB3" s="3" t="inlineStr">
        <is>
          <t>err_tom_NT_reg_m</t>
        </is>
      </c>
      <c r="BC3" s="3" t="inlineStr">
        <is>
          <t>err%_tom_NT_reg_m</t>
        </is>
      </c>
      <c r="BD3" s="3" t="inlineStr">
        <is>
          <t>err_ret_NT_reg_m</t>
        </is>
      </c>
      <c r="BE3" s="3" t="inlineStr">
        <is>
          <t>err%_ret_NT_reg_m</t>
        </is>
      </c>
      <c r="BF3" s="3" t="inlineStr">
        <is>
          <t>err_tom_NT_reg_t</t>
        </is>
      </c>
      <c r="BG3" s="3" t="inlineStr">
        <is>
          <t>err%_tom_NT_reg_t</t>
        </is>
      </c>
      <c r="BH3" s="3" t="inlineStr">
        <is>
          <t>err_ret_NT_reg_t</t>
        </is>
      </c>
      <c r="BI3" s="3" t="inlineStr">
        <is>
          <t>err%_ret_NT_reg_t</t>
        </is>
      </c>
      <c r="BJ3" s="3" t="inlineStr">
        <is>
          <t>err_tom_NT_reg_susc</t>
        </is>
      </c>
      <c r="BK3" s="3" t="inlineStr">
        <is>
          <t>err%_tom_NT_reg_susc</t>
        </is>
      </c>
      <c r="BL3" s="3" t="inlineStr">
        <is>
          <t>err_ret_NT_reg_susc</t>
        </is>
      </c>
      <c r="BM3" s="3" t="inlineStr">
        <is>
          <t>err%_ret_NT_reg_susc</t>
        </is>
      </c>
      <c r="BN3" s="3" t="inlineStr">
        <is>
          <t>err_tom_MEC_pub</t>
        </is>
      </c>
      <c r="BO3" s="3" t="inlineStr">
        <is>
          <t>err%_tom_MEC_pub</t>
        </is>
      </c>
      <c r="BP3" s="3" t="inlineStr">
        <is>
          <t>err_ret_MEC_pub</t>
        </is>
      </c>
      <c r="BQ3" s="3" t="inlineStr">
        <is>
          <t>err%_ret_MEC_pub</t>
        </is>
      </c>
      <c r="BR3" s="3" t="inlineStr">
        <is>
          <t>err_tom_MEC_prop</t>
        </is>
      </c>
      <c r="BS3" s="3" t="inlineStr">
        <is>
          <t>err%_tom_MEC_prop</t>
        </is>
      </c>
      <c r="BT3" s="3" t="inlineStr">
        <is>
          <t>err_ret_MEC_prop</t>
        </is>
      </c>
      <c r="BU3" s="3" t="inlineStr">
        <is>
          <t>err%_ret_MEC_prop</t>
        </is>
      </c>
      <c r="BV3" s="3" t="inlineStr">
        <is>
          <t>err_tom_MEC_reg</t>
        </is>
      </c>
      <c r="BW3" s="3" t="inlineStr">
        <is>
          <t>err%_tom_MEC_reg</t>
        </is>
      </c>
      <c r="BX3" s="3" t="inlineStr">
        <is>
          <t>err_ret_MEC_reg</t>
        </is>
      </c>
      <c r="BY3" s="3" t="inlineStr">
        <is>
          <t>err%_ret_MEC_reg</t>
        </is>
      </c>
      <c r="BZ3" s="3" t="inlineStr">
        <is>
          <t>err_tom_CAL</t>
        </is>
      </c>
      <c r="CA3" s="3" t="inlineStr">
        <is>
          <t>err%_tom_CAL</t>
        </is>
      </c>
      <c r="CB3" s="3" t="inlineStr">
        <is>
          <t>err_ret_CAL</t>
        </is>
      </c>
      <c r="CC3" s="3" t="inlineStr">
        <is>
          <t>err%_ret_CAL</t>
        </is>
      </c>
    </row>
    <row r="4">
      <c r="A4" s="4" t="inlineStr">
        <is>
          <t>Agro</t>
        </is>
      </c>
      <c r="B4" s="5" t="n">
        <v>2023</v>
      </c>
      <c r="C4" s="6" t="n">
        <v>19110630.5411796</v>
      </c>
      <c r="D4" s="6" t="n">
        <v>18152020.80812243</v>
      </c>
      <c r="E4" s="6" t="n">
        <v>23620854.82528141</v>
      </c>
      <c r="F4" s="6" t="n">
        <v>22443360.66547414</v>
      </c>
      <c r="G4" s="6" t="n">
        <v>-4510224.28410181</v>
      </c>
      <c r="H4" s="6" t="n">
        <v>-4291339.857351709</v>
      </c>
      <c r="I4" s="6" t="n">
        <v>335368065.5602233</v>
      </c>
      <c r="J4" s="6" t="n">
        <v>419164517.788193</v>
      </c>
      <c r="K4" s="6" t="n">
        <v>398225009.4170054</v>
      </c>
      <c r="L4" s="6" t="n">
        <v>27616373.82619323</v>
      </c>
      <c r="M4" s="6" t="n">
        <v>26264421.17260592</v>
      </c>
      <c r="N4" s="6" t="n">
        <v>-8505743.285013627</v>
      </c>
      <c r="O4" s="6" t="n">
        <v>-8112400.364483498</v>
      </c>
      <c r="P4" s="6" t="n">
        <v>490520306.1303407</v>
      </c>
      <c r="Q4" s="6" t="n">
        <v>466454163.2857235</v>
      </c>
      <c r="R4" s="6" t="n">
        <v>26678643.80234979</v>
      </c>
      <c r="S4" s="6" t="n">
        <v>25370806.75253864</v>
      </c>
      <c r="T4" s="6" t="n">
        <v>-7568013.261170186</v>
      </c>
      <c r="U4" s="6" t="n">
        <v>-7218785.94441621</v>
      </c>
      <c r="V4" s="6" t="n">
        <v>473731266.3688934</v>
      </c>
      <c r="W4" s="6" t="n">
        <v>450460277.8382121</v>
      </c>
      <c r="X4" s="6" t="n">
        <v>24200415.24382103</v>
      </c>
      <c r="Y4" s="6" t="n">
        <v>23026842.35263902</v>
      </c>
      <c r="Z4" s="6" t="n">
        <v>-5089784.702641429</v>
      </c>
      <c r="AA4" s="6" t="n">
        <v>-4874821.544516596</v>
      </c>
      <c r="AB4" s="6" t="n">
        <v>424656695.6784183</v>
      </c>
      <c r="AC4" s="6" t="n">
        <v>404070366.0599923</v>
      </c>
      <c r="AD4" s="6" t="n">
        <v>19026463.6596291</v>
      </c>
      <c r="AE4" s="6" t="n">
        <v>18068365.7475007</v>
      </c>
      <c r="AF4" s="6" t="n">
        <v>84166.88155050273</v>
      </c>
      <c r="AG4" s="6" t="n">
        <v>83655.06062172889</v>
      </c>
      <c r="AH4" s="6" t="n">
        <v>334238554.0825594</v>
      </c>
      <c r="AI4" s="6" t="n">
        <v>317413080.3189344</v>
      </c>
      <c r="AJ4" s="6" t="n">
        <v>19190260.31224136</v>
      </c>
      <c r="AK4" s="6" t="n">
        <v>18226779.17983057</v>
      </c>
      <c r="AL4" s="6" t="n">
        <v>-79629.7710617542</v>
      </c>
      <c r="AM4" s="6" t="n">
        <v>-74758.37170813861</v>
      </c>
      <c r="AN4" s="6" t="n">
        <v>336884933.0032412</v>
      </c>
      <c r="AO4" s="6" t="n">
        <v>319974988.4495971</v>
      </c>
      <c r="AP4" s="6" t="n">
        <v>26907846.45579182</v>
      </c>
      <c r="AQ4" s="6" t="n">
        <v>25583737.86890454</v>
      </c>
      <c r="AR4" s="6" t="n">
        <v>-7797215.914612217</v>
      </c>
      <c r="AS4" s="6" t="n">
        <v>-7431717.06078211</v>
      </c>
      <c r="AT4" s="6" t="n">
        <v>478382580.3870882</v>
      </c>
      <c r="AU4" s="6" t="n">
        <v>454794154.7546293</v>
      </c>
      <c r="AV4" s="6" t="n">
        <v>26621072.55972652</v>
      </c>
      <c r="AW4" s="6" t="n">
        <v>25316670.29768128</v>
      </c>
      <c r="AX4" s="6" t="n">
        <v>-7510442.018546917</v>
      </c>
      <c r="AY4" s="6" t="n">
        <v>-7164649.489558853</v>
      </c>
      <c r="AZ4" s="6" t="n">
        <v>472583730.1202397</v>
      </c>
      <c r="BA4" s="6" t="n">
        <v>449380338.4064765</v>
      </c>
      <c r="BB4" s="6" t="n">
        <v>3995519.000911817</v>
      </c>
      <c r="BC4" s="7" t="n">
        <v>0.1691521763486481</v>
      </c>
      <c r="BD4" s="6" t="n">
        <v>3821060.507131789</v>
      </c>
      <c r="BE4" s="7" t="n">
        <v>0.1702534911810216</v>
      </c>
      <c r="BF4" s="6" t="n">
        <v>3057788.977068376</v>
      </c>
      <c r="BG4" s="7" t="n">
        <v>0.129452934692085</v>
      </c>
      <c r="BH4" s="6" t="n">
        <v>2927446.087064501</v>
      </c>
      <c r="BI4" s="7" t="n">
        <v>0.1304370646936113</v>
      </c>
      <c r="BJ4" s="6" t="n">
        <v>579560.4185396172</v>
      </c>
      <c r="BK4" s="7" t="n">
        <v>0.02453596293726481</v>
      </c>
      <c r="BL4" s="6" t="n">
        <v>583481.6871648878</v>
      </c>
      <c r="BM4" s="7" t="n">
        <v>0.02599796420250422</v>
      </c>
      <c r="BN4" s="6" t="n">
        <v>-4594391.165652312</v>
      </c>
      <c r="BO4" s="7" t="n">
        <v>-0.1945057111453449</v>
      </c>
      <c r="BP4" s="6" t="n">
        <v>-4374994.917973436</v>
      </c>
      <c r="BQ4" s="7" t="n">
        <v>-0.1949349290056963</v>
      </c>
      <c r="BR4" s="6" t="n">
        <v>-4430594.513040055</v>
      </c>
      <c r="BS4" s="7" t="n">
        <v>-0.1875713028089901</v>
      </c>
      <c r="BT4" s="6" t="n">
        <v>-4216581.485643569</v>
      </c>
      <c r="BU4" s="7" t="n">
        <v>-0.1878765639644231</v>
      </c>
      <c r="BV4" s="6" t="n">
        <v>3286991.630510405</v>
      </c>
      <c r="BW4" s="7" t="n">
        <v>0.1391563368397801</v>
      </c>
      <c r="BX4" s="6" t="n">
        <v>3140377.203430403</v>
      </c>
      <c r="BY4" s="7" t="n">
        <v>0.1399245527547672</v>
      </c>
      <c r="BZ4" s="6" t="n">
        <v>3000217.734445106</v>
      </c>
      <c r="CA4" s="7" t="n">
        <v>0.1270156290547949</v>
      </c>
      <c r="CB4" s="6" t="n">
        <v>2873309.632207144</v>
      </c>
      <c r="CC4" s="7" t="n">
        <v>0.128024927952404</v>
      </c>
    </row>
    <row r="5">
      <c r="A5" t="inlineStr">
        <is>
          <t>Agro</t>
        </is>
      </c>
      <c r="B5" s="8" t="n">
        <v>2024</v>
      </c>
      <c r="C5" s="9" t="n">
        <v>15208345.63374795</v>
      </c>
      <c r="D5" s="9" t="n">
        <v>14172857.43254865</v>
      </c>
      <c r="E5" s="9" t="n">
        <v>21650512.62728807</v>
      </c>
      <c r="F5" s="9" t="n">
        <v>20509372.59047926</v>
      </c>
      <c r="G5" s="9" t="n">
        <v>-6442166.993540113</v>
      </c>
      <c r="H5" s="9" t="n">
        <v>-6336515.157930613</v>
      </c>
      <c r="I5" s="9" t="n">
        <v>279161638.5408786</v>
      </c>
      <c r="J5" s="9" t="n">
        <v>396290662.5337515</v>
      </c>
      <c r="K5" s="9" t="n">
        <v>375249079.9507573</v>
      </c>
      <c r="L5" s="9" t="n">
        <v>21232646.76909919</v>
      </c>
      <c r="M5" s="9" t="n">
        <v>20147953.89915128</v>
      </c>
      <c r="N5" s="9" t="n">
        <v>-6024301.135351243</v>
      </c>
      <c r="O5" s="9" t="n">
        <v>-5975096.466602631</v>
      </c>
      <c r="P5" s="9" t="n">
        <v>389861684.2984831</v>
      </c>
      <c r="Q5" s="9" t="n">
        <v>369803940.8870298</v>
      </c>
      <c r="R5" s="9" t="n">
        <v>20426064.89235712</v>
      </c>
      <c r="S5" s="9" t="n">
        <v>19346198.1737513</v>
      </c>
      <c r="T5" s="9" t="n">
        <v>-5217719.258609168</v>
      </c>
      <c r="U5" s="9" t="n">
        <v>-5173340.741202649</v>
      </c>
      <c r="V5" s="9" t="n">
        <v>375190522.0876057</v>
      </c>
      <c r="W5" s="9" t="n">
        <v>355233014.7631464</v>
      </c>
      <c r="X5" s="9" t="n">
        <v>11409899.35404884</v>
      </c>
      <c r="Y5" s="9" t="n">
        <v>10568694.80591105</v>
      </c>
      <c r="Z5" s="9" t="n">
        <v>3798446.279699115</v>
      </c>
      <c r="AA5" s="9" t="n">
        <v>3604162.626637597</v>
      </c>
      <c r="AB5" s="9" t="n">
        <v>209307563.9304771</v>
      </c>
      <c r="AC5" s="9" t="n">
        <v>193999683.307696</v>
      </c>
      <c r="AD5" s="9" t="n">
        <v>15713531.29165081</v>
      </c>
      <c r="AE5" s="9" t="n">
        <v>14686416.6842257</v>
      </c>
      <c r="AF5" s="9" t="n">
        <v>-505185.6579028608</v>
      </c>
      <c r="AG5" s="9" t="n">
        <v>-513559.2516770464</v>
      </c>
      <c r="AH5" s="9" t="n">
        <v>290596042.010217</v>
      </c>
      <c r="AI5" s="9" t="n">
        <v>271601779.5302124</v>
      </c>
      <c r="AJ5" s="9" t="n">
        <v>15299884.20344935</v>
      </c>
      <c r="AK5" s="9" t="n">
        <v>14277820.47645725</v>
      </c>
      <c r="AL5" s="9" t="n">
        <v>-91538.56970139605</v>
      </c>
      <c r="AM5" s="9" t="n">
        <v>-104963.0439086031</v>
      </c>
      <c r="AN5" s="9" t="n">
        <v>283156186.5000606</v>
      </c>
      <c r="AO5" s="9" t="n">
        <v>264255482.7144134</v>
      </c>
      <c r="AP5" s="9" t="n">
        <v>21553979.52822546</v>
      </c>
      <c r="AQ5" s="9" t="n">
        <v>20484805.84332263</v>
      </c>
      <c r="AR5" s="9" t="n">
        <v>-6345633.894477511</v>
      </c>
      <c r="AS5" s="9" t="n">
        <v>-6311948.410773983</v>
      </c>
      <c r="AT5" s="9" t="n">
        <v>395238284.5139174</v>
      </c>
      <c r="AU5" s="9" t="n">
        <v>375483683.4038391</v>
      </c>
      <c r="AV5" s="9" t="n">
        <v>20216065.69347061</v>
      </c>
      <c r="AW5" s="9" t="n">
        <v>19137459.22832565</v>
      </c>
      <c r="AX5" s="9" t="n">
        <v>-5007720.059722657</v>
      </c>
      <c r="AY5" s="9" t="n">
        <v>-4964601.795777003</v>
      </c>
      <c r="AZ5" s="9" t="n">
        <v>371368627.0596552</v>
      </c>
      <c r="BA5" s="9" t="n">
        <v>351437530.5983788</v>
      </c>
      <c r="BB5" s="9" t="n">
        <v>-417865.8581888713</v>
      </c>
      <c r="BC5" s="10" t="n">
        <v>-0.01930050643060515</v>
      </c>
      <c r="BD5" s="9" t="n">
        <v>-361418.6913279817</v>
      </c>
      <c r="BE5" s="10" t="n">
        <v>-0.01762212323821926</v>
      </c>
      <c r="BF5" s="9" t="n">
        <v>-1224447.734930944</v>
      </c>
      <c r="BG5" s="12" t="n">
        <v>-0.05655513825514059</v>
      </c>
      <c r="BH5" s="9" t="n">
        <v>-1163174.416727964</v>
      </c>
      <c r="BI5" s="12" t="n">
        <v>-0.05671428570505983</v>
      </c>
      <c r="BJ5" s="9" t="n">
        <v>-10240613.27323923</v>
      </c>
      <c r="BK5" s="12" t="n">
        <v>-0.4729963419125732</v>
      </c>
      <c r="BL5" s="9" t="n">
        <v>-9940677.784568211</v>
      </c>
      <c r="BM5" s="12" t="n">
        <v>-0.4846895116227404</v>
      </c>
      <c r="BN5" s="9" t="n">
        <v>-5936981.335637253</v>
      </c>
      <c r="BO5" s="12" t="n">
        <v>-0.2742189729103388</v>
      </c>
      <c r="BP5" s="9" t="n">
        <v>-5822955.906253567</v>
      </c>
      <c r="BQ5" s="12" t="n">
        <v>-0.2839168229337579</v>
      </c>
      <c r="BR5" s="9" t="n">
        <v>-6350628.423838718</v>
      </c>
      <c r="BS5" s="12" t="n">
        <v>-0.2933246215996962</v>
      </c>
      <c r="BT5" s="9" t="n">
        <v>-6231552.114022011</v>
      </c>
      <c r="BU5" s="12" t="n">
        <v>-0.3038392367455836</v>
      </c>
      <c r="BV5" s="9" t="n">
        <v>-96533.09906260297</v>
      </c>
      <c r="BW5" s="10" t="n">
        <v>-0.004458698079089995</v>
      </c>
      <c r="BX5" s="9" t="n">
        <v>-24566.74715662748</v>
      </c>
      <c r="BY5" s="10" t="n">
        <v>-0.001197830262639614</v>
      </c>
      <c r="BZ5" s="9" t="n">
        <v>-1434446.933817457</v>
      </c>
      <c r="CA5" s="12" t="n">
        <v>-0.06625464064114105</v>
      </c>
      <c r="CB5" s="9" t="n">
        <v>-1371913.362153608</v>
      </c>
      <c r="CC5" s="12" t="n">
        <v>-0.06689202003139139</v>
      </c>
    </row>
    <row r="6">
      <c r="A6" s="4" t="inlineStr">
        <is>
          <t>Agro</t>
        </is>
      </c>
      <c r="B6" s="5" t="n">
        <v>2025</v>
      </c>
      <c r="C6" s="6" t="n">
        <v>11066968.50463377</v>
      </c>
      <c r="D6" s="6" t="n">
        <v>9879193.608145155</v>
      </c>
      <c r="E6" s="6" t="n">
        <v>11953483.43469736</v>
      </c>
      <c r="F6" s="6" t="n">
        <v>10875793.80914526</v>
      </c>
      <c r="G6" s="6" t="n">
        <v>-886514.9300635811</v>
      </c>
      <c r="H6" s="6" t="n">
        <v>-996600.2010001084</v>
      </c>
      <c r="I6" s="6" t="n">
        <v>215138976.813824</v>
      </c>
      <c r="J6" s="6" t="n">
        <v>227217739.293841</v>
      </c>
      <c r="K6" s="6" t="n">
        <v>206934593.4930926</v>
      </c>
      <c r="L6" s="6" t="n">
        <v>13827583.88151057</v>
      </c>
      <c r="M6" s="6" t="n">
        <v>12608875.418998</v>
      </c>
      <c r="N6" s="6" t="n">
        <v>-2760615.376876791</v>
      </c>
      <c r="O6" s="6" t="n">
        <v>-2729681.81085285</v>
      </c>
      <c r="P6" s="6" t="n">
        <v>262301645.0816731</v>
      </c>
      <c r="Q6" s="6" t="n">
        <v>239457381.457921</v>
      </c>
      <c r="R6" s="6" t="n">
        <v>13577953.42577897</v>
      </c>
      <c r="S6" s="6" t="n">
        <v>12349006.77051925</v>
      </c>
      <c r="T6" s="6" t="n">
        <v>-2510984.921145192</v>
      </c>
      <c r="U6" s="6" t="n">
        <v>-2469813.162374097</v>
      </c>
      <c r="V6" s="6" t="n">
        <v>257944527.8752989</v>
      </c>
      <c r="W6" s="6" t="n">
        <v>234822439.1743604</v>
      </c>
      <c r="X6" s="6" t="n">
        <v>12088425.89209799</v>
      </c>
      <c r="Y6" s="6" t="n">
        <v>10844353.86917032</v>
      </c>
      <c r="Z6" s="6" t="n">
        <v>-1021457.387464209</v>
      </c>
      <c r="AA6" s="6" t="n">
        <v>-965160.261025166</v>
      </c>
      <c r="AB6" s="6" t="n">
        <v>236217339.3921041</v>
      </c>
      <c r="AC6" s="6" t="n">
        <v>211961750.3101545</v>
      </c>
      <c r="AD6" s="6" t="n">
        <v>11134683.22109061</v>
      </c>
      <c r="AE6" s="6" t="n">
        <v>9976585.172553452</v>
      </c>
      <c r="AF6" s="6" t="n">
        <v>-67714.71645683504</v>
      </c>
      <c r="AG6" s="6" t="n">
        <v>-97391.56440829602</v>
      </c>
      <c r="AH6" s="6" t="n">
        <v>214810890.3938662</v>
      </c>
      <c r="AI6" s="6" t="n">
        <v>192478487.400714</v>
      </c>
      <c r="AJ6" s="6" t="n">
        <v>11042602.92253511</v>
      </c>
      <c r="AK6" s="6" t="n">
        <v>9878833.422388308</v>
      </c>
      <c r="AL6" s="6" t="n">
        <v>24365.58209866658</v>
      </c>
      <c r="AM6" s="6" t="n">
        <v>360.1857568459818</v>
      </c>
      <c r="AN6" s="6" t="n">
        <v>213162143.977095</v>
      </c>
      <c r="AO6" s="6" t="n">
        <v>190694756.3586966</v>
      </c>
      <c r="AP6" s="6" t="n">
        <v>14337800.72290523</v>
      </c>
      <c r="AQ6" s="6" t="n">
        <v>13103335.85370524</v>
      </c>
      <c r="AR6" s="6" t="n">
        <v>-3270832.218271454</v>
      </c>
      <c r="AS6" s="6" t="n">
        <v>-3224142.245560089</v>
      </c>
      <c r="AT6" s="6" t="n">
        <v>272381195.9188707</v>
      </c>
      <c r="AU6" s="6" t="n">
        <v>249243065.5909768</v>
      </c>
      <c r="AV6" s="6" t="n">
        <v>13497005.42379645</v>
      </c>
      <c r="AW6" s="6" t="n">
        <v>12267016.67064364</v>
      </c>
      <c r="AX6" s="6" t="n">
        <v>-2430036.919162679</v>
      </c>
      <c r="AY6" s="6" t="n">
        <v>-2387823.062498486</v>
      </c>
      <c r="AZ6" s="6" t="n">
        <v>256378415.7013009</v>
      </c>
      <c r="BA6" s="6" t="n">
        <v>233227791.1606222</v>
      </c>
      <c r="BB6" s="6" t="n">
        <v>1874100.446813211</v>
      </c>
      <c r="BC6" s="7" t="n">
        <v>0.1567827869634439</v>
      </c>
      <c r="BD6" s="6" t="n">
        <v>1733081.609852742</v>
      </c>
      <c r="BE6" s="7" t="n">
        <v>0.1593521944481353</v>
      </c>
      <c r="BF6" s="6" t="n">
        <v>1624469.991081612</v>
      </c>
      <c r="BG6" s="7" t="n">
        <v>0.1358992966323328</v>
      </c>
      <c r="BH6" s="6" t="n">
        <v>1473212.961373989</v>
      </c>
      <c r="BI6" s="7" t="n">
        <v>0.1354579709055526</v>
      </c>
      <c r="BJ6" s="6" t="n">
        <v>134942.4574006293</v>
      </c>
      <c r="BK6" s="11" t="n">
        <v>0.01128896510693544</v>
      </c>
      <c r="BL6" s="6" t="n">
        <v>-31439.93997494131</v>
      </c>
      <c r="BM6" s="11" t="n">
        <v>-0.002890817951008231</v>
      </c>
      <c r="BN6" s="6" t="n">
        <v>-818800.213606745</v>
      </c>
      <c r="BO6" s="7" t="n">
        <v>-0.06849887884815359</v>
      </c>
      <c r="BP6" s="6" t="n">
        <v>-899208.6365918107</v>
      </c>
      <c r="BQ6" s="7" t="n">
        <v>-0.08267981651469726</v>
      </c>
      <c r="BR6" s="6" t="n">
        <v>-910880.5121622477</v>
      </c>
      <c r="BS6" s="7" t="n">
        <v>-0.07620209766788452</v>
      </c>
      <c r="BT6" s="6" t="n">
        <v>-996960.3867569547</v>
      </c>
      <c r="BU6" s="7" t="n">
        <v>-0.09166782712620282</v>
      </c>
      <c r="BV6" s="6" t="n">
        <v>2384317.288207874</v>
      </c>
      <c r="BW6" s="7" t="n">
        <v>0.1994663146716646</v>
      </c>
      <c r="BX6" s="6" t="n">
        <v>2227542.044559982</v>
      </c>
      <c r="BY6" s="7" t="n">
        <v>0.2048165020089734</v>
      </c>
      <c r="BZ6" s="6" t="n">
        <v>1543521.989099098</v>
      </c>
      <c r="CA6" s="7" t="n">
        <v>0.1291273792724487</v>
      </c>
      <c r="CB6" s="6" t="n">
        <v>1391222.861498378</v>
      </c>
      <c r="CC6" s="7" t="n">
        <v>0.1279192016612639</v>
      </c>
    </row>
    <row r="7">
      <c r="A7" t="inlineStr">
        <is>
          <t>Agro</t>
        </is>
      </c>
      <c r="B7" s="8" t="n">
        <v>2026</v>
      </c>
      <c r="C7" s="9" t="n">
        <v>7119514.453139851</v>
      </c>
      <c r="D7" s="9" t="n">
        <v>6355404.521943543</v>
      </c>
      <c r="E7" s="9" t="n">
        <v>5208992.581264365</v>
      </c>
      <c r="F7" s="9" t="n">
        <v>4568608.188911624</v>
      </c>
      <c r="G7" s="9" t="n">
        <v>1910521.871875485</v>
      </c>
      <c r="H7" s="9" t="n">
        <v>1786796.333031918</v>
      </c>
      <c r="I7" s="9" t="n">
        <v>123954714.1775367</v>
      </c>
      <c r="J7" s="9" t="n">
        <v>90066532.58629911</v>
      </c>
      <c r="K7" s="9" t="n">
        <v>79125073.69649613</v>
      </c>
      <c r="L7" s="9" t="n">
        <v>4033588.373006171</v>
      </c>
      <c r="M7" s="9" t="n">
        <v>3504766.95751188</v>
      </c>
      <c r="N7" s="9" t="n">
        <v>3085926.08013368</v>
      </c>
      <c r="O7" s="9" t="n">
        <v>2850637.564431663</v>
      </c>
      <c r="P7" s="9" t="n">
        <v>70511875.87303959</v>
      </c>
      <c r="Q7" s="9" t="n">
        <v>61427693.46176241</v>
      </c>
      <c r="R7" s="9" t="n">
        <v>4064317.329260495</v>
      </c>
      <c r="S7" s="9" t="n">
        <v>3540825.186639513</v>
      </c>
      <c r="T7" s="9" t="n">
        <v>3055197.123879356</v>
      </c>
      <c r="U7" s="9" t="n">
        <v>2814579.335304029</v>
      </c>
      <c r="V7" s="9" t="n">
        <v>70973995.07450421</v>
      </c>
      <c r="W7" s="9" t="n">
        <v>61969800.23741965</v>
      </c>
      <c r="X7" s="9" t="n">
        <v>5863203.117488571</v>
      </c>
      <c r="Y7" s="9" t="n">
        <v>5210040.549657605</v>
      </c>
      <c r="Z7" s="9" t="n">
        <v>1256311.33565128</v>
      </c>
      <c r="AA7" s="9" t="n">
        <v>1145363.972285937</v>
      </c>
      <c r="AB7" s="9" t="n">
        <v>101817139.2508199</v>
      </c>
      <c r="AC7" s="9" t="n">
        <v>90497172.81155184</v>
      </c>
      <c r="AD7" s="9" t="n">
        <v>6190006.49648841</v>
      </c>
      <c r="AE7" s="9" t="n">
        <v>5500630.047218924</v>
      </c>
      <c r="AF7" s="9" t="n">
        <v>929507.9566514412</v>
      </c>
      <c r="AG7" s="9" t="n">
        <v>854774.474724618</v>
      </c>
      <c r="AH7" s="9" t="n">
        <v>107548566.6728983</v>
      </c>
      <c r="AI7" s="9" t="n">
        <v>95605299.85407463</v>
      </c>
      <c r="AJ7" s="9" t="n">
        <v>6240517.687550841</v>
      </c>
      <c r="AK7" s="9" t="n">
        <v>5550091.90984737</v>
      </c>
      <c r="AL7" s="9" t="n">
        <v>878996.7655890102</v>
      </c>
      <c r="AM7" s="9" t="n">
        <v>805312.6120961719</v>
      </c>
      <c r="AN7" s="9" t="n">
        <v>108415180.9714949</v>
      </c>
      <c r="AO7" s="9" t="n">
        <v>96445358.72412339</v>
      </c>
      <c r="AP7" s="9" t="n">
        <v>3756674.190420995</v>
      </c>
      <c r="AQ7" s="9" t="n">
        <v>3247513.074965275</v>
      </c>
      <c r="AR7" s="9" t="n">
        <v>3362840.262718855</v>
      </c>
      <c r="AS7" s="9" t="n">
        <v>3107891.446978267</v>
      </c>
      <c r="AT7" s="9" t="n">
        <v>65751913.68830086</v>
      </c>
      <c r="AU7" s="9" t="n">
        <v>57028437.43709091</v>
      </c>
      <c r="AV7" s="9" t="n">
        <v>4122654.530546644</v>
      </c>
      <c r="AW7" s="9" t="n">
        <v>3595785.981506791</v>
      </c>
      <c r="AX7" s="9" t="n">
        <v>2996859.922593208</v>
      </c>
      <c r="AY7" s="9" t="n">
        <v>2759618.540436751</v>
      </c>
      <c r="AZ7" s="9" t="n">
        <v>72000249.07701901</v>
      </c>
      <c r="BA7" s="9" t="n">
        <v>62930345.40009062</v>
      </c>
      <c r="BB7" s="9" t="n">
        <v>-1175404.208258195</v>
      </c>
      <c r="BC7" s="12" t="n">
        <v>-0.2256490463215235</v>
      </c>
      <c r="BD7" s="9" t="n">
        <v>-1063841.231399745</v>
      </c>
      <c r="BE7" s="12" t="n">
        <v>-0.2328589337080322</v>
      </c>
      <c r="BF7" s="9" t="n">
        <v>-1144675.252003871</v>
      </c>
      <c r="BG7" s="12" t="n">
        <v>-0.2197498334171224</v>
      </c>
      <c r="BH7" s="9" t="n">
        <v>-1027783.002272111</v>
      </c>
      <c r="BI7" s="12" t="n">
        <v>-0.2249663266739796</v>
      </c>
      <c r="BJ7" s="9" t="n">
        <v>654210.536224205</v>
      </c>
      <c r="BK7" s="12" t="n">
        <v>0.1255925260053663</v>
      </c>
      <c r="BL7" s="9" t="n">
        <v>641432.3607459804</v>
      </c>
      <c r="BM7" s="12" t="n">
        <v>0.1403999498803132</v>
      </c>
      <c r="BN7" s="9" t="n">
        <v>981013.9152240446</v>
      </c>
      <c r="BO7" s="12" t="n">
        <v>0.1883308336342314</v>
      </c>
      <c r="BP7" s="9" t="n">
        <v>932021.8583073001</v>
      </c>
      <c r="BQ7" s="12" t="n">
        <v>0.2040056445569991</v>
      </c>
      <c r="BR7" s="9" t="n">
        <v>1031525.106286475</v>
      </c>
      <c r="BS7" s="12" t="n">
        <v>0.1980277549245609</v>
      </c>
      <c r="BT7" s="9" t="n">
        <v>981483.7209357461</v>
      </c>
      <c r="BU7" s="12" t="n">
        <v>0.214832106486585</v>
      </c>
      <c r="BV7" s="9" t="n">
        <v>-1452318.39084337</v>
      </c>
      <c r="BW7" s="12" t="n">
        <v>-0.2788098405183085</v>
      </c>
      <c r="BX7" s="9" t="n">
        <v>-1321095.113946349</v>
      </c>
      <c r="BY7" s="12" t="n">
        <v>-0.2891679608579156</v>
      </c>
      <c r="BZ7" s="9" t="n">
        <v>-1086338.050717722</v>
      </c>
      <c r="CA7" s="12" t="n">
        <v>-0.208550508331505</v>
      </c>
      <c r="CB7" s="9" t="n">
        <v>-972822.2074048328</v>
      </c>
      <c r="CC7" s="12" t="n">
        <v>-0.2129362307246986</v>
      </c>
    </row>
    <row r="8">
      <c r="A8" s="4" t="inlineStr">
        <is>
          <t>Autos</t>
        </is>
      </c>
      <c r="B8" s="5" t="n">
        <v>2023</v>
      </c>
      <c r="C8" s="6" t="n">
        <v>16144793.42550608</v>
      </c>
      <c r="D8" s="6" t="n">
        <v>14540667.94676792</v>
      </c>
      <c r="E8" s="6" t="n">
        <v>14241218.46018748</v>
      </c>
      <c r="F8" s="6" t="n">
        <v>12901299.93115237</v>
      </c>
      <c r="G8" s="6" t="n">
        <v>1903574.965318596</v>
      </c>
      <c r="H8" s="6" t="n">
        <v>1639368.015615552</v>
      </c>
      <c r="I8" s="6" t="n">
        <v>281193528.4240853</v>
      </c>
      <c r="J8" s="6" t="n">
        <v>251140556.3877334</v>
      </c>
      <c r="K8" s="6" t="n">
        <v>227459514.6020851</v>
      </c>
      <c r="L8" s="6" t="n">
        <v>13667158.66813481</v>
      </c>
      <c r="M8" s="6" t="n">
        <v>12377328.15873321</v>
      </c>
      <c r="N8" s="6" t="n">
        <v>2477634.757371265</v>
      </c>
      <c r="O8" s="6" t="n">
        <v>2163339.788034711</v>
      </c>
      <c r="P8" s="6" t="n">
        <v>240980451.1411351</v>
      </c>
      <c r="Q8" s="6" t="n">
        <v>218166510.2470774</v>
      </c>
      <c r="R8" s="6" t="n">
        <v>13830024.56967772</v>
      </c>
      <c r="S8" s="6" t="n">
        <v>12519632.43476011</v>
      </c>
      <c r="T8" s="6" t="n">
        <v>2314768.855828358</v>
      </c>
      <c r="U8" s="6" t="n">
        <v>2021035.512007807</v>
      </c>
      <c r="V8" s="6" t="n">
        <v>243740106.8237554</v>
      </c>
      <c r="W8" s="6" t="n">
        <v>220580442.3301881</v>
      </c>
      <c r="X8" s="6" t="n">
        <v>13410254.41244364</v>
      </c>
      <c r="Y8" s="6" t="n">
        <v>12120533.16082372</v>
      </c>
      <c r="Z8" s="6" t="n">
        <v>2734539.013062438</v>
      </c>
      <c r="AA8" s="6" t="n">
        <v>2420134.785944197</v>
      </c>
      <c r="AB8" s="6" t="n">
        <v>236695679.5779871</v>
      </c>
      <c r="AC8" s="6" t="n">
        <v>213907787.0234602</v>
      </c>
      <c r="AD8" s="6" t="n">
        <v>14503043.20493072</v>
      </c>
      <c r="AE8" s="6" t="n">
        <v>13099462.38793347</v>
      </c>
      <c r="AF8" s="6" t="n">
        <v>1641750.220575359</v>
      </c>
      <c r="AG8" s="6" t="n">
        <v>1441205.558834444</v>
      </c>
      <c r="AH8" s="6" t="n">
        <v>254629029.7405025</v>
      </c>
      <c r="AI8" s="6" t="n">
        <v>229933737.0802198</v>
      </c>
      <c r="AJ8" s="6" t="n">
        <v>14543714.63718888</v>
      </c>
      <c r="AK8" s="6" t="n">
        <v>13130636.53542738</v>
      </c>
      <c r="AL8" s="6" t="n">
        <v>1601078.788317196</v>
      </c>
      <c r="AM8" s="6" t="n">
        <v>1410031.411340532</v>
      </c>
      <c r="AN8" s="6" t="n">
        <v>255323711.1890571</v>
      </c>
      <c r="AO8" s="6" t="n">
        <v>230471636.1397074</v>
      </c>
      <c r="AP8" s="6" t="n">
        <v>13349567.67187812</v>
      </c>
      <c r="AQ8" s="6" t="n">
        <v>12122175.82721208</v>
      </c>
      <c r="AR8" s="6" t="n">
        <v>2795225.753627954</v>
      </c>
      <c r="AS8" s="6" t="n">
        <v>2418492.119555836</v>
      </c>
      <c r="AT8" s="6" t="n">
        <v>235626152.0635087</v>
      </c>
      <c r="AU8" s="6" t="n">
        <v>213792532.1871199</v>
      </c>
      <c r="AV8" s="6" t="n">
        <v>13929847.06019818</v>
      </c>
      <c r="AW8" s="6" t="n">
        <v>12606786.9144526</v>
      </c>
      <c r="AX8" s="6" t="n">
        <v>2214946.365307895</v>
      </c>
      <c r="AY8" s="6" t="n">
        <v>1933881.032315312</v>
      </c>
      <c r="AZ8" s="6" t="n">
        <v>245416190.5295774</v>
      </c>
      <c r="BA8" s="6" t="n">
        <v>222043689.2040897</v>
      </c>
      <c r="BB8" s="6" t="n">
        <v>-574059.7920526695</v>
      </c>
      <c r="BC8" s="7" t="n">
        <v>-0.04030973850008001</v>
      </c>
      <c r="BD8" s="6" t="n">
        <v>-523971.7724191602</v>
      </c>
      <c r="BE8" s="7" t="n">
        <v>-0.04061387419991237</v>
      </c>
      <c r="BF8" s="6" t="n">
        <v>-411193.8905097619</v>
      </c>
      <c r="BG8" s="7" t="n">
        <v>-0.02887350486612426</v>
      </c>
      <c r="BH8" s="6" t="n">
        <v>-381667.4963922575</v>
      </c>
      <c r="BI8" s="7" t="n">
        <v>-0.02958364648748743</v>
      </c>
      <c r="BJ8" s="6" t="n">
        <v>-830964.047743842</v>
      </c>
      <c r="BK8" s="7" t="n">
        <v>-0.05834922412480867</v>
      </c>
      <c r="BL8" s="6" t="n">
        <v>-780766.7703286465</v>
      </c>
      <c r="BM8" s="7" t="n">
        <v>-0.06051845740314536</v>
      </c>
      <c r="BN8" s="6" t="n">
        <v>261824.7447432373</v>
      </c>
      <c r="BO8" s="11" t="n">
        <v>0.01838499602229895</v>
      </c>
      <c r="BP8" s="6" t="n">
        <v>198162.4567811061</v>
      </c>
      <c r="BQ8" s="11" t="n">
        <v>0.01535988294502086</v>
      </c>
      <c r="BR8" s="6" t="n">
        <v>302496.1770013999</v>
      </c>
      <c r="BS8" s="7" t="n">
        <v>0.0212408915604415</v>
      </c>
      <c r="BT8" s="6" t="n">
        <v>229336.604275018</v>
      </c>
      <c r="BU8" s="11" t="n">
        <v>0.0177762400299869</v>
      </c>
      <c r="BV8" s="6" t="n">
        <v>-891650.7883093581</v>
      </c>
      <c r="BW8" s="7" t="n">
        <v>-0.06261056880786166</v>
      </c>
      <c r="BX8" s="6" t="n">
        <v>-779124.1039402857</v>
      </c>
      <c r="BY8" s="7" t="n">
        <v>-0.06039113175401489</v>
      </c>
      <c r="BZ8" s="6" t="n">
        <v>-311371.3999892995</v>
      </c>
      <c r="CA8" s="7" t="n">
        <v>-0.02186409827640551</v>
      </c>
      <c r="CB8" s="6" t="n">
        <v>-294513.0166997612</v>
      </c>
      <c r="CC8" s="7" t="n">
        <v>-0.022828166019814</v>
      </c>
    </row>
    <row r="9">
      <c r="A9" t="inlineStr">
        <is>
          <t>Autos</t>
        </is>
      </c>
      <c r="B9" s="8" t="n">
        <v>2024</v>
      </c>
      <c r="C9" s="9" t="n">
        <v>23852535.48823377</v>
      </c>
      <c r="D9" s="9" t="n">
        <v>21616944.05125946</v>
      </c>
      <c r="E9" s="9" t="n">
        <v>16492167.86520517</v>
      </c>
      <c r="F9" s="9" t="n">
        <v>14446448.37798241</v>
      </c>
      <c r="G9" s="9" t="n">
        <v>7360367.623028599</v>
      </c>
      <c r="H9" s="9" t="n">
        <v>7170495.673277048</v>
      </c>
      <c r="I9" s="9" t="n">
        <v>436559230.4810105</v>
      </c>
      <c r="J9" s="9" t="n">
        <v>305642131.1805073</v>
      </c>
      <c r="K9" s="9" t="n">
        <v>267929765.1822052</v>
      </c>
      <c r="L9" s="9" t="n">
        <v>21578152.25020607</v>
      </c>
      <c r="M9" s="9" t="n">
        <v>19245525.73301291</v>
      </c>
      <c r="N9" s="9" t="n">
        <v>2274383.238027698</v>
      </c>
      <c r="O9" s="9" t="n">
        <v>2371418.318246546</v>
      </c>
      <c r="P9" s="9" t="n">
        <v>406996027.436538</v>
      </c>
      <c r="Q9" s="9" t="n">
        <v>363631072.4081225</v>
      </c>
      <c r="R9" s="9" t="n">
        <v>22246790.41935673</v>
      </c>
      <c r="S9" s="9" t="n">
        <v>19893283.50049894</v>
      </c>
      <c r="T9" s="9" t="n">
        <v>1605745.068877039</v>
      </c>
      <c r="U9" s="9" t="n">
        <v>1723660.550760523</v>
      </c>
      <c r="V9" s="9" t="n">
        <v>418594192.5182849</v>
      </c>
      <c r="W9" s="9" t="n">
        <v>374887265.1822278</v>
      </c>
      <c r="X9" s="9" t="n">
        <v>27760797.73979884</v>
      </c>
      <c r="Y9" s="9" t="n">
        <v>25123994.80346572</v>
      </c>
      <c r="Z9" s="9" t="n">
        <v>-3908262.251565067</v>
      </c>
      <c r="AA9" s="9" t="n">
        <v>-3507050.752206258</v>
      </c>
      <c r="AB9" s="9" t="n">
        <v>511180906.054586</v>
      </c>
      <c r="AC9" s="9" t="n">
        <v>462838642.4971157</v>
      </c>
      <c r="AD9" s="9" t="n">
        <v>25414189.97823916</v>
      </c>
      <c r="AE9" s="9" t="n">
        <v>22963732.38206357</v>
      </c>
      <c r="AF9" s="9" t="n">
        <v>-1561654.490005384</v>
      </c>
      <c r="AG9" s="9" t="n">
        <v>-1346788.330804108</v>
      </c>
      <c r="AH9" s="9" t="n">
        <v>470931114.6713595</v>
      </c>
      <c r="AI9" s="9" t="n">
        <v>425782626.2613142</v>
      </c>
      <c r="AJ9" s="9" t="n">
        <v>25538740.79425221</v>
      </c>
      <c r="AK9" s="9" t="n">
        <v>23090841.76274705</v>
      </c>
      <c r="AL9" s="9" t="n">
        <v>-1686205.306018437</v>
      </c>
      <c r="AM9" s="9" t="n">
        <v>-1473897.711487586</v>
      </c>
      <c r="AN9" s="9" t="n">
        <v>472894236.388396</v>
      </c>
      <c r="AO9" s="9" t="n">
        <v>427807063.1643712</v>
      </c>
      <c r="AP9" s="9" t="n">
        <v>23030742.30640037</v>
      </c>
      <c r="AQ9" s="9" t="n">
        <v>20566308.03515308</v>
      </c>
      <c r="AR9" s="9" t="n">
        <v>821793.181833405</v>
      </c>
      <c r="AS9" s="9" t="n">
        <v>1050636.016106382</v>
      </c>
      <c r="AT9" s="9" t="n">
        <v>434330957.2061317</v>
      </c>
      <c r="AU9" s="9" t="n">
        <v>388544882.3484506</v>
      </c>
      <c r="AV9" s="9" t="n">
        <v>22622244.05453013</v>
      </c>
      <c r="AW9" s="9" t="n">
        <v>20257818.79846352</v>
      </c>
      <c r="AX9" s="9" t="n">
        <v>1230291.433703644</v>
      </c>
      <c r="AY9" s="9" t="n">
        <v>1359125.252795945</v>
      </c>
      <c r="AZ9" s="9" t="n">
        <v>425136587.1129462</v>
      </c>
      <c r="BA9" s="9" t="n">
        <v>381250074.134351</v>
      </c>
      <c r="BB9" s="9" t="n">
        <v>5085984.385000899</v>
      </c>
      <c r="BC9" s="12" t="n">
        <v>0.3083878618365996</v>
      </c>
      <c r="BD9" s="9" t="n">
        <v>4799077.355030503</v>
      </c>
      <c r="BE9" s="12" t="n">
        <v>0.3321977298132803</v>
      </c>
      <c r="BF9" s="9" t="n">
        <v>5754622.554151561</v>
      </c>
      <c r="BG9" s="12" t="n">
        <v>0.3489306318723897</v>
      </c>
      <c r="BH9" s="9" t="n">
        <v>5446835.122516524</v>
      </c>
      <c r="BI9" s="12" t="n">
        <v>0.3770362777067029</v>
      </c>
      <c r="BJ9" s="9" t="n">
        <v>11268629.87459367</v>
      </c>
      <c r="BK9" s="12" t="n">
        <v>0.6832715969601537</v>
      </c>
      <c r="BL9" s="9" t="n">
        <v>10677546.42548331</v>
      </c>
      <c r="BM9" s="12" t="n">
        <v>0.7391122126429893</v>
      </c>
      <c r="BN9" s="9" t="n">
        <v>8922022.113033984</v>
      </c>
      <c r="BO9" s="12" t="n">
        <v>0.5409854050696075</v>
      </c>
      <c r="BP9" s="9" t="n">
        <v>8517284.004081156</v>
      </c>
      <c r="BQ9" s="12" t="n">
        <v>0.5895763291593666</v>
      </c>
      <c r="BR9" s="9" t="n">
        <v>9046572.929047037</v>
      </c>
      <c r="BS9" s="12" t="n">
        <v>0.5485375241743268</v>
      </c>
      <c r="BT9" s="9" t="n">
        <v>8644393.384764634</v>
      </c>
      <c r="BU9" s="12" t="n">
        <v>0.5983749886885283</v>
      </c>
      <c r="BV9" s="9" t="n">
        <v>6538574.441195194</v>
      </c>
      <c r="BW9" s="12" t="n">
        <v>0.3964654310237856</v>
      </c>
      <c r="BX9" s="9" t="n">
        <v>6119859.657170665</v>
      </c>
      <c r="BY9" s="12" t="n">
        <v>0.4236238206823097</v>
      </c>
      <c r="BZ9" s="9" t="n">
        <v>6130076.189324956</v>
      </c>
      <c r="CA9" s="12" t="n">
        <v>0.3716962038846368</v>
      </c>
      <c r="CB9" s="9" t="n">
        <v>5811370.420481104</v>
      </c>
      <c r="CC9" s="12" t="n">
        <v>0.4022698360476002</v>
      </c>
    </row>
    <row r="10">
      <c r="A10" s="4" t="inlineStr">
        <is>
          <t>Autos</t>
        </is>
      </c>
      <c r="B10" s="5" t="n">
        <v>2025</v>
      </c>
      <c r="C10" s="6" t="n">
        <v>42242409.98708262</v>
      </c>
      <c r="D10" s="6" t="n">
        <v>38828821.60194293</v>
      </c>
      <c r="E10" s="6" t="n">
        <v>40711461.24100727</v>
      </c>
      <c r="F10" s="6" t="n">
        <v>37236525.07190787</v>
      </c>
      <c r="G10" s="6" t="n">
        <v>1530948.746075347</v>
      </c>
      <c r="H10" s="6" t="n">
        <v>1592296.530035056</v>
      </c>
      <c r="I10" s="6" t="n">
        <v>795589631.2537658</v>
      </c>
      <c r="J10" s="6" t="n">
        <v>770059284.4284096</v>
      </c>
      <c r="K10" s="6" t="n">
        <v>704327058.105072</v>
      </c>
      <c r="L10" s="6" t="n">
        <v>30263527.37346425</v>
      </c>
      <c r="M10" s="6" t="n">
        <v>27279737.83211869</v>
      </c>
      <c r="N10" s="6" t="n">
        <v>11978882.61361836</v>
      </c>
      <c r="O10" s="6" t="n">
        <v>11549083.76982423</v>
      </c>
      <c r="P10" s="6" t="n">
        <v>574123114.0630915</v>
      </c>
      <c r="Q10" s="6" t="n">
        <v>517684715.038942</v>
      </c>
      <c r="R10" s="6" t="n">
        <v>31272184.13105896</v>
      </c>
      <c r="S10" s="6" t="n">
        <v>28255210.30636889</v>
      </c>
      <c r="T10" s="6" t="n">
        <v>10970225.85602365</v>
      </c>
      <c r="U10" s="6" t="n">
        <v>10573611.29557403</v>
      </c>
      <c r="V10" s="6" t="n">
        <v>592581701.5526842</v>
      </c>
      <c r="W10" s="6" t="n">
        <v>535553325.6668319</v>
      </c>
      <c r="X10" s="6" t="n">
        <v>40527068.98405586</v>
      </c>
      <c r="Y10" s="6" t="n">
        <v>37160981.17833124</v>
      </c>
      <c r="Z10" s="6" t="n">
        <v>1715341.003026748</v>
      </c>
      <c r="AA10" s="6" t="n">
        <v>1667840.423611682</v>
      </c>
      <c r="AB10" s="6" t="n">
        <v>761517878.3263471</v>
      </c>
      <c r="AC10" s="6" t="n">
        <v>698219192.5533805</v>
      </c>
      <c r="AD10" s="6" t="n">
        <v>41410433.20913514</v>
      </c>
      <c r="AE10" s="6" t="n">
        <v>38005014.85561308</v>
      </c>
      <c r="AF10" s="6" t="n">
        <v>831976.7779474696</v>
      </c>
      <c r="AG10" s="6" t="n">
        <v>823806.7463298487</v>
      </c>
      <c r="AH10" s="6" t="n">
        <v>776564369.3527648</v>
      </c>
      <c r="AI10" s="6" t="n">
        <v>712582413.7805543</v>
      </c>
      <c r="AJ10" s="6" t="n">
        <v>41712458.15327545</v>
      </c>
      <c r="AK10" s="6" t="n">
        <v>38297948.34034256</v>
      </c>
      <c r="AL10" s="6" t="n">
        <v>529951.8338071713</v>
      </c>
      <c r="AM10" s="6" t="n">
        <v>530873.2616003626</v>
      </c>
      <c r="AN10" s="6" t="n">
        <v>782105472.249789</v>
      </c>
      <c r="AO10" s="6" t="n">
        <v>717962525.3078071</v>
      </c>
      <c r="AP10" s="6" t="n">
        <v>28497468.39763151</v>
      </c>
      <c r="AQ10" s="6" t="n">
        <v>25585592.11791136</v>
      </c>
      <c r="AR10" s="6" t="n">
        <v>13744941.5894511</v>
      </c>
      <c r="AS10" s="6" t="n">
        <v>13243229.48403157</v>
      </c>
      <c r="AT10" s="6" t="n">
        <v>541620713.2494049</v>
      </c>
      <c r="AU10" s="6" t="n">
        <v>486510439.7758746</v>
      </c>
      <c r="AV10" s="6" t="n">
        <v>31886599.20622019</v>
      </c>
      <c r="AW10" s="6" t="n">
        <v>28849167.45568054</v>
      </c>
      <c r="AX10" s="6" t="n">
        <v>10355810.78086243</v>
      </c>
      <c r="AY10" s="6" t="n">
        <v>9979654.146262387</v>
      </c>
      <c r="AZ10" s="6" t="n">
        <v>603671913.0779423</v>
      </c>
      <c r="BA10" s="6" t="n">
        <v>546285628.2759178</v>
      </c>
      <c r="BB10" s="6" t="n">
        <v>-10447933.86754302</v>
      </c>
      <c r="BC10" s="7" t="n">
        <v>-0.2566337230121127</v>
      </c>
      <c r="BD10" s="6" t="n">
        <v>-9956787.23978918</v>
      </c>
      <c r="BE10" s="7" t="n">
        <v>-0.2673930293055412</v>
      </c>
      <c r="BF10" s="6" t="n">
        <v>-9439277.109948304</v>
      </c>
      <c r="BG10" s="7" t="n">
        <v>-0.2318579786185724</v>
      </c>
      <c r="BH10" s="6" t="n">
        <v>-8981314.765538979</v>
      </c>
      <c r="BI10" s="7" t="n">
        <v>-0.2411963723305293</v>
      </c>
      <c r="BJ10" s="6" t="n">
        <v>-184392.2569514066</v>
      </c>
      <c r="BK10" s="11" t="n">
        <v>-0.004529246834443628</v>
      </c>
      <c r="BL10" s="6" t="n">
        <v>-75543.89357662946</v>
      </c>
      <c r="BM10" s="11" t="n">
        <v>-0.002028757877668386</v>
      </c>
      <c r="BN10" s="6" t="n">
        <v>698971.9681278765</v>
      </c>
      <c r="BO10" s="11" t="n">
        <v>0.01716892361072576</v>
      </c>
      <c r="BP10" s="6" t="n">
        <v>768489.7837052122</v>
      </c>
      <c r="BQ10" s="7" t="n">
        <v>0.02063806389616574</v>
      </c>
      <c r="BR10" s="6" t="n">
        <v>1000996.912268177</v>
      </c>
      <c r="BS10" s="7" t="n">
        <v>0.02458759478915256</v>
      </c>
      <c r="BT10" s="6" t="n">
        <v>1061423.268434688</v>
      </c>
      <c r="BU10" s="7" t="n">
        <v>0.02850489583506952</v>
      </c>
      <c r="BV10" s="6" t="n">
        <v>-12213992.84337576</v>
      </c>
      <c r="BW10" s="7" t="n">
        <v>-0.3000136195326003</v>
      </c>
      <c r="BX10" s="6" t="n">
        <v>-11650932.95399651</v>
      </c>
      <c r="BY10" s="7" t="n">
        <v>-0.3128899093429708</v>
      </c>
      <c r="BZ10" s="6" t="n">
        <v>-8824862.034787081</v>
      </c>
      <c r="CA10" s="7" t="n">
        <v>-0.2167660350618439</v>
      </c>
      <c r="CB10" s="6" t="n">
        <v>-8387357.616227333</v>
      </c>
      <c r="CC10" s="7" t="n">
        <v>-0.2252454438224408</v>
      </c>
    </row>
    <row r="11">
      <c r="A11" t="inlineStr">
        <is>
          <t>Autos</t>
        </is>
      </c>
      <c r="B11" s="8" t="n">
        <v>2026</v>
      </c>
      <c r="C11" s="9" t="n">
        <v>14709934.09300014</v>
      </c>
      <c r="D11" s="9" t="n">
        <v>13521231.5501909</v>
      </c>
      <c r="E11" s="9" t="n">
        <v>19588036.29682952</v>
      </c>
      <c r="F11" s="9" t="n">
        <v>19023271.24399721</v>
      </c>
      <c r="G11" s="9" t="n">
        <v>-4878102.203829383</v>
      </c>
      <c r="H11" s="9" t="n">
        <v>-5502039.693806311</v>
      </c>
      <c r="I11" s="9" t="n">
        <v>256185857.9156378</v>
      </c>
      <c r="J11" s="9" t="n">
        <v>342721455.3668903</v>
      </c>
      <c r="K11" s="9" t="n">
        <v>332934448.1521233</v>
      </c>
      <c r="L11" s="9" t="n">
        <v>17079543.5542992</v>
      </c>
      <c r="M11" s="9" t="n">
        <v>17287905.71963853</v>
      </c>
      <c r="N11" s="9" t="n">
        <v>-2369609.461299062</v>
      </c>
      <c r="O11" s="9" t="n">
        <v>-3766674.169447631</v>
      </c>
      <c r="P11" s="9" t="n">
        <v>298094538.6203929</v>
      </c>
      <c r="Q11" s="9" t="n">
        <v>301871314.5113298</v>
      </c>
      <c r="R11" s="9" t="n">
        <v>17420548.19128022</v>
      </c>
      <c r="S11" s="9" t="n">
        <v>17420381.73753816</v>
      </c>
      <c r="T11" s="9" t="n">
        <v>-2710614.098280083</v>
      </c>
      <c r="U11" s="9" t="n">
        <v>-3899150.187347259</v>
      </c>
      <c r="V11" s="9" t="n">
        <v>304028201.6030205</v>
      </c>
      <c r="W11" s="9" t="n">
        <v>304153080.7219043</v>
      </c>
      <c r="X11" s="9" t="n">
        <v>15799605.73908619</v>
      </c>
      <c r="Y11" s="9" t="n">
        <v>14840937.86677176</v>
      </c>
      <c r="Z11" s="9" t="n">
        <v>-1089671.646086052</v>
      </c>
      <c r="AA11" s="9" t="n">
        <v>-1319706.316580864</v>
      </c>
      <c r="AB11" s="9" t="n">
        <v>275334049.8379623</v>
      </c>
      <c r="AC11" s="9" t="n">
        <v>258666726.6492602</v>
      </c>
      <c r="AD11" s="9" t="n">
        <v>12772703.23366364</v>
      </c>
      <c r="AE11" s="9" t="n">
        <v>12120102.33470462</v>
      </c>
      <c r="AF11" s="9" t="n">
        <v>1937230.859336495</v>
      </c>
      <c r="AG11" s="9" t="n">
        <v>1401129.215486282</v>
      </c>
      <c r="AH11" s="9" t="n">
        <v>222832433.1275589</v>
      </c>
      <c r="AI11" s="9" t="n">
        <v>211492920.437347</v>
      </c>
      <c r="AJ11" s="9" t="n">
        <v>12658341.03972057</v>
      </c>
      <c r="AK11" s="9" t="n">
        <v>11962138.67963316</v>
      </c>
      <c r="AL11" s="9" t="n">
        <v>2051593.053279572</v>
      </c>
      <c r="AM11" s="9" t="n">
        <v>1559092.870557745</v>
      </c>
      <c r="AN11" s="9" t="n">
        <v>220835148.300684</v>
      </c>
      <c r="AO11" s="9" t="n">
        <v>208730902.8640585</v>
      </c>
      <c r="AP11" s="9" t="n">
        <v>17903072.35542921</v>
      </c>
      <c r="AQ11" s="9" t="n">
        <v>18187010.96672056</v>
      </c>
      <c r="AR11" s="9" t="n">
        <v>-3193138.262429066</v>
      </c>
      <c r="AS11" s="9" t="n">
        <v>-4665779.416529659</v>
      </c>
      <c r="AT11" s="9" t="n">
        <v>312525595.9985973</v>
      </c>
      <c r="AU11" s="9" t="n">
        <v>317632847.8027608</v>
      </c>
      <c r="AV11" s="9" t="n">
        <v>17599829.87475384</v>
      </c>
      <c r="AW11" s="9" t="n">
        <v>17478157.61838874</v>
      </c>
      <c r="AX11" s="9" t="n">
        <v>-2889895.781753702</v>
      </c>
      <c r="AY11" s="9" t="n">
        <v>-3956926.068197839</v>
      </c>
      <c r="AZ11" s="9" t="n">
        <v>307174395.6807677</v>
      </c>
      <c r="BA11" s="9" t="n">
        <v>305170444.3102502</v>
      </c>
      <c r="BB11" s="9" t="n">
        <v>-2508492.74253032</v>
      </c>
      <c r="BC11" s="12" t="n">
        <v>-0.128062492049616</v>
      </c>
      <c r="BD11" s="9" t="n">
        <v>-1735365.524358679</v>
      </c>
      <c r="BE11" s="12" t="n">
        <v>-0.09122329709230598</v>
      </c>
      <c r="BF11" s="9" t="n">
        <v>-2167488.105549298</v>
      </c>
      <c r="BG11" s="12" t="n">
        <v>-0.1106536700618695</v>
      </c>
      <c r="BH11" s="9" t="n">
        <v>-1602889.50645905</v>
      </c>
      <c r="BI11" s="12" t="n">
        <v>-0.08425940448937463</v>
      </c>
      <c r="BJ11" s="9" t="n">
        <v>-3788430.55774333</v>
      </c>
      <c r="BK11" s="12" t="n">
        <v>-0.193405326615436</v>
      </c>
      <c r="BL11" s="9" t="n">
        <v>-4182333.377225446</v>
      </c>
      <c r="BM11" s="12" t="n">
        <v>-0.2198535322122992</v>
      </c>
      <c r="BN11" s="9" t="n">
        <v>-6815333.063165877</v>
      </c>
      <c r="BO11" s="12" t="n">
        <v>-0.3479334508007315</v>
      </c>
      <c r="BP11" s="9" t="n">
        <v>-6903168.909292592</v>
      </c>
      <c r="BQ11" s="12" t="n">
        <v>-0.3628802228991445</v>
      </c>
      <c r="BR11" s="9" t="n">
        <v>-6929695.257108953</v>
      </c>
      <c r="BS11" s="12" t="n">
        <v>-0.3537718203141465</v>
      </c>
      <c r="BT11" s="9" t="n">
        <v>-7061132.564364053</v>
      </c>
      <c r="BU11" s="12" t="n">
        <v>-0.3711839290832902</v>
      </c>
      <c r="BV11" s="9" t="n">
        <v>-1684963.941400316</v>
      </c>
      <c r="BW11" s="12" t="n">
        <v>-0.08602005407111893</v>
      </c>
      <c r="BX11" s="9" t="n">
        <v>-836260.2772766501</v>
      </c>
      <c r="BY11" s="12" t="n">
        <v>-0.04395985666978974</v>
      </c>
      <c r="BZ11" s="9" t="n">
        <v>-1988206.422075681</v>
      </c>
      <c r="CA11" s="12" t="n">
        <v>-0.1015010587047711</v>
      </c>
      <c r="CB11" s="9" t="n">
        <v>-1545113.62560847</v>
      </c>
      <c r="CC11" s="12" t="n">
        <v>-0.08122228852180356</v>
      </c>
    </row>
    <row r="12">
      <c r="A12" s="4" t="inlineStr">
        <is>
          <t>AyE</t>
        </is>
      </c>
      <c r="B12" s="5" t="n">
        <v>2023</v>
      </c>
      <c r="C12" s="6" t="n">
        <v>31160778.51414526</v>
      </c>
      <c r="D12" s="6" t="n">
        <v>29638918.99923731</v>
      </c>
      <c r="E12" s="6" t="n">
        <v>27886885.63234957</v>
      </c>
      <c r="F12" s="6" t="n">
        <v>26346625.00767475</v>
      </c>
      <c r="G12" s="6" t="n">
        <v>3273892.881795693</v>
      </c>
      <c r="H12" s="6" t="n">
        <v>3292293.991562562</v>
      </c>
      <c r="I12" s="6" t="n">
        <v>549069126.0754652</v>
      </c>
      <c r="J12" s="6" t="n">
        <v>488051351.3948686</v>
      </c>
      <c r="K12" s="6" t="n">
        <v>462146187.2113514</v>
      </c>
      <c r="L12" s="6" t="n">
        <v>21439446.51992694</v>
      </c>
      <c r="M12" s="6" t="n">
        <v>20007189.31578395</v>
      </c>
      <c r="N12" s="6" t="n">
        <v>9721331.994218323</v>
      </c>
      <c r="O12" s="6" t="n">
        <v>9631729.683453359</v>
      </c>
      <c r="P12" s="6" t="n">
        <v>374364563.1273257</v>
      </c>
      <c r="Q12" s="6" t="n">
        <v>350549522.4481593</v>
      </c>
      <c r="R12" s="6" t="n">
        <v>21762070.51734621</v>
      </c>
      <c r="S12" s="6" t="n">
        <v>20328478.40977277</v>
      </c>
      <c r="T12" s="6" t="n">
        <v>9398707.996799042</v>
      </c>
      <c r="U12" s="6" t="n">
        <v>9310440.589464538</v>
      </c>
      <c r="V12" s="6" t="n">
        <v>379672635.3385853</v>
      </c>
      <c r="W12" s="6" t="n">
        <v>355810473.1452922</v>
      </c>
      <c r="X12" s="6" t="n">
        <v>28954899.77312817</v>
      </c>
      <c r="Y12" s="6" t="n">
        <v>27416464.20901819</v>
      </c>
      <c r="Z12" s="6" t="n">
        <v>2205878.741017086</v>
      </c>
      <c r="AA12" s="6" t="n">
        <v>2222454.790219116</v>
      </c>
      <c r="AB12" s="6" t="n">
        <v>517272318.2857069</v>
      </c>
      <c r="AC12" s="6" t="n">
        <v>490057302.1788471</v>
      </c>
      <c r="AD12" s="6" t="n">
        <v>32171544.24368766</v>
      </c>
      <c r="AE12" s="6" t="n">
        <v>30578072.58812523</v>
      </c>
      <c r="AF12" s="6" t="n">
        <v>-1010765.729542401</v>
      </c>
      <c r="AG12" s="6" t="n">
        <v>-939153.5888879211</v>
      </c>
      <c r="AH12" s="6" t="n">
        <v>568964419.2780563</v>
      </c>
      <c r="AI12" s="6" t="n">
        <v>541030285.8166442</v>
      </c>
      <c r="AJ12" s="6" t="n">
        <v>32193278.93569146</v>
      </c>
      <c r="AK12" s="6" t="n">
        <v>30611479.42484507</v>
      </c>
      <c r="AL12" s="6" t="n">
        <v>-1032500.421546206</v>
      </c>
      <c r="AM12" s="6" t="n">
        <v>-972560.42560776</v>
      </c>
      <c r="AN12" s="6" t="n">
        <v>569416907.984423</v>
      </c>
      <c r="AO12" s="6" t="n">
        <v>541584802.72</v>
      </c>
      <c r="AP12" s="6" t="n">
        <v>24432409.10344605</v>
      </c>
      <c r="AQ12" s="6" t="n">
        <v>22886277.09103512</v>
      </c>
      <c r="AR12" s="6" t="n">
        <v>6728369.410699205</v>
      </c>
      <c r="AS12" s="6" t="n">
        <v>6752641.908202191</v>
      </c>
      <c r="AT12" s="6" t="n">
        <v>429655603.9467493</v>
      </c>
      <c r="AU12" s="6" t="n">
        <v>403875474.1321875</v>
      </c>
      <c r="AV12" s="6" t="n">
        <v>22110775.24027545</v>
      </c>
      <c r="AW12" s="6" t="n">
        <v>20669298.6054189</v>
      </c>
      <c r="AX12" s="6" t="n">
        <v>9050003.273869809</v>
      </c>
      <c r="AY12" s="6" t="n">
        <v>8969620.393818405</v>
      </c>
      <c r="AZ12" s="6" t="n">
        <v>386425015.2360362</v>
      </c>
      <c r="BA12" s="6" t="n">
        <v>362371206.1827966</v>
      </c>
      <c r="BB12" s="6" t="n">
        <v>-6447439.11242263</v>
      </c>
      <c r="BC12" s="7" t="n">
        <v>-0.2311996827979751</v>
      </c>
      <c r="BD12" s="6" t="n">
        <v>-6339435.691890799</v>
      </c>
      <c r="BE12" s="7" t="n">
        <v>-0.2406166137045685</v>
      </c>
      <c r="BF12" s="6" t="n">
        <v>-6124815.115003351</v>
      </c>
      <c r="BG12" s="7" t="n">
        <v>-0.2196306606535652</v>
      </c>
      <c r="BH12" s="6" t="n">
        <v>-6018146.597901978</v>
      </c>
      <c r="BI12" s="7" t="n">
        <v>-0.2284219172720945</v>
      </c>
      <c r="BJ12" s="6" t="n">
        <v>1068014.140778609</v>
      </c>
      <c r="BK12" s="7" t="n">
        <v>0.03829807870476876</v>
      </c>
      <c r="BL12" s="6" t="n">
        <v>1069839.201343447</v>
      </c>
      <c r="BM12" s="7" t="n">
        <v>0.04060630919640765</v>
      </c>
      <c r="BN12" s="6" t="n">
        <v>4284658.611338094</v>
      </c>
      <c r="BO12" s="7" t="n">
        <v>0.1536442135498906</v>
      </c>
      <c r="BP12" s="6" t="n">
        <v>4231447.580450483</v>
      </c>
      <c r="BQ12" s="7" t="n">
        <v>0.1606068169724914</v>
      </c>
      <c r="BR12" s="6" t="n">
        <v>4306393.303341899</v>
      </c>
      <c r="BS12" s="7" t="n">
        <v>0.1544236011190279</v>
      </c>
      <c r="BT12" s="6" t="n">
        <v>4264854.41717032</v>
      </c>
      <c r="BU12" s="7" t="n">
        <v>0.1618747910188865</v>
      </c>
      <c r="BV12" s="6" t="n">
        <v>-3454476.528903514</v>
      </c>
      <c r="BW12" s="7" t="n">
        <v>-0.1238745901728168</v>
      </c>
      <c r="BX12" s="6" t="n">
        <v>-3460347.91663963</v>
      </c>
      <c r="BY12" s="7" t="n">
        <v>-0.131339323941174</v>
      </c>
      <c r="BZ12" s="6" t="n">
        <v>-5776110.392074116</v>
      </c>
      <c r="CA12" s="7" t="n">
        <v>-0.2071264058749417</v>
      </c>
      <c r="CB12" s="6" t="n">
        <v>-5677326.402255844</v>
      </c>
      <c r="CC12" s="7" t="n">
        <v>-0.2154859076106349</v>
      </c>
    </row>
    <row r="13">
      <c r="A13" t="inlineStr">
        <is>
          <t>AyE</t>
        </is>
      </c>
      <c r="B13" s="8" t="n">
        <v>2024</v>
      </c>
      <c r="C13" s="9" t="n">
        <v>40299954.53655997</v>
      </c>
      <c r="D13" s="9" t="n">
        <v>38773342.94125845</v>
      </c>
      <c r="E13" s="9" t="n">
        <v>33458857.39907659</v>
      </c>
      <c r="F13" s="9" t="n">
        <v>32100264.76162705</v>
      </c>
      <c r="G13" s="9" t="n">
        <v>6841097.137483375</v>
      </c>
      <c r="H13" s="9" t="n">
        <v>6673078.179631404</v>
      </c>
      <c r="I13" s="9" t="n">
        <v>750526832.5836723</v>
      </c>
      <c r="J13" s="9" t="n">
        <v>628325835.3679918</v>
      </c>
      <c r="K13" s="9" t="n">
        <v>602085134.7943887</v>
      </c>
      <c r="L13" s="9" t="n">
        <v>39544193.81276554</v>
      </c>
      <c r="M13" s="9" t="n">
        <v>38082651.09568679</v>
      </c>
      <c r="N13" s="9" t="n">
        <v>755760.7237944286</v>
      </c>
      <c r="O13" s="9" t="n">
        <v>690691.8455716614</v>
      </c>
      <c r="P13" s="9" t="n">
        <v>738719830.1203384</v>
      </c>
      <c r="Q13" s="9" t="n">
        <v>710395013.6479214</v>
      </c>
      <c r="R13" s="9" t="n">
        <v>40633438.39908687</v>
      </c>
      <c r="S13" s="9" t="n">
        <v>39147334.63732365</v>
      </c>
      <c r="T13" s="9" t="n">
        <v>-333483.8625269011</v>
      </c>
      <c r="U13" s="9" t="n">
        <v>-373991.6960651912</v>
      </c>
      <c r="V13" s="9" t="n">
        <v>759010675.4760232</v>
      </c>
      <c r="W13" s="9" t="n">
        <v>730306828.9895602</v>
      </c>
      <c r="X13" s="9" t="n">
        <v>38436051.63071102</v>
      </c>
      <c r="Y13" s="9" t="n">
        <v>36966482.54437144</v>
      </c>
      <c r="Z13" s="9" t="n">
        <v>1863902.905848947</v>
      </c>
      <c r="AA13" s="9" t="n">
        <v>1806860.396887014</v>
      </c>
      <c r="AB13" s="9" t="n">
        <v>712437096.3604324</v>
      </c>
      <c r="AC13" s="9" t="n">
        <v>684742774.6337733</v>
      </c>
      <c r="AD13" s="9" t="n">
        <v>40012641.16024584</v>
      </c>
      <c r="AE13" s="9" t="n">
        <v>38498935.96083318</v>
      </c>
      <c r="AF13" s="9" t="n">
        <v>287313.3763141315</v>
      </c>
      <c r="AG13" s="9" t="n">
        <v>274406.9804252815</v>
      </c>
      <c r="AH13" s="9" t="n">
        <v>753812908.6204387</v>
      </c>
      <c r="AI13" s="9" t="n">
        <v>725145321.5067211</v>
      </c>
      <c r="AJ13" s="9" t="n">
        <v>40465038.90934924</v>
      </c>
      <c r="AK13" s="9" t="n">
        <v>38939533.00160744</v>
      </c>
      <c r="AL13" s="9" t="n">
        <v>-165084.3727892742</v>
      </c>
      <c r="AM13" s="9" t="n">
        <v>-166190.0603489871</v>
      </c>
      <c r="AN13" s="9" t="n">
        <v>761784295.5863904</v>
      </c>
      <c r="AO13" s="9" t="n">
        <v>732975167.1450275</v>
      </c>
      <c r="AP13" s="9" t="n">
        <v>38620949.74740337</v>
      </c>
      <c r="AQ13" s="9" t="n">
        <v>37180092.75660132</v>
      </c>
      <c r="AR13" s="9" t="n">
        <v>1679004.789156601</v>
      </c>
      <c r="AS13" s="9" t="n">
        <v>1593250.184657138</v>
      </c>
      <c r="AT13" s="9" t="n">
        <v>718067115.6264113</v>
      </c>
      <c r="AU13" s="9" t="n">
        <v>690211987.0195857</v>
      </c>
      <c r="AV13" s="9" t="n">
        <v>39822454.76395863</v>
      </c>
      <c r="AW13" s="9" t="n">
        <v>38352314.92136856</v>
      </c>
      <c r="AX13" s="9" t="n">
        <v>477499.7726013325</v>
      </c>
      <c r="AY13" s="9" t="n">
        <v>421028.0198898967</v>
      </c>
      <c r="AZ13" s="9" t="n">
        <v>742967269.7977055</v>
      </c>
      <c r="BA13" s="9" t="n">
        <v>714586606.809617</v>
      </c>
      <c r="BB13" s="9" t="n">
        <v>6085336.413688947</v>
      </c>
      <c r="BC13" s="12" t="n">
        <v>0.181875200970159</v>
      </c>
      <c r="BD13" s="9" t="n">
        <v>5982386.334059741</v>
      </c>
      <c r="BE13" s="12" t="n">
        <v>0.1863656383672929</v>
      </c>
      <c r="BF13" s="9" t="n">
        <v>7174581.000010278</v>
      </c>
      <c r="BG13" s="12" t="n">
        <v>0.2144299464394825</v>
      </c>
      <c r="BH13" s="9" t="n">
        <v>7047069.875696596</v>
      </c>
      <c r="BI13" s="12" t="n">
        <v>0.2195330763788817</v>
      </c>
      <c r="BJ13" s="9" t="n">
        <v>4977194.231634427</v>
      </c>
      <c r="BK13" s="12" t="n">
        <v>0.1487556545123322</v>
      </c>
      <c r="BL13" s="9" t="n">
        <v>4866217.782744389</v>
      </c>
      <c r="BM13" s="12" t="n">
        <v>0.1515943192020494</v>
      </c>
      <c r="BN13" s="9" t="n">
        <v>6553783.761169244</v>
      </c>
      <c r="BO13" s="12" t="n">
        <v>0.1958758986596511</v>
      </c>
      <c r="BP13" s="9" t="n">
        <v>6398671.199206125</v>
      </c>
      <c r="BQ13" s="12" t="n">
        <v>0.1993339072659349</v>
      </c>
      <c r="BR13" s="9" t="n">
        <v>7006181.510272648</v>
      </c>
      <c r="BS13" s="12" t="n">
        <v>0.2093969147453914</v>
      </c>
      <c r="BT13" s="9" t="n">
        <v>6839268.239980388</v>
      </c>
      <c r="BU13" s="12" t="n">
        <v>0.213059558566511</v>
      </c>
      <c r="BV13" s="9" t="n">
        <v>5162092.348326776</v>
      </c>
      <c r="BW13" s="12" t="n">
        <v>0.1542817881303156</v>
      </c>
      <c r="BX13" s="9" t="n">
        <v>5079827.994974267</v>
      </c>
      <c r="BY13" s="12" t="n">
        <v>0.1582487880612978</v>
      </c>
      <c r="BZ13" s="9" t="n">
        <v>6363597.364882041</v>
      </c>
      <c r="CA13" s="12" t="n">
        <v>0.190191711838243</v>
      </c>
      <c r="CB13" s="9" t="n">
        <v>6252050.15974151</v>
      </c>
      <c r="CC13" s="12" t="n">
        <v>0.1947663113114029</v>
      </c>
    </row>
    <row r="14">
      <c r="A14" s="4" t="inlineStr">
        <is>
          <t>AyE</t>
        </is>
      </c>
      <c r="B14" s="5" t="n">
        <v>2025</v>
      </c>
      <c r="C14" s="6" t="n">
        <v>45412042.95184095</v>
      </c>
      <c r="D14" s="6" t="n">
        <v>40041994.6015052</v>
      </c>
      <c r="E14" s="6" t="n">
        <v>44862506.20128234</v>
      </c>
      <c r="F14" s="6" t="n">
        <v>39961746.28325529</v>
      </c>
      <c r="G14" s="6" t="n">
        <v>549536.7505586129</v>
      </c>
      <c r="H14" s="6" t="n">
        <v>80248.31824991107</v>
      </c>
      <c r="I14" s="6" t="n">
        <v>872999831.7693037</v>
      </c>
      <c r="J14" s="6" t="n">
        <v>858912758.7882138</v>
      </c>
      <c r="K14" s="6" t="n">
        <v>766014234.9651777</v>
      </c>
      <c r="L14" s="6" t="n">
        <v>45123663.5382572</v>
      </c>
      <c r="M14" s="6" t="n">
        <v>40225812.8006364</v>
      </c>
      <c r="N14" s="6" t="n">
        <v>288379.4135837462</v>
      </c>
      <c r="O14" s="6" t="n">
        <v>-183818.1991311982</v>
      </c>
      <c r="P14" s="6" t="n">
        <v>863771348.1063588</v>
      </c>
      <c r="Q14" s="6" t="n">
        <v>770978874.8393319</v>
      </c>
      <c r="R14" s="6" t="n">
        <v>45732700.56582072</v>
      </c>
      <c r="S14" s="6" t="n">
        <v>40752393.11261284</v>
      </c>
      <c r="T14" s="6" t="n">
        <v>-320657.6139797717</v>
      </c>
      <c r="U14" s="6" t="n">
        <v>-710398.5111076459</v>
      </c>
      <c r="V14" s="6" t="n">
        <v>876198228.0586776</v>
      </c>
      <c r="W14" s="6" t="n">
        <v>781642001.917362</v>
      </c>
      <c r="X14" s="6" t="n">
        <v>40440238.77509826</v>
      </c>
      <c r="Y14" s="6" t="n">
        <v>35546512.98888551</v>
      </c>
      <c r="Z14" s="6" t="n">
        <v>4971804.176742681</v>
      </c>
      <c r="AA14" s="6" t="n">
        <v>4495481.61261969</v>
      </c>
      <c r="AB14" s="6" t="n">
        <v>778546720.8234539</v>
      </c>
      <c r="AC14" s="6" t="n">
        <v>684973175.0099251</v>
      </c>
      <c r="AD14" s="6" t="n">
        <v>42392102.83548073</v>
      </c>
      <c r="AE14" s="6" t="n">
        <v>37248217.39946661</v>
      </c>
      <c r="AF14" s="6" t="n">
        <v>3019940.116360219</v>
      </c>
      <c r="AG14" s="6" t="n">
        <v>2793777.20203859</v>
      </c>
      <c r="AH14" s="6" t="n">
        <v>810626744.915554</v>
      </c>
      <c r="AI14" s="6" t="n">
        <v>712198425.6429785</v>
      </c>
      <c r="AJ14" s="6" t="n">
        <v>42865727.31886304</v>
      </c>
      <c r="AK14" s="6" t="n">
        <v>37662123.26558292</v>
      </c>
      <c r="AL14" s="6" t="n">
        <v>2546315.632977905</v>
      </c>
      <c r="AM14" s="6" t="n">
        <v>2379871.335922282</v>
      </c>
      <c r="AN14" s="6" t="n">
        <v>819187734.634154</v>
      </c>
      <c r="AO14" s="6" t="n">
        <v>719555041.8639566</v>
      </c>
      <c r="AP14" s="6" t="n">
        <v>45510946.68427334</v>
      </c>
      <c r="AQ14" s="6" t="n">
        <v>40635076.3305144</v>
      </c>
      <c r="AR14" s="6" t="n">
        <v>-98903.73243239149</v>
      </c>
      <c r="AS14" s="6" t="n">
        <v>-593081.729009198</v>
      </c>
      <c r="AT14" s="6" t="n">
        <v>872128445.0122702</v>
      </c>
      <c r="AU14" s="6" t="n">
        <v>779802373.6658628</v>
      </c>
      <c r="AV14" s="6" t="n">
        <v>45346496.50103033</v>
      </c>
      <c r="AW14" s="6" t="n">
        <v>40403696.39625371</v>
      </c>
      <c r="AX14" s="6" t="n">
        <v>65546.45081061311</v>
      </c>
      <c r="AY14" s="6" t="n">
        <v>-361701.7947485093</v>
      </c>
      <c r="AZ14" s="6" t="n">
        <v>868304072.8586766</v>
      </c>
      <c r="BA14" s="6" t="n">
        <v>774545047.809813</v>
      </c>
      <c r="BB14" s="6" t="n">
        <v>261157.3369748667</v>
      </c>
      <c r="BC14" s="11" t="n">
        <v>0.00582128282809581</v>
      </c>
      <c r="BD14" s="6" t="n">
        <v>264066.5173811093</v>
      </c>
      <c r="BE14" s="11" t="n">
        <v>0.006607982431732671</v>
      </c>
      <c r="BF14" s="6" t="n">
        <v>870194.3645383865</v>
      </c>
      <c r="BG14" s="11" t="n">
        <v>0.01939691823354962</v>
      </c>
      <c r="BH14" s="6" t="n">
        <v>790646.829357557</v>
      </c>
      <c r="BI14" s="11" t="n">
        <v>0.01978509206663105</v>
      </c>
      <c r="BJ14" s="6" t="n">
        <v>-4422267.426184073</v>
      </c>
      <c r="BK14" s="7" t="n">
        <v>-0.09857379358930395</v>
      </c>
      <c r="BL14" s="6" t="n">
        <v>-4415233.29436978</v>
      </c>
      <c r="BM14" s="7" t="n">
        <v>-0.1104864953366626</v>
      </c>
      <c r="BN14" s="6" t="n">
        <v>-2470403.36580161</v>
      </c>
      <c r="BO14" s="7" t="n">
        <v>-0.05506610252039367</v>
      </c>
      <c r="BP14" s="6" t="n">
        <v>-2713528.883788675</v>
      </c>
      <c r="BQ14" s="7" t="n">
        <v>-0.06790316080170135</v>
      </c>
      <c r="BR14" s="6" t="n">
        <v>-1996778.882419296</v>
      </c>
      <c r="BS14" s="7" t="n">
        <v>-0.04450885720606978</v>
      </c>
      <c r="BT14" s="6" t="n">
        <v>-2299623.017672367</v>
      </c>
      <c r="BU14" s="7" t="n">
        <v>-0.05754560877726087</v>
      </c>
      <c r="BV14" s="6" t="n">
        <v>648440.4829910025</v>
      </c>
      <c r="BW14" s="11" t="n">
        <v>0.01445395137047577</v>
      </c>
      <c r="BX14" s="6" t="n">
        <v>673330.0472591147</v>
      </c>
      <c r="BY14" s="11" t="n">
        <v>0.01684936495233324</v>
      </c>
      <c r="BZ14" s="6" t="n">
        <v>483990.299747996</v>
      </c>
      <c r="CA14" s="11" t="n">
        <v>0.01078830276615625</v>
      </c>
      <c r="CB14" s="6" t="n">
        <v>441950.112998426</v>
      </c>
      <c r="CC14" s="11" t="n">
        <v>0.01105932933625604</v>
      </c>
    </row>
    <row r="15">
      <c r="A15" t="inlineStr">
        <is>
          <t>AyE</t>
        </is>
      </c>
      <c r="B15" s="8" t="n">
        <v>2026</v>
      </c>
      <c r="C15" s="9" t="n">
        <v>25285672.63431517</v>
      </c>
      <c r="D15" s="9" t="n">
        <v>22295600.49065422</v>
      </c>
      <c r="E15" s="9" t="n">
        <v>22409318.84961881</v>
      </c>
      <c r="F15" s="9" t="n">
        <v>20463896.24616427</v>
      </c>
      <c r="G15" s="9" t="n">
        <v>2876353.784696352</v>
      </c>
      <c r="H15" s="9" t="n">
        <v>1831704.244489953</v>
      </c>
      <c r="I15" s="9" t="n">
        <v>442571350.7528051</v>
      </c>
      <c r="J15" s="9" t="n">
        <v>392648796.1585394</v>
      </c>
      <c r="K15" s="9" t="n">
        <v>358567679.3510975</v>
      </c>
      <c r="L15" s="9" t="n">
        <v>23706764.21940556</v>
      </c>
      <c r="M15" s="9" t="n">
        <v>21642006.0067191</v>
      </c>
      <c r="N15" s="9" t="n">
        <v>1578908.414909605</v>
      </c>
      <c r="O15" s="9" t="n">
        <v>653594.4839351233</v>
      </c>
      <c r="P15" s="9" t="n">
        <v>415520922.8666016</v>
      </c>
      <c r="Q15" s="9" t="n">
        <v>379350908.2198591</v>
      </c>
      <c r="R15" s="9" t="n">
        <v>23779838.00497698</v>
      </c>
      <c r="S15" s="9" t="n">
        <v>21593253.70247364</v>
      </c>
      <c r="T15" s="9" t="n">
        <v>1505834.629338184</v>
      </c>
      <c r="U15" s="9" t="n">
        <v>702346.7881805822</v>
      </c>
      <c r="V15" s="9" t="n">
        <v>416750938.734555</v>
      </c>
      <c r="W15" s="9" t="n">
        <v>378450896.9596461</v>
      </c>
      <c r="X15" s="9" t="n">
        <v>27342420.13349684</v>
      </c>
      <c r="Y15" s="9" t="n">
        <v>24752632.74899559</v>
      </c>
      <c r="Z15" s="9" t="n">
        <v>-2056747.499181677</v>
      </c>
      <c r="AA15" s="9" t="n">
        <v>-2457032.258341365</v>
      </c>
      <c r="AB15" s="9" t="n">
        <v>478434633.820812</v>
      </c>
      <c r="AC15" s="9" t="n">
        <v>433119262.8103573</v>
      </c>
      <c r="AD15" s="9" t="n">
        <v>23948361.99879872</v>
      </c>
      <c r="AE15" s="9" t="n">
        <v>21363093.0094458</v>
      </c>
      <c r="AF15" s="9" t="n">
        <v>1337310.635516442</v>
      </c>
      <c r="AG15" s="9" t="n">
        <v>932507.4812084213</v>
      </c>
      <c r="AH15" s="9" t="n">
        <v>419458280.708653</v>
      </c>
      <c r="AI15" s="9" t="n">
        <v>374186107.4616938</v>
      </c>
      <c r="AJ15" s="9" t="n">
        <v>23841893.30628158</v>
      </c>
      <c r="AK15" s="9" t="n">
        <v>21185834.49205473</v>
      </c>
      <c r="AL15" s="9" t="n">
        <v>1443779.328033589</v>
      </c>
      <c r="AM15" s="9" t="n">
        <v>1109765.998599495</v>
      </c>
      <c r="AN15" s="9" t="n">
        <v>417571142.052757</v>
      </c>
      <c r="AO15" s="9" t="n">
        <v>371061422.8243058</v>
      </c>
      <c r="AP15" s="9" t="n">
        <v>22064296.33426802</v>
      </c>
      <c r="AQ15" s="9" t="n">
        <v>20217032.57853293</v>
      </c>
      <c r="AR15" s="9" t="n">
        <v>3221376.300047148</v>
      </c>
      <c r="AS15" s="9" t="n">
        <v>2078567.912121292</v>
      </c>
      <c r="AT15" s="9" t="n">
        <v>385947211.0982788</v>
      </c>
      <c r="AU15" s="9" t="n">
        <v>353632933.6500789</v>
      </c>
      <c r="AV15" s="9" t="n">
        <v>23739617.7217994</v>
      </c>
      <c r="AW15" s="9" t="n">
        <v>21605454.20469357</v>
      </c>
      <c r="AX15" s="9" t="n">
        <v>1546054.912515765</v>
      </c>
      <c r="AY15" s="9" t="n">
        <v>690146.2859606538</v>
      </c>
      <c r="AZ15" s="9" t="n">
        <v>416069619.614274</v>
      </c>
      <c r="BA15" s="9" t="n">
        <v>378686100.7510589</v>
      </c>
      <c r="BB15" s="9" t="n">
        <v>1297445.369786747</v>
      </c>
      <c r="BC15" s="12" t="n">
        <v>0.05789758173791242</v>
      </c>
      <c r="BD15" s="9" t="n">
        <v>1178109.760554828</v>
      </c>
      <c r="BE15" s="12" t="n">
        <v>0.05757015899529159</v>
      </c>
      <c r="BF15" s="9" t="n">
        <v>1370519.155358166</v>
      </c>
      <c r="BG15" s="12" t="n">
        <v>0.06115844772236253</v>
      </c>
      <c r="BH15" s="9" t="n">
        <v>1129357.456309371</v>
      </c>
      <c r="BI15" s="12" t="n">
        <v>0.05518780210396425</v>
      </c>
      <c r="BJ15" s="9" t="n">
        <v>4933101.283878028</v>
      </c>
      <c r="BK15" s="12" t="n">
        <v>0.2201361548283714</v>
      </c>
      <c r="BL15" s="9" t="n">
        <v>4288736.502831317</v>
      </c>
      <c r="BM15" s="12" t="n">
        <v>0.209575754843616</v>
      </c>
      <c r="BN15" s="9" t="n">
        <v>1539043.149179909</v>
      </c>
      <c r="BO15" s="12" t="n">
        <v>0.0686787117229174</v>
      </c>
      <c r="BP15" s="9" t="n">
        <v>899196.7632815316</v>
      </c>
      <c r="BQ15" s="12" t="n">
        <v>0.04394064319252381</v>
      </c>
      <c r="BR15" s="9" t="n">
        <v>1432574.456662763</v>
      </c>
      <c r="BS15" s="12" t="n">
        <v>0.06392762164152666</v>
      </c>
      <c r="BT15" s="9" t="n">
        <v>721938.2458904572</v>
      </c>
      <c r="BU15" s="12" t="n">
        <v>0.0352786310684006</v>
      </c>
      <c r="BV15" s="9" t="n">
        <v>-345022.5153507963</v>
      </c>
      <c r="BW15" s="10" t="n">
        <v>-0.01539638565840055</v>
      </c>
      <c r="BX15" s="9" t="n">
        <v>-246863.6676313393</v>
      </c>
      <c r="BY15" s="10" t="n">
        <v>-0.01206337564761701</v>
      </c>
      <c r="BZ15" s="9" t="n">
        <v>1330298.872180589</v>
      </c>
      <c r="CA15" s="12" t="n">
        <v>0.05936364603974641</v>
      </c>
      <c r="CB15" s="9" t="n">
        <v>1141557.958529297</v>
      </c>
      <c r="CC15" s="12" t="n">
        <v>0.05578399855028925</v>
      </c>
    </row>
    <row r="16">
      <c r="A16" s="4" t="inlineStr">
        <is>
          <t>CAT</t>
        </is>
      </c>
      <c r="B16" s="5" t="n">
        <v>2023</v>
      </c>
      <c r="C16" s="6" t="n">
        <v>175031046.8013621</v>
      </c>
      <c r="D16" s="6" t="n">
        <v>126286579.011935</v>
      </c>
      <c r="E16" s="6" t="n">
        <v>174828451.1490585</v>
      </c>
      <c r="F16" s="6" t="n">
        <v>125956975.9288629</v>
      </c>
      <c r="G16" s="6" t="n">
        <v>202595.6523036286</v>
      </c>
      <c r="H16" s="6" t="n">
        <v>329603.083072139</v>
      </c>
      <c r="I16" s="6" t="n">
        <v>3076671698.786428</v>
      </c>
      <c r="J16" s="6" t="n">
        <v>3074847208.13762</v>
      </c>
      <c r="K16" s="6" t="n">
        <v>2215641028.306534</v>
      </c>
      <c r="L16" s="6" t="n">
        <v>168147623.3984864</v>
      </c>
      <c r="M16" s="6" t="n">
        <v>121091456.1304027</v>
      </c>
      <c r="N16" s="6" t="n">
        <v>6883423.402875686</v>
      </c>
      <c r="O16" s="6" t="n">
        <v>5195122.881532274</v>
      </c>
      <c r="P16" s="6" t="n">
        <v>2956177265.130269</v>
      </c>
      <c r="Q16" s="6" t="n">
        <v>2129108091.740532</v>
      </c>
      <c r="R16" s="6" t="n">
        <v>168863894.5047885</v>
      </c>
      <c r="S16" s="6" t="n">
        <v>121633017.3920804</v>
      </c>
      <c r="T16" s="6" t="n">
        <v>6167152.296573529</v>
      </c>
      <c r="U16" s="6" t="n">
        <v>4653561.619854579</v>
      </c>
      <c r="V16" s="6" t="n">
        <v>2968649379.741449</v>
      </c>
      <c r="W16" s="6" t="n">
        <v>2138516330.08724</v>
      </c>
      <c r="X16" s="6" t="n">
        <v>170772731.5496745</v>
      </c>
      <c r="Y16" s="6" t="n">
        <v>123092708.3656891</v>
      </c>
      <c r="Z16" s="6" t="n">
        <v>4258315.251687588</v>
      </c>
      <c r="AA16" s="6" t="n">
        <v>3193870.646245918</v>
      </c>
      <c r="AB16" s="6" t="n">
        <v>3002420136.252925</v>
      </c>
      <c r="AC16" s="6" t="n">
        <v>2164250691.238049</v>
      </c>
      <c r="AD16" s="6" t="n">
        <v>173272766.6603403</v>
      </c>
      <c r="AE16" s="6" t="n">
        <v>124955843.4103942</v>
      </c>
      <c r="AF16" s="6" t="n">
        <v>1758280.141021806</v>
      </c>
      <c r="AG16" s="6" t="n">
        <v>1330735.601540774</v>
      </c>
      <c r="AH16" s="6" t="n">
        <v>3044980943.850399</v>
      </c>
      <c r="AI16" s="6" t="n">
        <v>2195937420.750119</v>
      </c>
      <c r="AJ16" s="6" t="n">
        <v>173452447.7322027</v>
      </c>
      <c r="AK16" s="6" t="n">
        <v>125092550.9606011</v>
      </c>
      <c r="AL16" s="6" t="n">
        <v>1578599.069159407</v>
      </c>
      <c r="AM16" s="6" t="n">
        <v>1194028.051333863</v>
      </c>
      <c r="AN16" s="6" t="n">
        <v>3048117862.336697</v>
      </c>
      <c r="AO16" s="6" t="n">
        <v>2198317071.905428</v>
      </c>
      <c r="AP16" s="6" t="n">
        <v>168156811.6041383</v>
      </c>
      <c r="AQ16" s="6" t="n">
        <v>121094661.0619422</v>
      </c>
      <c r="AR16" s="6" t="n">
        <v>6874235.197223751</v>
      </c>
      <c r="AS16" s="6" t="n">
        <v>5191917.949992773</v>
      </c>
      <c r="AT16" s="6" t="n">
        <v>2956285385.046862</v>
      </c>
      <c r="AU16" s="6" t="n">
        <v>2129131477.325071</v>
      </c>
      <c r="AV16" s="6" t="n">
        <v>167811056.3919055</v>
      </c>
      <c r="AW16" s="6" t="n">
        <v>120837072.8304202</v>
      </c>
      <c r="AX16" s="6" t="n">
        <v>7219990.409456611</v>
      </c>
      <c r="AY16" s="6" t="n">
        <v>5449506.181514742</v>
      </c>
      <c r="AZ16" s="6" t="n">
        <v>2950303229.842514</v>
      </c>
      <c r="BA16" s="6" t="n">
        <v>2124678785.333354</v>
      </c>
      <c r="BB16" s="6" t="n">
        <v>-6680827.750572085</v>
      </c>
      <c r="BC16" s="7" t="n">
        <v>-0.03821361858817832</v>
      </c>
      <c r="BD16" s="6" t="n">
        <v>-4865519.798460141</v>
      </c>
      <c r="BE16" s="7" t="n">
        <v>-0.03862842659233147</v>
      </c>
      <c r="BF16" s="6" t="n">
        <v>-5964556.644269913</v>
      </c>
      <c r="BG16" s="7" t="n">
        <v>-0.03411662464014248</v>
      </c>
      <c r="BH16" s="6" t="n">
        <v>-4323958.536782444</v>
      </c>
      <c r="BI16" s="7" t="n">
        <v>-0.03432885320479987</v>
      </c>
      <c r="BJ16" s="6" t="n">
        <v>-4055719.59938398</v>
      </c>
      <c r="BK16" s="7" t="n">
        <v>-0.02319828135940002</v>
      </c>
      <c r="BL16" s="6" t="n">
        <v>-2864267.563173786</v>
      </c>
      <c r="BM16" s="7" t="n">
        <v>-0.02274004708394593</v>
      </c>
      <c r="BN16" s="6" t="n">
        <v>-1555684.488718182</v>
      </c>
      <c r="BO16" s="11" t="n">
        <v>-0.008898348515321501</v>
      </c>
      <c r="BP16" s="6" t="n">
        <v>-1001132.518468633</v>
      </c>
      <c r="BQ16" s="11" t="n">
        <v>-0.007948210181181598</v>
      </c>
      <c r="BR16" s="6" t="n">
        <v>-1376003.416855782</v>
      </c>
      <c r="BS16" s="11" t="n">
        <v>-0.007870592045013336</v>
      </c>
      <c r="BT16" s="6" t="n">
        <v>-864424.9682617337</v>
      </c>
      <c r="BU16" s="11" t="n">
        <v>-0.006862859019018826</v>
      </c>
      <c r="BV16" s="6" t="n">
        <v>-6671639.544920146</v>
      </c>
      <c r="BW16" s="7" t="n">
        <v>-0.03816106303677035</v>
      </c>
      <c r="BX16" s="6" t="n">
        <v>-4862314.866920635</v>
      </c>
      <c r="BY16" s="7" t="n">
        <v>-0.03860298193937858</v>
      </c>
      <c r="BZ16" s="6" t="n">
        <v>-7017394.757153004</v>
      </c>
      <c r="CA16" s="7" t="n">
        <v>-0.0401387457878351</v>
      </c>
      <c r="CB16" s="6" t="n">
        <v>-5119903.098442614</v>
      </c>
      <c r="CC16" s="7" t="n">
        <v>-0.04064803128755805</v>
      </c>
    </row>
    <row r="17">
      <c r="A17" t="inlineStr">
        <is>
          <t>CAT</t>
        </is>
      </c>
      <c r="B17" s="8" t="n">
        <v>2024</v>
      </c>
      <c r="C17" s="9" t="n">
        <v>220123004.3359388</v>
      </c>
      <c r="D17" s="9" t="n">
        <v>146140230.4200703</v>
      </c>
      <c r="E17" s="9" t="n">
        <v>217712678.6913407</v>
      </c>
      <c r="F17" s="9" t="n">
        <v>145906320.0435084</v>
      </c>
      <c r="G17" s="9" t="n">
        <v>2410325.644598141</v>
      </c>
      <c r="H17" s="9" t="n">
        <v>233910.3765618484</v>
      </c>
      <c r="I17" s="9" t="n">
        <v>4086582824.029655</v>
      </c>
      <c r="J17" s="9" t="n">
        <v>4046655959.333673</v>
      </c>
      <c r="K17" s="9" t="n">
        <v>2711424034.914851</v>
      </c>
      <c r="L17" s="9" t="n">
        <v>217139877.7800373</v>
      </c>
      <c r="M17" s="9" t="n">
        <v>145459283.1567721</v>
      </c>
      <c r="N17" s="9" t="n">
        <v>2983126.555901563</v>
      </c>
      <c r="O17" s="9" t="n">
        <v>680947.2632981613</v>
      </c>
      <c r="P17" s="9" t="n">
        <v>4032251160.967238</v>
      </c>
      <c r="Q17" s="9" t="n">
        <v>2700667099.30407</v>
      </c>
      <c r="R17" s="9" t="n">
        <v>217585944.084595</v>
      </c>
      <c r="S17" s="9" t="n">
        <v>145612572.8978887</v>
      </c>
      <c r="T17" s="9" t="n">
        <v>2537060.251343828</v>
      </c>
      <c r="U17" s="9" t="n">
        <v>527657.5221815892</v>
      </c>
      <c r="V17" s="9" t="n">
        <v>4040649731.963121</v>
      </c>
      <c r="W17" s="9" t="n">
        <v>2703640290.738471</v>
      </c>
      <c r="X17" s="9" t="n">
        <v>222370284.2895696</v>
      </c>
      <c r="Y17" s="9" t="n">
        <v>148275405.0716619</v>
      </c>
      <c r="Z17" s="9" t="n">
        <v>-2247279.953630774</v>
      </c>
      <c r="AA17" s="9" t="n">
        <v>-2135174.651591689</v>
      </c>
      <c r="AB17" s="9" t="n">
        <v>4123918266.739393</v>
      </c>
      <c r="AC17" s="9" t="n">
        <v>2749315899.335274</v>
      </c>
      <c r="AD17" s="9" t="n">
        <v>220523886.7503934</v>
      </c>
      <c r="AE17" s="9" t="n">
        <v>146762927.5651943</v>
      </c>
      <c r="AF17" s="9" t="n">
        <v>-400882.4144545351</v>
      </c>
      <c r="AG17" s="9" t="n">
        <v>-622697.1451240536</v>
      </c>
      <c r="AH17" s="9" t="n">
        <v>4098162656.517493</v>
      </c>
      <c r="AI17" s="9" t="n">
        <v>2727273861.87544</v>
      </c>
      <c r="AJ17" s="9" t="n">
        <v>220651020.3214016</v>
      </c>
      <c r="AK17" s="9" t="n">
        <v>146805069.8137295</v>
      </c>
      <c r="AL17" s="9" t="n">
        <v>-528015.9854627219</v>
      </c>
      <c r="AM17" s="9" t="n">
        <v>-664839.3936592583</v>
      </c>
      <c r="AN17" s="9" t="n">
        <v>4100645080.670601</v>
      </c>
      <c r="AO17" s="9" t="n">
        <v>2728153610.513132</v>
      </c>
      <c r="AP17" s="9" t="n">
        <v>217357726.627543</v>
      </c>
      <c r="AQ17" s="9" t="n">
        <v>145629498.0188186</v>
      </c>
      <c r="AR17" s="9" t="n">
        <v>2765277.708395876</v>
      </c>
      <c r="AS17" s="9" t="n">
        <v>510732.4012517203</v>
      </c>
      <c r="AT17" s="9" t="n">
        <v>4035706105.600355</v>
      </c>
      <c r="AU17" s="9" t="n">
        <v>2703394922.446522</v>
      </c>
      <c r="AV17" s="9" t="n">
        <v>216917443.9472545</v>
      </c>
      <c r="AW17" s="9" t="n">
        <v>145378098.3629076</v>
      </c>
      <c r="AX17" s="9" t="n">
        <v>3205560.388684373</v>
      </c>
      <c r="AY17" s="9" t="n">
        <v>762132.0571626369</v>
      </c>
      <c r="AZ17" s="9" t="n">
        <v>4028145490.744895</v>
      </c>
      <c r="BA17" s="9" t="n">
        <v>2699153877.424626</v>
      </c>
      <c r="BB17" s="9" t="n">
        <v>-572800.911303401</v>
      </c>
      <c r="BC17" s="10" t="n">
        <v>-0.002630994734649708</v>
      </c>
      <c r="BD17" s="9" t="n">
        <v>-447036.8867363036</v>
      </c>
      <c r="BE17" s="10" t="n">
        <v>-0.003063862391999194</v>
      </c>
      <c r="BF17" s="9" t="n">
        <v>-126734.6067456901</v>
      </c>
      <c r="BG17" s="10" t="n">
        <v>-0.0005821186322610382</v>
      </c>
      <c r="BH17" s="9" t="n">
        <v>-293747.1456197202</v>
      </c>
      <c r="BI17" s="10" t="n">
        <v>-0.002013258545155046</v>
      </c>
      <c r="BJ17" s="9" t="n">
        <v>4657605.598228931</v>
      </c>
      <c r="BK17" s="12" t="n">
        <v>0.02139335947830669</v>
      </c>
      <c r="BL17" s="9" t="n">
        <v>2369085.028153539</v>
      </c>
      <c r="BM17" s="10" t="n">
        <v>0.01623702816606636</v>
      </c>
      <c r="BN17" s="9" t="n">
        <v>2811208.059052676</v>
      </c>
      <c r="BO17" s="10" t="n">
        <v>0.01291246828595697</v>
      </c>
      <c r="BP17" s="9" t="n">
        <v>856607.5216858983</v>
      </c>
      <c r="BQ17" s="10" t="n">
        <v>0.005870941857970669</v>
      </c>
      <c r="BR17" s="9" t="n">
        <v>2938341.630060881</v>
      </c>
      <c r="BS17" s="10" t="n">
        <v>0.01349641944476131</v>
      </c>
      <c r="BT17" s="9" t="n">
        <v>898749.7702211142</v>
      </c>
      <c r="BU17" s="10" t="n">
        <v>0.006159772722340692</v>
      </c>
      <c r="BV17" s="9" t="n">
        <v>-354952.0637977123</v>
      </c>
      <c r="BW17" s="10" t="n">
        <v>-0.001630369282723038</v>
      </c>
      <c r="BX17" s="9" t="n">
        <v>-276822.0246898532</v>
      </c>
      <c r="BY17" s="10" t="n">
        <v>-0.001897258628737305</v>
      </c>
      <c r="BZ17" s="9" t="n">
        <v>-795234.744086206</v>
      </c>
      <c r="CA17" s="10" t="n">
        <v>-0.003652679985687189</v>
      </c>
      <c r="CB17" s="9" t="n">
        <v>-528221.6806007922</v>
      </c>
      <c r="CC17" s="10" t="n">
        <v>-0.00362027964548266</v>
      </c>
    </row>
    <row r="18">
      <c r="A18" s="4" t="inlineStr">
        <is>
          <t>CAT</t>
        </is>
      </c>
      <c r="B18" s="5" t="n">
        <v>2025</v>
      </c>
      <c r="C18" s="6" t="n">
        <v>290603569.4645638</v>
      </c>
      <c r="D18" s="6" t="n">
        <v>181410807.8247751</v>
      </c>
      <c r="E18" s="6" t="n">
        <v>281790317.9961861</v>
      </c>
      <c r="F18" s="6" t="n">
        <v>176911437.0519315</v>
      </c>
      <c r="G18" s="6" t="n">
        <v>8813251.468377672</v>
      </c>
      <c r="H18" s="6" t="n">
        <v>4499370.772843584</v>
      </c>
      <c r="I18" s="6" t="n">
        <v>5551577690.806128</v>
      </c>
      <c r="J18" s="6" t="n">
        <v>5385842442.608568</v>
      </c>
      <c r="K18" s="6" t="n">
        <v>3381973518.243913</v>
      </c>
      <c r="L18" s="6" t="n">
        <v>283237246.6806006</v>
      </c>
      <c r="M18" s="6" t="n">
        <v>177786934.6989767</v>
      </c>
      <c r="N18" s="6" t="n">
        <v>7366322.7839632</v>
      </c>
      <c r="O18" s="6" t="n">
        <v>3623873.125798373</v>
      </c>
      <c r="P18" s="6" t="n">
        <v>5412024347.354721</v>
      </c>
      <c r="Q18" s="6" t="n">
        <v>3397782870.86193</v>
      </c>
      <c r="R18" s="6" t="n">
        <v>284086317.8232495</v>
      </c>
      <c r="S18" s="6" t="n">
        <v>178204126.4344026</v>
      </c>
      <c r="T18" s="6" t="n">
        <v>6517251.641314369</v>
      </c>
      <c r="U18" s="6" t="n">
        <v>3206681.390372431</v>
      </c>
      <c r="V18" s="6" t="n">
        <v>5428030278.999774</v>
      </c>
      <c r="W18" s="6" t="n">
        <v>3405544771.502222</v>
      </c>
      <c r="X18" s="6" t="n">
        <v>286097973.9775738</v>
      </c>
      <c r="Y18" s="6" t="n">
        <v>178920982.0497984</v>
      </c>
      <c r="Z18" s="6" t="n">
        <v>4505595.486990003</v>
      </c>
      <c r="AA18" s="6" t="n">
        <v>2489825.774976688</v>
      </c>
      <c r="AB18" s="6" t="n">
        <v>5468632617.330763</v>
      </c>
      <c r="AC18" s="6" t="n">
        <v>3420207780.296637</v>
      </c>
      <c r="AD18" s="6" t="n">
        <v>289279595.0010247</v>
      </c>
      <c r="AE18" s="6" t="n">
        <v>180789897.6455727</v>
      </c>
      <c r="AF18" s="6" t="n">
        <v>1323974.463539158</v>
      </c>
      <c r="AG18" s="6" t="n">
        <v>620910.1792024206</v>
      </c>
      <c r="AH18" s="6" t="n">
        <v>5523221990.425376</v>
      </c>
      <c r="AI18" s="6" t="n">
        <v>3451974475.987215</v>
      </c>
      <c r="AJ18" s="6" t="n">
        <v>289490300.4825768</v>
      </c>
      <c r="AK18" s="6" t="n">
        <v>180888660.9216003</v>
      </c>
      <c r="AL18" s="6" t="n">
        <v>1113268.981986988</v>
      </c>
      <c r="AM18" s="6" t="n">
        <v>522146.9031747757</v>
      </c>
      <c r="AN18" s="6" t="n">
        <v>5527197203.616076</v>
      </c>
      <c r="AO18" s="6" t="n">
        <v>3453808115.700537</v>
      </c>
      <c r="AP18" s="6" t="n">
        <v>283043865.5999256</v>
      </c>
      <c r="AQ18" s="6" t="n">
        <v>177673400.829114</v>
      </c>
      <c r="AR18" s="6" t="n">
        <v>7559703.864638235</v>
      </c>
      <c r="AS18" s="6" t="n">
        <v>3737406.995661095</v>
      </c>
      <c r="AT18" s="6" t="n">
        <v>5408051451.851243</v>
      </c>
      <c r="AU18" s="6" t="n">
        <v>3395445205.617982</v>
      </c>
      <c r="AV18" s="6" t="n">
        <v>282772485.5782607</v>
      </c>
      <c r="AW18" s="6" t="n">
        <v>177550675.3768467</v>
      </c>
      <c r="AX18" s="6" t="n">
        <v>7831083.886303071</v>
      </c>
      <c r="AY18" s="6" t="n">
        <v>3860132.447928408</v>
      </c>
      <c r="AZ18" s="6" t="n">
        <v>5403171672.926393</v>
      </c>
      <c r="BA18" s="6" t="n">
        <v>3393318502.154922</v>
      </c>
      <c r="BB18" s="6" t="n">
        <v>1446928.684414506</v>
      </c>
      <c r="BC18" s="11" t="n">
        <v>0.005134770756865001</v>
      </c>
      <c r="BD18" s="6" t="n">
        <v>875497.6470451951</v>
      </c>
      <c r="BE18" s="11" t="n">
        <v>0.004948790545340475</v>
      </c>
      <c r="BF18" s="6" t="n">
        <v>2295999.827063322</v>
      </c>
      <c r="BG18" s="11" t="n">
        <v>0.008147901756846014</v>
      </c>
      <c r="BH18" s="6" t="n">
        <v>1292689.382471144</v>
      </c>
      <c r="BI18" s="11" t="n">
        <v>0.007306985936085531</v>
      </c>
      <c r="BJ18" s="6" t="n">
        <v>4307655.981387675</v>
      </c>
      <c r="BK18" s="11" t="n">
        <v>0.01528674232677496</v>
      </c>
      <c r="BL18" s="6" t="n">
        <v>2009544.997866899</v>
      </c>
      <c r="BM18" s="11" t="n">
        <v>0.0113590451321528</v>
      </c>
      <c r="BN18" s="6" t="n">
        <v>7489277.004838526</v>
      </c>
      <c r="BO18" s="7" t="n">
        <v>0.02657748164697372</v>
      </c>
      <c r="BP18" s="6" t="n">
        <v>3878460.593641162</v>
      </c>
      <c r="BQ18" s="7" t="n">
        <v>0.02192317612853181</v>
      </c>
      <c r="BR18" s="6" t="n">
        <v>7699982.48639071</v>
      </c>
      <c r="BS18" s="7" t="n">
        <v>0.02732522018905889</v>
      </c>
      <c r="BT18" s="6" t="n">
        <v>3977223.869668782</v>
      </c>
      <c r="BU18" s="7" t="n">
        <v>0.02248144006936808</v>
      </c>
      <c r="BV18" s="6" t="n">
        <v>1253547.60373944</v>
      </c>
      <c r="BW18" s="11" t="n">
        <v>0.004448511973915323</v>
      </c>
      <c r="BX18" s="6" t="n">
        <v>761963.7771824896</v>
      </c>
      <c r="BY18" s="11" t="n">
        <v>0.004307035146398245</v>
      </c>
      <c r="BZ18" s="6" t="n">
        <v>982167.5820745826</v>
      </c>
      <c r="CA18" s="11" t="n">
        <v>0.003485455387746415</v>
      </c>
      <c r="CB18" s="6" t="n">
        <v>639238.3249151707</v>
      </c>
      <c r="CC18" s="11" t="n">
        <v>0.003613323906964395</v>
      </c>
    </row>
    <row r="19">
      <c r="A19" t="inlineStr">
        <is>
          <t>CAT</t>
        </is>
      </c>
      <c r="B19" s="8" t="n">
        <v>2026</v>
      </c>
      <c r="C19" s="9" t="n">
        <v>124719053.6423747</v>
      </c>
      <c r="D19" s="9" t="n">
        <v>77856525.69268797</v>
      </c>
      <c r="E19" s="9" t="n">
        <v>124318439.9085519</v>
      </c>
      <c r="F19" s="9" t="n">
        <v>79389813.74590552</v>
      </c>
      <c r="G19" s="9" t="n">
        <v>400613.7338227928</v>
      </c>
      <c r="H19" s="9" t="n">
        <v>-1533288.053217536</v>
      </c>
      <c r="I19" s="9" t="n">
        <v>2177850186.489253</v>
      </c>
      <c r="J19" s="9" t="n">
        <v>2171514819.312232</v>
      </c>
      <c r="K19" s="9" t="n">
        <v>1386623856.843323</v>
      </c>
      <c r="L19" s="9" t="n">
        <v>125322949.805661</v>
      </c>
      <c r="M19" s="9" t="n">
        <v>79837773.75733283</v>
      </c>
      <c r="N19" s="9" t="n">
        <v>-603896.1632863507</v>
      </c>
      <c r="O19" s="9" t="n">
        <v>-1981248.064644851</v>
      </c>
      <c r="P19" s="9" t="n">
        <v>2188664240.516274</v>
      </c>
      <c r="Q19" s="9" t="n">
        <v>1394217177.327781</v>
      </c>
      <c r="R19" s="9" t="n">
        <v>125357170.835612</v>
      </c>
      <c r="S19" s="9" t="n">
        <v>79666126.30219886</v>
      </c>
      <c r="T19" s="9" t="n">
        <v>-638117.1932373308</v>
      </c>
      <c r="U19" s="9" t="n">
        <v>-1809600.609510886</v>
      </c>
      <c r="V19" s="9" t="n">
        <v>2189271601.540259</v>
      </c>
      <c r="W19" s="9" t="n">
        <v>1391235419.496229</v>
      </c>
      <c r="X19" s="9" t="n">
        <v>127595907.640914</v>
      </c>
      <c r="Y19" s="9" t="n">
        <v>80093257.9570013</v>
      </c>
      <c r="Z19" s="9" t="n">
        <v>-2876853.998539275</v>
      </c>
      <c r="AA19" s="9" t="n">
        <v>-2236732.264313313</v>
      </c>
      <c r="AB19" s="9" t="n">
        <v>2228366117.226073</v>
      </c>
      <c r="AC19" s="9" t="n">
        <v>1398738656.525149</v>
      </c>
      <c r="AD19" s="9" t="n">
        <v>123506778.4048803</v>
      </c>
      <c r="AE19" s="9" t="n">
        <v>77522719.49815162</v>
      </c>
      <c r="AF19" s="9" t="n">
        <v>1212275.23749437</v>
      </c>
      <c r="AG19" s="9" t="n">
        <v>333806.1945363688</v>
      </c>
      <c r="AH19" s="9" t="n">
        <v>2156942048.782954</v>
      </c>
      <c r="AI19" s="9" t="n">
        <v>1353844055.997316</v>
      </c>
      <c r="AJ19" s="9" t="n">
        <v>123521021.4086913</v>
      </c>
      <c r="AK19" s="9" t="n">
        <v>77477002.79252633</v>
      </c>
      <c r="AL19" s="9" t="n">
        <v>1198032.233683412</v>
      </c>
      <c r="AM19" s="9" t="n">
        <v>379522.900161651</v>
      </c>
      <c r="AN19" s="9" t="n">
        <v>2157187928.165632</v>
      </c>
      <c r="AO19" s="9" t="n">
        <v>1353046767.1592</v>
      </c>
      <c r="AP19" s="9" t="n">
        <v>125338865.9544601</v>
      </c>
      <c r="AQ19" s="9" t="n">
        <v>79865505.43280306</v>
      </c>
      <c r="AR19" s="9" t="n">
        <v>-619812.3120853975</v>
      </c>
      <c r="AS19" s="9" t="n">
        <v>-2008979.74011508</v>
      </c>
      <c r="AT19" s="9" t="n">
        <v>2188985076.320517</v>
      </c>
      <c r="AU19" s="9" t="n">
        <v>1394726076.742401</v>
      </c>
      <c r="AV19" s="9" t="n">
        <v>125241820.8923842</v>
      </c>
      <c r="AW19" s="9" t="n">
        <v>79886800.5745212</v>
      </c>
      <c r="AX19" s="9" t="n">
        <v>-522767.2500095107</v>
      </c>
      <c r="AY19" s="9" t="n">
        <v>-2030274.881833225</v>
      </c>
      <c r="AZ19" s="9" t="n">
        <v>2187248797.058202</v>
      </c>
      <c r="BA19" s="9" t="n">
        <v>1395069120.215979</v>
      </c>
      <c r="BB19" s="9" t="n">
        <v>1004509.897109151</v>
      </c>
      <c r="BC19" s="10" t="n">
        <v>0.00808013596251742</v>
      </c>
      <c r="BD19" s="9" t="n">
        <v>447960.0114273131</v>
      </c>
      <c r="BE19" s="10" t="n">
        <v>0.005642537629084895</v>
      </c>
      <c r="BF19" s="9" t="n">
        <v>1038730.927060127</v>
      </c>
      <c r="BG19" s="10" t="n">
        <v>0.008355405101803185</v>
      </c>
      <c r="BH19" s="9" t="n">
        <v>276312.5562933385</v>
      </c>
      <c r="BI19" s="10" t="n">
        <v>0.003480453514826254</v>
      </c>
      <c r="BJ19" s="9" t="n">
        <v>3277467.732362077</v>
      </c>
      <c r="BK19" s="12" t="n">
        <v>0.02636348827071002</v>
      </c>
      <c r="BL19" s="9" t="n">
        <v>703444.2110957801</v>
      </c>
      <c r="BM19" s="10" t="n">
        <v>0.008860635614377667</v>
      </c>
      <c r="BN19" s="9" t="n">
        <v>-811661.5036715716</v>
      </c>
      <c r="BO19" s="10" t="n">
        <v>-0.006528890680003918</v>
      </c>
      <c r="BP19" s="9" t="n">
        <v>-1867094.247753903</v>
      </c>
      <c r="BQ19" s="12" t="n">
        <v>-0.02351805804368948</v>
      </c>
      <c r="BR19" s="9" t="n">
        <v>-797418.4998606145</v>
      </c>
      <c r="BS19" s="10" t="n">
        <v>-0.006414321965809675</v>
      </c>
      <c r="BT19" s="9" t="n">
        <v>-1912810.953379184</v>
      </c>
      <c r="BU19" s="12" t="n">
        <v>-0.02409390906875425</v>
      </c>
      <c r="BV19" s="9" t="n">
        <v>1020426.045908198</v>
      </c>
      <c r="BW19" s="10" t="n">
        <v>0.008208163219059206</v>
      </c>
      <c r="BX19" s="9" t="n">
        <v>475691.6868975461</v>
      </c>
      <c r="BY19" s="10" t="n">
        <v>0.005991847876354031</v>
      </c>
      <c r="BZ19" s="9" t="n">
        <v>923380.9838323146</v>
      </c>
      <c r="CA19" s="10" t="n">
        <v>0.007427546424420623</v>
      </c>
      <c r="CB19" s="9" t="n">
        <v>496986.8286156803</v>
      </c>
      <c r="CC19" s="10" t="n">
        <v>0.006260083065647854</v>
      </c>
    </row>
    <row r="20">
      <c r="A20" s="4" t="inlineStr">
        <is>
          <t>Credito</t>
        </is>
      </c>
      <c r="B20" s="5" t="n">
        <v>2023</v>
      </c>
      <c r="C20" s="6" t="n">
        <v>4677642.623115208</v>
      </c>
      <c r="D20" s="6" t="n">
        <v>2928318.19077864</v>
      </c>
      <c r="E20" s="6" t="n">
        <v>3914691.795603942</v>
      </c>
      <c r="F20" s="6" t="n">
        <v>2497881.055812516</v>
      </c>
      <c r="G20" s="6" t="n">
        <v>762950.8275112659</v>
      </c>
      <c r="H20" s="6" t="n">
        <v>430437.1349661234</v>
      </c>
      <c r="I20" s="6" t="n">
        <v>82610485.94369951</v>
      </c>
      <c r="J20" s="6" t="n">
        <v>69248200.80368111</v>
      </c>
      <c r="K20" s="6" t="n">
        <v>43968710.4653964</v>
      </c>
      <c r="L20" s="6" t="n">
        <v>4403554.990852526</v>
      </c>
      <c r="M20" s="6" t="n">
        <v>2837153.52378608</v>
      </c>
      <c r="N20" s="6" t="n">
        <v>274087.6322626816</v>
      </c>
      <c r="O20" s="6" t="n">
        <v>91164.66699255956</v>
      </c>
      <c r="P20" s="6" t="n">
        <v>77539495.01658827</v>
      </c>
      <c r="Q20" s="6" t="n">
        <v>49719726.68772715</v>
      </c>
      <c r="R20" s="6" t="n">
        <v>4474106.088122337</v>
      </c>
      <c r="S20" s="6" t="n">
        <v>2871873.518757074</v>
      </c>
      <c r="T20" s="6" t="n">
        <v>203536.5349928711</v>
      </c>
      <c r="U20" s="6" t="n">
        <v>56444.67202156596</v>
      </c>
      <c r="V20" s="6" t="n">
        <v>78832456.63328445</v>
      </c>
      <c r="W20" s="6" t="n">
        <v>50402790.82624245</v>
      </c>
      <c r="X20" s="6" t="n">
        <v>4700128.803357368</v>
      </c>
      <c r="Y20" s="6" t="n">
        <v>2947256.286365972</v>
      </c>
      <c r="Z20" s="6" t="n">
        <v>-22486.18024216012</v>
      </c>
      <c r="AA20" s="6" t="n">
        <v>-18938.09558733251</v>
      </c>
      <c r="AB20" s="6" t="n">
        <v>83003741.97548825</v>
      </c>
      <c r="AC20" s="6" t="n">
        <v>52042075.5787608</v>
      </c>
      <c r="AD20" s="6" t="n">
        <v>4682115.16867289</v>
      </c>
      <c r="AE20" s="6" t="n">
        <v>2937369.681831931</v>
      </c>
      <c r="AF20" s="6" t="n">
        <v>-4472.545557682184</v>
      </c>
      <c r="AG20" s="6" t="n">
        <v>-9051.491053290825</v>
      </c>
      <c r="AH20" s="6" t="n">
        <v>82680029.2007509</v>
      </c>
      <c r="AI20" s="6" t="n">
        <v>51857504.19055789</v>
      </c>
      <c r="AJ20" s="6" t="n">
        <v>4689285.520881688</v>
      </c>
      <c r="AK20" s="6" t="n">
        <v>2939356.033720849</v>
      </c>
      <c r="AL20" s="6" t="n">
        <v>-11642.89776648</v>
      </c>
      <c r="AM20" s="6" t="n">
        <v>-11037.84294220924</v>
      </c>
      <c r="AN20" s="6" t="n">
        <v>82806819.65499814</v>
      </c>
      <c r="AO20" s="6" t="n">
        <v>51898610.57118376</v>
      </c>
      <c r="AP20" s="6" t="n">
        <v>4384293.330996044</v>
      </c>
      <c r="AQ20" s="6" t="n">
        <v>2822005.812354498</v>
      </c>
      <c r="AR20" s="6" t="n">
        <v>293349.292119164</v>
      </c>
      <c r="AS20" s="6" t="n">
        <v>106312.378424142</v>
      </c>
      <c r="AT20" s="6" t="n">
        <v>77200652.93251051</v>
      </c>
      <c r="AU20" s="6" t="n">
        <v>49455302.1130859</v>
      </c>
      <c r="AV20" s="6" t="n">
        <v>4322235.54106997</v>
      </c>
      <c r="AW20" s="6" t="n">
        <v>2795407.152638397</v>
      </c>
      <c r="AX20" s="6" t="n">
        <v>355407.0820452387</v>
      </c>
      <c r="AY20" s="6" t="n">
        <v>132911.0381402429</v>
      </c>
      <c r="AZ20" s="6" t="n">
        <v>76068940.86140557</v>
      </c>
      <c r="BA20" s="6" t="n">
        <v>48919969.39503077</v>
      </c>
      <c r="BB20" s="6" t="n">
        <v>488863.1952485843</v>
      </c>
      <c r="BC20" s="7" t="n">
        <v>0.1248791017973778</v>
      </c>
      <c r="BD20" s="6" t="n">
        <v>339272.4679735638</v>
      </c>
      <c r="BE20" s="7" t="n">
        <v>0.1358241086716615</v>
      </c>
      <c r="BF20" s="6" t="n">
        <v>559414.292518395</v>
      </c>
      <c r="BG20" s="7" t="n">
        <v>0.1429012350720936</v>
      </c>
      <c r="BH20" s="6" t="n">
        <v>373992.4629445574</v>
      </c>
      <c r="BI20" s="7" t="n">
        <v>0.1497238878025376</v>
      </c>
      <c r="BJ20" s="6" t="n">
        <v>785437.0077534262</v>
      </c>
      <c r="BK20" s="7" t="n">
        <v>0.2006382746747633</v>
      </c>
      <c r="BL20" s="6" t="n">
        <v>449375.2305534561</v>
      </c>
      <c r="BM20" s="7" t="n">
        <v>0.1799025736264621</v>
      </c>
      <c r="BN20" s="6" t="n">
        <v>767423.3730689483</v>
      </c>
      <c r="BO20" s="7" t="n">
        <v>0.1960367285952721</v>
      </c>
      <c r="BP20" s="6" t="n">
        <v>439488.6260194145</v>
      </c>
      <c r="BQ20" s="7" t="n">
        <v>0.1759445771033548</v>
      </c>
      <c r="BR20" s="6" t="n">
        <v>774593.7252777461</v>
      </c>
      <c r="BS20" s="7" t="n">
        <v>0.1978683803786513</v>
      </c>
      <c r="BT20" s="6" t="n">
        <v>441474.9779083328</v>
      </c>
      <c r="BU20" s="7" t="n">
        <v>0.1767397918652011</v>
      </c>
      <c r="BV20" s="6" t="n">
        <v>469601.5353921019</v>
      </c>
      <c r="BW20" s="7" t="n">
        <v>0.1199587502442587</v>
      </c>
      <c r="BX20" s="6" t="n">
        <v>324124.7565419814</v>
      </c>
      <c r="BY20" s="7" t="n">
        <v>0.1297598841977483</v>
      </c>
      <c r="BZ20" s="6" t="n">
        <v>407543.7454660274</v>
      </c>
      <c r="CA20" s="7" t="n">
        <v>0.1041062149320885</v>
      </c>
      <c r="CB20" s="6" t="n">
        <v>297526.0968258805</v>
      </c>
      <c r="CC20" s="7" t="n">
        <v>0.1191113948894979</v>
      </c>
    </row>
    <row r="21">
      <c r="A21" t="inlineStr">
        <is>
          <t>Credito</t>
        </is>
      </c>
      <c r="B21" s="8" t="n">
        <v>2024</v>
      </c>
      <c r="C21" s="9" t="n">
        <v>5304050.880431377</v>
      </c>
      <c r="D21" s="9" t="n">
        <v>2430738.498358279</v>
      </c>
      <c r="E21" s="9" t="n">
        <v>4879841.140307217</v>
      </c>
      <c r="F21" s="9" t="n">
        <v>2446068.613905829</v>
      </c>
      <c r="G21" s="9" t="n">
        <v>424209.7401241604</v>
      </c>
      <c r="H21" s="9" t="n">
        <v>-15330.11554755038</v>
      </c>
      <c r="I21" s="9" t="n">
        <v>98383971.9417571</v>
      </c>
      <c r="J21" s="9" t="n">
        <v>90854258.66851845</v>
      </c>
      <c r="K21" s="9" t="n">
        <v>45369634.76424758</v>
      </c>
      <c r="L21" s="9" t="n">
        <v>4893511.070515846</v>
      </c>
      <c r="M21" s="9" t="n">
        <v>2399927.057812511</v>
      </c>
      <c r="N21" s="9" t="n">
        <v>410539.8099155319</v>
      </c>
      <c r="O21" s="9" t="n">
        <v>30811.44054576824</v>
      </c>
      <c r="P21" s="9" t="n">
        <v>91089761.26251535</v>
      </c>
      <c r="Q21" s="9" t="n">
        <v>44582624.24874479</v>
      </c>
      <c r="R21" s="9" t="n">
        <v>4932281.451063613</v>
      </c>
      <c r="S21" s="9" t="n">
        <v>2388956.713198258</v>
      </c>
      <c r="T21" s="9" t="n">
        <v>371769.4293677642</v>
      </c>
      <c r="U21" s="9" t="n">
        <v>41781.78516002093</v>
      </c>
      <c r="V21" s="9" t="n">
        <v>91907810.54881048</v>
      </c>
      <c r="W21" s="9" t="n">
        <v>44458150.60880922</v>
      </c>
      <c r="X21" s="9" t="n">
        <v>5311404.652627539</v>
      </c>
      <c r="Y21" s="9" t="n">
        <v>2438668.368140643</v>
      </c>
      <c r="Z21" s="9" t="n">
        <v>-7353.772196161553</v>
      </c>
      <c r="AA21" s="9" t="n">
        <v>-7929.869782364323</v>
      </c>
      <c r="AB21" s="9" t="n">
        <v>98502782.05193946</v>
      </c>
      <c r="AC21" s="9" t="n">
        <v>45224265.22387663</v>
      </c>
      <c r="AD21" s="9" t="n">
        <v>5245252.99334755</v>
      </c>
      <c r="AE21" s="9" t="n">
        <v>2406430.527034211</v>
      </c>
      <c r="AF21" s="9" t="n">
        <v>58797.8870838279</v>
      </c>
      <c r="AG21" s="9" t="n">
        <v>24307.97132406841</v>
      </c>
      <c r="AH21" s="9" t="n">
        <v>97654842.83681305</v>
      </c>
      <c r="AI21" s="9" t="n">
        <v>44872094.6829586</v>
      </c>
      <c r="AJ21" s="9" t="n">
        <v>5268169.50842454</v>
      </c>
      <c r="AK21" s="9" t="n">
        <v>2413689.298176208</v>
      </c>
      <c r="AL21" s="9" t="n">
        <v>35881.37200683746</v>
      </c>
      <c r="AM21" s="9" t="n">
        <v>17049.20018207129</v>
      </c>
      <c r="AN21" s="9" t="n">
        <v>98107492.63616201</v>
      </c>
      <c r="AO21" s="9" t="n">
        <v>45027292.85737306</v>
      </c>
      <c r="AP21" s="9" t="n">
        <v>4848897.460516976</v>
      </c>
      <c r="AQ21" s="9" t="n">
        <v>2372502.365344491</v>
      </c>
      <c r="AR21" s="9" t="n">
        <v>455153.4199144016</v>
      </c>
      <c r="AS21" s="9" t="n">
        <v>58236.13301378791</v>
      </c>
      <c r="AT21" s="9" t="n">
        <v>90610416.92130624</v>
      </c>
      <c r="AU21" s="9" t="n">
        <v>44302635.40931478</v>
      </c>
      <c r="AV21" s="9" t="n">
        <v>4865147.174507853</v>
      </c>
      <c r="AW21" s="9" t="n">
        <v>2419044.388599365</v>
      </c>
      <c r="AX21" s="9" t="n">
        <v>438903.7059235247</v>
      </c>
      <c r="AY21" s="9" t="n">
        <v>11694.10975891352</v>
      </c>
      <c r="AZ21" s="9" t="n">
        <v>90410630.36407137</v>
      </c>
      <c r="BA21" s="9" t="n">
        <v>44825918.45420331</v>
      </c>
      <c r="BB21" s="9" t="n">
        <v>13669.930208629</v>
      </c>
      <c r="BC21" s="10" t="n">
        <v>0.002801306398217789</v>
      </c>
      <c r="BD21" s="9" t="n">
        <v>-46141.55609331839</v>
      </c>
      <c r="BE21" s="10" t="n">
        <v>-0.01886355755967145</v>
      </c>
      <c r="BF21" s="9" t="n">
        <v>52440.3107563965</v>
      </c>
      <c r="BG21" s="10" t="n">
        <v>0.01074631514604901</v>
      </c>
      <c r="BH21" s="9" t="n">
        <v>-57111.9007075713</v>
      </c>
      <c r="BI21" s="12" t="n">
        <v>-0.02334844590331269</v>
      </c>
      <c r="BJ21" s="9" t="n">
        <v>431563.512320322</v>
      </c>
      <c r="BK21" s="12" t="n">
        <v>0.08843802490938309</v>
      </c>
      <c r="BL21" s="9" t="n">
        <v>-7400.245765185915</v>
      </c>
      <c r="BM21" s="10" t="n">
        <v>-0.003025363116600954</v>
      </c>
      <c r="BN21" s="9" t="n">
        <v>365411.8530403329</v>
      </c>
      <c r="BO21" s="12" t="n">
        <v>0.07488191572919276</v>
      </c>
      <c r="BP21" s="9" t="n">
        <v>-39638.08687161887</v>
      </c>
      <c r="BQ21" s="10" t="n">
        <v>-0.01620481398039184</v>
      </c>
      <c r="BR21" s="9" t="n">
        <v>388328.3681173231</v>
      </c>
      <c r="BS21" s="12" t="n">
        <v>0.07957807579221225</v>
      </c>
      <c r="BT21" s="9" t="n">
        <v>-32379.31572962133</v>
      </c>
      <c r="BU21" s="10" t="n">
        <v>-0.01323728841682766</v>
      </c>
      <c r="BV21" s="9" t="n">
        <v>-30943.67979024071</v>
      </c>
      <c r="BW21" s="10" t="n">
        <v>-0.006341124413794465</v>
      </c>
      <c r="BX21" s="9" t="n">
        <v>-73566.24856133806</v>
      </c>
      <c r="BY21" s="12" t="n">
        <v>-0.03007530048139944</v>
      </c>
      <c r="BZ21" s="9" t="n">
        <v>-14693.96579936426</v>
      </c>
      <c r="CA21" s="10" t="n">
        <v>-0.003011156588273524</v>
      </c>
      <c r="CB21" s="9" t="n">
        <v>-27024.22530646389</v>
      </c>
      <c r="CC21" s="10" t="n">
        <v>-0.0110480242266435</v>
      </c>
    </row>
    <row r="22">
      <c r="A22" s="4" t="inlineStr">
        <is>
          <t>Credito</t>
        </is>
      </c>
      <c r="B22" s="5" t="n">
        <v>2025</v>
      </c>
      <c r="C22" s="6" t="n">
        <v>7459546.709936935</v>
      </c>
      <c r="D22" s="6" t="n">
        <v>2745954.131958068</v>
      </c>
      <c r="E22" s="6" t="n">
        <v>7125039.648666684</v>
      </c>
      <c r="F22" s="6" t="n">
        <v>2851470.42998302</v>
      </c>
      <c r="G22" s="6" t="n">
        <v>334507.0612702514</v>
      </c>
      <c r="H22" s="6" t="n">
        <v>-105516.2980249517</v>
      </c>
      <c r="I22" s="6" t="n">
        <v>143142942.0539074</v>
      </c>
      <c r="J22" s="6" t="n">
        <v>135990130.1196787</v>
      </c>
      <c r="K22" s="6" t="n">
        <v>54607011.46879519</v>
      </c>
      <c r="L22" s="6" t="n">
        <v>6771607.034433343</v>
      </c>
      <c r="M22" s="6" t="n">
        <v>2627330.25096076</v>
      </c>
      <c r="N22" s="6" t="n">
        <v>687939.6755035929</v>
      </c>
      <c r="O22" s="6" t="n">
        <v>118623.880997309</v>
      </c>
      <c r="P22" s="6" t="n">
        <v>129753577.3629011</v>
      </c>
      <c r="Q22" s="6" t="n">
        <v>50530615.33298692</v>
      </c>
      <c r="R22" s="6" t="n">
        <v>6853914.091398894</v>
      </c>
      <c r="S22" s="6" t="n">
        <v>2635009.552590909</v>
      </c>
      <c r="T22" s="6" t="n">
        <v>605632.6185380411</v>
      </c>
      <c r="U22" s="6" t="n">
        <v>110944.5793671594</v>
      </c>
      <c r="V22" s="6" t="n">
        <v>131407813.7837097</v>
      </c>
      <c r="W22" s="6" t="n">
        <v>50684262.99491147</v>
      </c>
      <c r="X22" s="6" t="n">
        <v>7162928.550821085</v>
      </c>
      <c r="Y22" s="6" t="n">
        <v>2601132.543742984</v>
      </c>
      <c r="Z22" s="6" t="n">
        <v>296618.1591158502</v>
      </c>
      <c r="AA22" s="6" t="n">
        <v>144821.588215085</v>
      </c>
      <c r="AB22" s="6" t="n">
        <v>137766832.1297277</v>
      </c>
      <c r="AC22" s="6" t="n">
        <v>50071769.42341646</v>
      </c>
      <c r="AD22" s="6" t="n">
        <v>7237858.714033321</v>
      </c>
      <c r="AE22" s="6" t="n">
        <v>2650422.277978017</v>
      </c>
      <c r="AF22" s="6" t="n">
        <v>221687.9959036135</v>
      </c>
      <c r="AG22" s="6" t="n">
        <v>95531.85398005114</v>
      </c>
      <c r="AH22" s="6" t="n">
        <v>138805686.4172185</v>
      </c>
      <c r="AI22" s="6" t="n">
        <v>50828358.00325141</v>
      </c>
      <c r="AJ22" s="6" t="n">
        <v>7263763.710412901</v>
      </c>
      <c r="AK22" s="6" t="n">
        <v>2655680.93084178</v>
      </c>
      <c r="AL22" s="6" t="n">
        <v>195782.9995240341</v>
      </c>
      <c r="AM22" s="6" t="n">
        <v>90273.20111628828</v>
      </c>
      <c r="AN22" s="6" t="n">
        <v>139285125.6077444</v>
      </c>
      <c r="AO22" s="6" t="n">
        <v>50913095.58710795</v>
      </c>
      <c r="AP22" s="6" t="n">
        <v>6598795.806257319</v>
      </c>
      <c r="AQ22" s="6" t="n">
        <v>2544708.757143125</v>
      </c>
      <c r="AR22" s="6" t="n">
        <v>860750.9036796163</v>
      </c>
      <c r="AS22" s="6" t="n">
        <v>201245.3748149434</v>
      </c>
      <c r="AT22" s="6" t="n">
        <v>126334351.5653147</v>
      </c>
      <c r="AU22" s="6" t="n">
        <v>48893836.47176221</v>
      </c>
      <c r="AV22" s="6" t="n">
        <v>6663865.287531587</v>
      </c>
      <c r="AW22" s="6" t="n">
        <v>2607809.313347671</v>
      </c>
      <c r="AX22" s="6" t="n">
        <v>795681.4224053477</v>
      </c>
      <c r="AY22" s="6" t="n">
        <v>138144.8186103976</v>
      </c>
      <c r="AZ22" s="6" t="n">
        <v>127673590.9713402</v>
      </c>
      <c r="BA22" s="6" t="n">
        <v>50181536.55590408</v>
      </c>
      <c r="BB22" s="6" t="n">
        <v>-353432.6142333411</v>
      </c>
      <c r="BC22" s="7" t="n">
        <v>-0.0496043014019549</v>
      </c>
      <c r="BD22" s="6" t="n">
        <v>-224140.1790222605</v>
      </c>
      <c r="BE22" s="7" t="n">
        <v>-0.07860512129652179</v>
      </c>
      <c r="BF22" s="6" t="n">
        <v>-271125.5572677897</v>
      </c>
      <c r="BG22" s="7" t="n">
        <v>-0.03805249804027767</v>
      </c>
      <c r="BH22" s="6" t="n">
        <v>-216460.8773921109</v>
      </c>
      <c r="BI22" s="7" t="n">
        <v>-0.07591201897660915</v>
      </c>
      <c r="BJ22" s="6" t="n">
        <v>37888.90215440094</v>
      </c>
      <c r="BK22" s="11" t="n">
        <v>0.005317711061648777</v>
      </c>
      <c r="BL22" s="6" t="n">
        <v>-250337.8862400367</v>
      </c>
      <c r="BM22" s="7" t="n">
        <v>-0.08779255909784321</v>
      </c>
      <c r="BN22" s="6" t="n">
        <v>112819.0653666379</v>
      </c>
      <c r="BO22" s="11" t="n">
        <v>0.01583416667551455</v>
      </c>
      <c r="BP22" s="6" t="n">
        <v>-201048.1520050028</v>
      </c>
      <c r="BQ22" s="7" t="n">
        <v>-0.07050683390961905</v>
      </c>
      <c r="BR22" s="6" t="n">
        <v>138724.0617462173</v>
      </c>
      <c r="BS22" s="11" t="n">
        <v>0.01946993540901585</v>
      </c>
      <c r="BT22" s="6" t="n">
        <v>-195789.49914124</v>
      </c>
      <c r="BU22" s="7" t="n">
        <v>-0.06866264404586721</v>
      </c>
      <c r="BV22" s="6" t="n">
        <v>-526243.8424093649</v>
      </c>
      <c r="BW22" s="7" t="n">
        <v>-0.07385837389800932</v>
      </c>
      <c r="BX22" s="6" t="n">
        <v>-306761.6728398949</v>
      </c>
      <c r="BY22" s="7" t="n">
        <v>-0.1075801697307875</v>
      </c>
      <c r="BZ22" s="6" t="n">
        <v>-461174.3611350963</v>
      </c>
      <c r="CA22" s="7" t="n">
        <v>-0.06472586594257007</v>
      </c>
      <c r="CB22" s="6" t="n">
        <v>-243661.1166353491</v>
      </c>
      <c r="CC22" s="7" t="n">
        <v>-0.0854510410044126</v>
      </c>
    </row>
    <row r="23">
      <c r="A23" t="inlineStr">
        <is>
          <t>Credito</t>
        </is>
      </c>
      <c r="B23" s="8" t="n">
        <v>2026</v>
      </c>
      <c r="C23" s="9" t="n">
        <v>4940462.762293635</v>
      </c>
      <c r="D23" s="9" t="n">
        <v>1818647.25343611</v>
      </c>
      <c r="E23" s="9" t="n">
        <v>3356548.694693681</v>
      </c>
      <c r="F23" s="9" t="n">
        <v>969812.9132748649</v>
      </c>
      <c r="G23" s="9" t="n">
        <v>1583914.067599954</v>
      </c>
      <c r="H23" s="9" t="n">
        <v>848834.3401612453</v>
      </c>
      <c r="I23" s="9" t="n">
        <v>85924073.1612258</v>
      </c>
      <c r="J23" s="9" t="n">
        <v>58694823.78453188</v>
      </c>
      <c r="K23" s="9" t="n">
        <v>17029930.6434406</v>
      </c>
      <c r="L23" s="9" t="n">
        <v>3291955.963206715</v>
      </c>
      <c r="M23" s="9" t="n">
        <v>939084.2378641302</v>
      </c>
      <c r="N23" s="9" t="n">
        <v>1648506.79908692</v>
      </c>
      <c r="O23" s="9" t="n">
        <v>879563.01557198</v>
      </c>
      <c r="P23" s="9" t="n">
        <v>57468142.0108548</v>
      </c>
      <c r="Q23" s="9" t="n">
        <v>16439928.369131</v>
      </c>
      <c r="R23" s="9" t="n">
        <v>3491918.457863457</v>
      </c>
      <c r="S23" s="9" t="n">
        <v>1046610.828761178</v>
      </c>
      <c r="T23" s="9" t="n">
        <v>1448544.304430178</v>
      </c>
      <c r="U23" s="9" t="n">
        <v>772036.4246749326</v>
      </c>
      <c r="V23" s="9" t="n">
        <v>60944818.61607975</v>
      </c>
      <c r="W23" s="9" t="n">
        <v>18310690.51107463</v>
      </c>
      <c r="X23" s="9" t="n">
        <v>5110299.572254894</v>
      </c>
      <c r="Y23" s="9" t="n">
        <v>1900997.994463293</v>
      </c>
      <c r="Z23" s="9" t="n">
        <v>-169836.8099612599</v>
      </c>
      <c r="AA23" s="9" t="n">
        <v>-82350.74102718325</v>
      </c>
      <c r="AB23" s="9" t="n">
        <v>88890899.62635057</v>
      </c>
      <c r="AC23" s="9" t="n">
        <v>33068363.009881</v>
      </c>
      <c r="AD23" s="9" t="n">
        <v>5056098.074364183</v>
      </c>
      <c r="AE23" s="9" t="n">
        <v>1872679.370046691</v>
      </c>
      <c r="AF23" s="9" t="n">
        <v>-115635.312070548</v>
      </c>
      <c r="AG23" s="9" t="n">
        <v>-54032.116610581</v>
      </c>
      <c r="AH23" s="9" t="n">
        <v>87953628.70143655</v>
      </c>
      <c r="AI23" s="9" t="n">
        <v>32578558.35836732</v>
      </c>
      <c r="AJ23" s="9" t="n">
        <v>5060082.649805317</v>
      </c>
      <c r="AK23" s="9" t="n">
        <v>1876096.900982339</v>
      </c>
      <c r="AL23" s="9" t="n">
        <v>-119619.8875116819</v>
      </c>
      <c r="AM23" s="9" t="n">
        <v>-57449.64754622872</v>
      </c>
      <c r="AN23" s="9" t="n">
        <v>88019545.66270615</v>
      </c>
      <c r="AO23" s="9" t="n">
        <v>32636436.12107676</v>
      </c>
      <c r="AP23" s="9" t="n">
        <v>3502917.403590326</v>
      </c>
      <c r="AQ23" s="9" t="n">
        <v>1043882.618340508</v>
      </c>
      <c r="AR23" s="9" t="n">
        <v>1437545.358703308</v>
      </c>
      <c r="AS23" s="9" t="n">
        <v>774764.6350956019</v>
      </c>
      <c r="AT23" s="9" t="n">
        <v>61155656.60351967</v>
      </c>
      <c r="AU23" s="9" t="n">
        <v>18272220.31673016</v>
      </c>
      <c r="AV23" s="9" t="n">
        <v>3160260.552805303</v>
      </c>
      <c r="AW23" s="9" t="n">
        <v>865897.5772294607</v>
      </c>
      <c r="AX23" s="9" t="n">
        <v>1780202.209488332</v>
      </c>
      <c r="AY23" s="9" t="n">
        <v>952749.6762066495</v>
      </c>
      <c r="AZ23" s="9" t="n">
        <v>55166457.6955501</v>
      </c>
      <c r="BA23" s="9" t="n">
        <v>15159674.2592315</v>
      </c>
      <c r="BB23" s="9" t="n">
        <v>-64592.7314869659</v>
      </c>
      <c r="BC23" s="10" t="n">
        <v>-0.01924379395689376</v>
      </c>
      <c r="BD23" s="9" t="n">
        <v>-30728.67541073472</v>
      </c>
      <c r="BE23" s="12" t="n">
        <v>-0.03168515802390186</v>
      </c>
      <c r="BF23" s="9" t="n">
        <v>135369.7631697757</v>
      </c>
      <c r="BG23" s="12" t="n">
        <v>0.04033004597364543</v>
      </c>
      <c r="BH23" s="9" t="n">
        <v>76797.9154863127</v>
      </c>
      <c r="BI23" s="12" t="n">
        <v>0.07918838204265753</v>
      </c>
      <c r="BJ23" s="9" t="n">
        <v>1753750.877561213</v>
      </c>
      <c r="BK23" s="12" t="n">
        <v>0.5224863504389771</v>
      </c>
      <c r="BL23" s="9" t="n">
        <v>931185.0811884284</v>
      </c>
      <c r="BM23" s="12" t="n">
        <v>0.9601698105297465</v>
      </c>
      <c r="BN23" s="9" t="n">
        <v>1699549.379670502</v>
      </c>
      <c r="BO23" s="12" t="n">
        <v>0.5063383654636963</v>
      </c>
      <c r="BP23" s="9" t="n">
        <v>902866.4567718264</v>
      </c>
      <c r="BQ23" s="12" t="n">
        <v>0.9309697204618841</v>
      </c>
      <c r="BR23" s="9" t="n">
        <v>1703533.955111636</v>
      </c>
      <c r="BS23" s="12" t="n">
        <v>0.5075254703751887</v>
      </c>
      <c r="BT23" s="9" t="n">
        <v>906283.987707474</v>
      </c>
      <c r="BU23" s="12" t="n">
        <v>0.9344936278968834</v>
      </c>
      <c r="BV23" s="9" t="n">
        <v>146368.7088966453</v>
      </c>
      <c r="BW23" s="12" t="n">
        <v>0.04360690763343833</v>
      </c>
      <c r="BX23" s="9" t="n">
        <v>74069.70506564341</v>
      </c>
      <c r="BY23" s="12" t="n">
        <v>0.07637525140341221</v>
      </c>
      <c r="BZ23" s="9" t="n">
        <v>-196288.1418883782</v>
      </c>
      <c r="CA23" s="12" t="n">
        <v>-0.05847915813010169</v>
      </c>
      <c r="CB23" s="9" t="n">
        <v>-103915.3360454042</v>
      </c>
      <c r="CC23" s="12" t="n">
        <v>-0.1071498787271277</v>
      </c>
    </row>
    <row r="24">
      <c r="A24" s="4" t="inlineStr">
        <is>
          <t>Diversos</t>
        </is>
      </c>
      <c r="B24" s="5" t="n">
        <v>2023</v>
      </c>
      <c r="C24" s="6" t="n">
        <v>60670316.35292897</v>
      </c>
      <c r="D24" s="6" t="n">
        <v>49655725.85589892</v>
      </c>
      <c r="E24" s="6" t="n">
        <v>51442164.47333187</v>
      </c>
      <c r="F24" s="6" t="n">
        <v>43222954.7532216</v>
      </c>
      <c r="G24" s="6" t="n">
        <v>9228151.879597101</v>
      </c>
      <c r="H24" s="6" t="n">
        <v>6432771.102677323</v>
      </c>
      <c r="I24" s="6" t="n">
        <v>1067261338.937432</v>
      </c>
      <c r="J24" s="6" t="n">
        <v>910311136.7124993</v>
      </c>
      <c r="K24" s="6" t="n">
        <v>764232751.2464887</v>
      </c>
      <c r="L24" s="6" t="n">
        <v>51508142.87072878</v>
      </c>
      <c r="M24" s="6" t="n">
        <v>43319062.03853399</v>
      </c>
      <c r="N24" s="6" t="n">
        <v>9162173.482200194</v>
      </c>
      <c r="O24" s="6" t="n">
        <v>6336663.817364942</v>
      </c>
      <c r="P24" s="6" t="n">
        <v>911197968.5250145</v>
      </c>
      <c r="Q24" s="6" t="n">
        <v>765669411.0404373</v>
      </c>
      <c r="R24" s="6" t="n">
        <v>52720654.83177525</v>
      </c>
      <c r="S24" s="6" t="n">
        <v>44159056.57148897</v>
      </c>
      <c r="T24" s="6" t="n">
        <v>7949661.521153722</v>
      </c>
      <c r="U24" s="6" t="n">
        <v>5496669.284409959</v>
      </c>
      <c r="V24" s="6" t="n">
        <v>932372093.8026425</v>
      </c>
      <c r="W24" s="6" t="n">
        <v>780408150.0409116</v>
      </c>
      <c r="X24" s="6" t="n">
        <v>60335328.4749535</v>
      </c>
      <c r="Y24" s="6" t="n">
        <v>49773090.58228435</v>
      </c>
      <c r="Z24" s="6" t="n">
        <v>334987.8779754667</v>
      </c>
      <c r="AA24" s="6" t="n">
        <v>-117364.7263854239</v>
      </c>
      <c r="AB24" s="6" t="n">
        <v>1065896232.93883</v>
      </c>
      <c r="AC24" s="6" t="n">
        <v>879225438.5406258</v>
      </c>
      <c r="AD24" s="6" t="n">
        <v>59743104.89676166</v>
      </c>
      <c r="AE24" s="6" t="n">
        <v>49029430.97362401</v>
      </c>
      <c r="AF24" s="6" t="n">
        <v>927211.4561673054</v>
      </c>
      <c r="AG24" s="6" t="n">
        <v>626294.8822749192</v>
      </c>
      <c r="AH24" s="6" t="n">
        <v>1051814800.879196</v>
      </c>
      <c r="AI24" s="6" t="n">
        <v>863137855.3766987</v>
      </c>
      <c r="AJ24" s="6" t="n">
        <v>59940326.71670587</v>
      </c>
      <c r="AK24" s="6" t="n">
        <v>49152809.96804328</v>
      </c>
      <c r="AL24" s="6" t="n">
        <v>729989.6362230997</v>
      </c>
      <c r="AM24" s="6" t="n">
        <v>502915.8878556534</v>
      </c>
      <c r="AN24" s="6" t="n">
        <v>1055117569.597816</v>
      </c>
      <c r="AO24" s="6" t="n">
        <v>865187735.9689032</v>
      </c>
      <c r="AP24" s="6" t="n">
        <v>51527863.34221067</v>
      </c>
      <c r="AQ24" s="6" t="n">
        <v>43345724.71045559</v>
      </c>
      <c r="AR24" s="6" t="n">
        <v>9142453.010718305</v>
      </c>
      <c r="AS24" s="6" t="n">
        <v>6310001.145443339</v>
      </c>
      <c r="AT24" s="6" t="n">
        <v>911649666.4689854</v>
      </c>
      <c r="AU24" s="6" t="n">
        <v>766223848.5522596</v>
      </c>
      <c r="AV24" s="6" t="n">
        <v>51508142.87072878</v>
      </c>
      <c r="AW24" s="6" t="n">
        <v>43319062.03853399</v>
      </c>
      <c r="AX24" s="6" t="n">
        <v>9162173.482200194</v>
      </c>
      <c r="AY24" s="6" t="n">
        <v>6336663.817364942</v>
      </c>
      <c r="AZ24" s="6" t="n">
        <v>911197968.5250145</v>
      </c>
      <c r="BA24" s="6" t="n">
        <v>765669411.0404373</v>
      </c>
      <c r="BB24" s="6" t="n">
        <v>65978.39739690721</v>
      </c>
      <c r="BC24" s="11" t="n">
        <v>0.001282574286529313</v>
      </c>
      <c r="BD24" s="6" t="n">
        <v>96107.28531238437</v>
      </c>
      <c r="BE24" s="11" t="n">
        <v>0.00222352418665272</v>
      </c>
      <c r="BF24" s="6" t="n">
        <v>1278490.358443379</v>
      </c>
      <c r="BG24" s="7" t="n">
        <v>0.02485296587988947</v>
      </c>
      <c r="BH24" s="6" t="n">
        <v>936101.8182673678</v>
      </c>
      <c r="BI24" s="7" t="n">
        <v>0.02165751563288477</v>
      </c>
      <c r="BJ24" s="6" t="n">
        <v>8893164.001621634</v>
      </c>
      <c r="BK24" s="7" t="n">
        <v>0.1728769403984146</v>
      </c>
      <c r="BL24" s="6" t="n">
        <v>6550135.829062745</v>
      </c>
      <c r="BM24" s="7" t="n">
        <v>0.1515429906738279</v>
      </c>
      <c r="BN24" s="6" t="n">
        <v>8300940.423429795</v>
      </c>
      <c r="BO24" s="7" t="n">
        <v>0.1613645247709801</v>
      </c>
      <c r="BP24" s="6" t="n">
        <v>5806476.220402405</v>
      </c>
      <c r="BQ24" s="7" t="n">
        <v>0.1343377900366615</v>
      </c>
      <c r="BR24" s="6" t="n">
        <v>8498162.243374005</v>
      </c>
      <c r="BS24" s="7" t="n">
        <v>0.1651983801688503</v>
      </c>
      <c r="BT24" s="6" t="n">
        <v>5929855.214821674</v>
      </c>
      <c r="BU24" s="7" t="n">
        <v>0.1371922685220796</v>
      </c>
      <c r="BV24" s="6" t="n">
        <v>85698.8688787967</v>
      </c>
      <c r="BW24" s="11" t="n">
        <v>0.001665926575139035</v>
      </c>
      <c r="BX24" s="6" t="n">
        <v>122769.9572339877</v>
      </c>
      <c r="BY24" s="11" t="n">
        <v>0.002840387889604821</v>
      </c>
      <c r="BZ24" s="6" t="n">
        <v>65978.39739690721</v>
      </c>
      <c r="CA24" s="11" t="n">
        <v>0.001282574286529313</v>
      </c>
      <c r="CB24" s="6" t="n">
        <v>96107.28531238437</v>
      </c>
      <c r="CC24" s="11" t="n">
        <v>0.00222352418665272</v>
      </c>
    </row>
    <row r="25">
      <c r="A25" t="inlineStr">
        <is>
          <t>Diversos</t>
        </is>
      </c>
      <c r="B25" s="8" t="n">
        <v>2024</v>
      </c>
      <c r="C25" s="9" t="n">
        <v>72899218.14132562</v>
      </c>
      <c r="D25" s="9" t="n">
        <v>58785453.13636106</v>
      </c>
      <c r="E25" s="9" t="n">
        <v>70231991.71227978</v>
      </c>
      <c r="F25" s="9" t="n">
        <v>56982687.14973451</v>
      </c>
      <c r="G25" s="9" t="n">
        <v>2667226.429045849</v>
      </c>
      <c r="H25" s="9" t="n">
        <v>1802765.986626551</v>
      </c>
      <c r="I25" s="9" t="n">
        <v>1368081015.735025</v>
      </c>
      <c r="J25" s="9" t="n">
        <v>1316789682.497399</v>
      </c>
      <c r="K25" s="9" t="n">
        <v>1070281607.581065</v>
      </c>
      <c r="L25" s="9" t="n">
        <v>69505608.93390916</v>
      </c>
      <c r="M25" s="9" t="n">
        <v>56411376.57424451</v>
      </c>
      <c r="N25" s="9" t="n">
        <v>3393609.207416467</v>
      </c>
      <c r="O25" s="9" t="n">
        <v>2374076.562116552</v>
      </c>
      <c r="P25" s="9" t="n">
        <v>1302014835.426318</v>
      </c>
      <c r="Q25" s="9" t="n">
        <v>1058691573.173296</v>
      </c>
      <c r="R25" s="9" t="n">
        <v>70176084.29490629</v>
      </c>
      <c r="S25" s="9" t="n">
        <v>56902662.85753001</v>
      </c>
      <c r="T25" s="9" t="n">
        <v>2723133.846419334</v>
      </c>
      <c r="U25" s="9" t="n">
        <v>1882790.278831054</v>
      </c>
      <c r="V25" s="9" t="n">
        <v>1313602238.549962</v>
      </c>
      <c r="W25" s="9" t="n">
        <v>1066830894.701623</v>
      </c>
      <c r="X25" s="9" t="n">
        <v>69539588.80085456</v>
      </c>
      <c r="Y25" s="9" t="n">
        <v>56192230.59807542</v>
      </c>
      <c r="Z25" s="9" t="n">
        <v>3359629.340471065</v>
      </c>
      <c r="AA25" s="9" t="n">
        <v>2593222.538285639</v>
      </c>
      <c r="AB25" s="9" t="n">
        <v>1283257651.121879</v>
      </c>
      <c r="AC25" s="9" t="n">
        <v>1037337735.384204</v>
      </c>
      <c r="AD25" s="9" t="n">
        <v>72678435.53920385</v>
      </c>
      <c r="AE25" s="9" t="n">
        <v>58646476.62890532</v>
      </c>
      <c r="AF25" s="9" t="n">
        <v>220782.6021217671</v>
      </c>
      <c r="AG25" s="9" t="n">
        <v>138976.5074557411</v>
      </c>
      <c r="AH25" s="9" t="n">
        <v>1364240222.081005</v>
      </c>
      <c r="AI25" s="9" t="n">
        <v>1101064918.249068</v>
      </c>
      <c r="AJ25" s="9" t="n">
        <v>72838074.04830226</v>
      </c>
      <c r="AK25" s="9" t="n">
        <v>58763838.22809778</v>
      </c>
      <c r="AL25" s="9" t="n">
        <v>61144.09302336909</v>
      </c>
      <c r="AM25" s="9" t="n">
        <v>21614.90826327726</v>
      </c>
      <c r="AN25" s="9" t="n">
        <v>1367158194.041945</v>
      </c>
      <c r="AO25" s="9" t="n">
        <v>1103141566.396996</v>
      </c>
      <c r="AP25" s="9" t="n">
        <v>69873566.01393008</v>
      </c>
      <c r="AQ25" s="9" t="n">
        <v>56707407.41486804</v>
      </c>
      <c r="AR25" s="9" t="n">
        <v>3025652.12739554</v>
      </c>
      <c r="AS25" s="9" t="n">
        <v>2078045.721493021</v>
      </c>
      <c r="AT25" s="9" t="n">
        <v>1308514802.505828</v>
      </c>
      <c r="AU25" s="9" t="n">
        <v>1063913546.233677</v>
      </c>
      <c r="AV25" s="9" t="n">
        <v>69505608.93390916</v>
      </c>
      <c r="AW25" s="9" t="n">
        <v>56411376.57424451</v>
      </c>
      <c r="AX25" s="9" t="n">
        <v>3393609.207416467</v>
      </c>
      <c r="AY25" s="9" t="n">
        <v>2374076.562116552</v>
      </c>
      <c r="AZ25" s="9" t="n">
        <v>1302014835.426318</v>
      </c>
      <c r="BA25" s="9" t="n">
        <v>1058691573.173296</v>
      </c>
      <c r="BB25" s="9" t="n">
        <v>-726382.7783706188</v>
      </c>
      <c r="BC25" s="10" t="n">
        <v>-0.01034261966179743</v>
      </c>
      <c r="BD25" s="9" t="n">
        <v>-571310.5754900053</v>
      </c>
      <c r="BE25" s="10" t="n">
        <v>-0.01002603780317979</v>
      </c>
      <c r="BF25" s="9" t="n">
        <v>-55907.41737349331</v>
      </c>
      <c r="BG25" s="10" t="n">
        <v>-0.000796039184002212</v>
      </c>
      <c r="BH25" s="9" t="n">
        <v>-80024.2922045067</v>
      </c>
      <c r="BI25" s="10" t="n">
        <v>-0.001404361503595387</v>
      </c>
      <c r="BJ25" s="9" t="n">
        <v>-692402.911425218</v>
      </c>
      <c r="BK25" s="10" t="n">
        <v>-0.009858796462184826</v>
      </c>
      <c r="BL25" s="9" t="n">
        <v>-790456.5516590923</v>
      </c>
      <c r="BM25" s="10" t="n">
        <v>-0.01387187216324134</v>
      </c>
      <c r="BN25" s="9" t="n">
        <v>2446443.826924071</v>
      </c>
      <c r="BO25" s="12" t="n">
        <v>0.03483375264290447</v>
      </c>
      <c r="BP25" s="9" t="n">
        <v>1663789.479170807</v>
      </c>
      <c r="BQ25" s="12" t="n">
        <v>0.0291981575877395</v>
      </c>
      <c r="BR25" s="9" t="n">
        <v>2606082.336022481</v>
      </c>
      <c r="BS25" s="12" t="n">
        <v>0.0371067696143212</v>
      </c>
      <c r="BT25" s="9" t="n">
        <v>1781151.07836327</v>
      </c>
      <c r="BU25" s="12" t="n">
        <v>0.0312577585834607</v>
      </c>
      <c r="BV25" s="9" t="n">
        <v>-358425.6983496994</v>
      </c>
      <c r="BW25" s="10" t="n">
        <v>-0.005103453420744013</v>
      </c>
      <c r="BX25" s="9" t="n">
        <v>-275279.7348664701</v>
      </c>
      <c r="BY25" s="10" t="n">
        <v>-0.004830936353406996</v>
      </c>
      <c r="BZ25" s="9" t="n">
        <v>-726382.7783706188</v>
      </c>
      <c r="CA25" s="10" t="n">
        <v>-0.01034261966179743</v>
      </c>
      <c r="CB25" s="9" t="n">
        <v>-571310.5754900053</v>
      </c>
      <c r="CC25" s="10" t="n">
        <v>-0.01002603780317979</v>
      </c>
    </row>
    <row r="26">
      <c r="A26" s="4" t="inlineStr">
        <is>
          <t>Diversos</t>
        </is>
      </c>
      <c r="B26" s="5" t="n">
        <v>2025</v>
      </c>
      <c r="C26" s="6" t="n">
        <v>71036958.68111789</v>
      </c>
      <c r="D26" s="6" t="n">
        <v>56730952.72823678</v>
      </c>
      <c r="E26" s="6" t="n">
        <v>74545742.71173778</v>
      </c>
      <c r="F26" s="6" t="n">
        <v>59156143.98237297</v>
      </c>
      <c r="G26" s="6" t="n">
        <v>-3508784.030619904</v>
      </c>
      <c r="H26" s="6" t="n">
        <v>-2425191.254136186</v>
      </c>
      <c r="I26" s="6" t="n">
        <v>1369290147.907687</v>
      </c>
      <c r="J26" s="6" t="n">
        <v>1436889375.206558</v>
      </c>
      <c r="K26" s="6" t="n">
        <v>1139020081.226982</v>
      </c>
      <c r="L26" s="6" t="n">
        <v>78479928.19906764</v>
      </c>
      <c r="M26" s="6" t="n">
        <v>62327767.87202732</v>
      </c>
      <c r="N26" s="6" t="n">
        <v>-7442969.517949749</v>
      </c>
      <c r="O26" s="6" t="n">
        <v>-5596815.143790543</v>
      </c>
      <c r="P26" s="6" t="n">
        <v>1511442949.07206</v>
      </c>
      <c r="Q26" s="6" t="n">
        <v>1199098405.804428</v>
      </c>
      <c r="R26" s="6" t="n">
        <v>77942551.26636901</v>
      </c>
      <c r="S26" s="6" t="n">
        <v>61952562.29080578</v>
      </c>
      <c r="T26" s="6" t="n">
        <v>-6905592.585251126</v>
      </c>
      <c r="U26" s="6" t="n">
        <v>-5221609.562568996</v>
      </c>
      <c r="V26" s="6" t="n">
        <v>1501403498.066793</v>
      </c>
      <c r="W26" s="6" t="n">
        <v>1192304956.888423</v>
      </c>
      <c r="X26" s="6" t="n">
        <v>74611521.62864695</v>
      </c>
      <c r="Y26" s="6" t="n">
        <v>59481991.92768709</v>
      </c>
      <c r="Z26" s="6" t="n">
        <v>-3574562.947529073</v>
      </c>
      <c r="AA26" s="6" t="n">
        <v>-2751039.1994503</v>
      </c>
      <c r="AB26" s="6" t="n">
        <v>1446919390.915664</v>
      </c>
      <c r="AC26" s="6" t="n">
        <v>1153320892.097894</v>
      </c>
      <c r="AD26" s="6" t="n">
        <v>71384830.08718042</v>
      </c>
      <c r="AE26" s="6" t="n">
        <v>56966148.07474671</v>
      </c>
      <c r="AF26" s="6" t="n">
        <v>-347871.4060625392</v>
      </c>
      <c r="AG26" s="6" t="n">
        <v>-235195.3465099228</v>
      </c>
      <c r="AH26" s="6" t="n">
        <v>1376190554.233401</v>
      </c>
      <c r="AI26" s="6" t="n">
        <v>1098077418.37877</v>
      </c>
      <c r="AJ26" s="6" t="n">
        <v>71328370.38367103</v>
      </c>
      <c r="AK26" s="6" t="n">
        <v>56934339.81577098</v>
      </c>
      <c r="AL26" s="6" t="n">
        <v>-291411.7025531465</v>
      </c>
      <c r="AM26" s="6" t="n">
        <v>-203387.0875342058</v>
      </c>
      <c r="AN26" s="6" t="n">
        <v>1374995780.963543</v>
      </c>
      <c r="AO26" s="6" t="n">
        <v>1097418919.742201</v>
      </c>
      <c r="AP26" s="6" t="n">
        <v>77799855.60989532</v>
      </c>
      <c r="AQ26" s="6" t="n">
        <v>61778173.04327746</v>
      </c>
      <c r="AR26" s="6" t="n">
        <v>-6762896.928777441</v>
      </c>
      <c r="AS26" s="6" t="n">
        <v>-5047220.315040678</v>
      </c>
      <c r="AT26" s="6" t="n">
        <v>1498996741.323715</v>
      </c>
      <c r="AU26" s="6" t="n">
        <v>1189041849.103879</v>
      </c>
      <c r="AV26" s="6" t="n">
        <v>78479928.19906764</v>
      </c>
      <c r="AW26" s="6" t="n">
        <v>62327767.87202732</v>
      </c>
      <c r="AX26" s="6" t="n">
        <v>-7442969.517949749</v>
      </c>
      <c r="AY26" s="6" t="n">
        <v>-5596815.143790543</v>
      </c>
      <c r="AZ26" s="6" t="n">
        <v>1511442949.07206</v>
      </c>
      <c r="BA26" s="6" t="n">
        <v>1199098405.804428</v>
      </c>
      <c r="BB26" s="6" t="n">
        <v>3934185.487329856</v>
      </c>
      <c r="BC26" s="7" t="n">
        <v>0.05277545496518862</v>
      </c>
      <c r="BD26" s="6" t="n">
        <v>3171623.889654353</v>
      </c>
      <c r="BE26" s="7" t="n">
        <v>0.05361444604299118</v>
      </c>
      <c r="BF26" s="6" t="n">
        <v>3396808.554631233</v>
      </c>
      <c r="BG26" s="7" t="n">
        <v>0.04556676788058053</v>
      </c>
      <c r="BH26" s="6" t="n">
        <v>2796418.30843281</v>
      </c>
      <c r="BI26" s="7" t="n">
        <v>0.04727181523640337</v>
      </c>
      <c r="BJ26" s="6" t="n">
        <v>65778.91690917313</v>
      </c>
      <c r="BK26" s="11" t="n">
        <v>0.0008823966938465522</v>
      </c>
      <c r="BL26" s="6" t="n">
        <v>325847.9453141168</v>
      </c>
      <c r="BM26" s="11" t="n">
        <v>0.00550826885219583</v>
      </c>
      <c r="BN26" s="6" t="n">
        <v>-3160912.624557361</v>
      </c>
      <c r="BO26" s="7" t="n">
        <v>-0.04240232251465182</v>
      </c>
      <c r="BP26" s="6" t="n">
        <v>-2189995.907626264</v>
      </c>
      <c r="BQ26" s="7" t="n">
        <v>-0.03702059938657981</v>
      </c>
      <c r="BR26" s="6" t="n">
        <v>-3217372.328066751</v>
      </c>
      <c r="BS26" s="7" t="n">
        <v>-0.04315970585346589</v>
      </c>
      <c r="BT26" s="6" t="n">
        <v>-2221804.166601986</v>
      </c>
      <c r="BU26" s="7" t="n">
        <v>-0.03755829939260454</v>
      </c>
      <c r="BV26" s="6" t="n">
        <v>3254112.898157537</v>
      </c>
      <c r="BW26" s="7" t="n">
        <v>0.04365256525434218</v>
      </c>
      <c r="BX26" s="6" t="n">
        <v>2622029.060904488</v>
      </c>
      <c r="BY26" s="7" t="n">
        <v>0.04432386704728061</v>
      </c>
      <c r="BZ26" s="6" t="n">
        <v>3934185.487329856</v>
      </c>
      <c r="CA26" s="7" t="n">
        <v>0.05277545496518862</v>
      </c>
      <c r="CB26" s="6" t="n">
        <v>3171623.889654353</v>
      </c>
      <c r="CC26" s="7" t="n">
        <v>0.05361444604299118</v>
      </c>
    </row>
    <row r="27">
      <c r="A27" t="inlineStr">
        <is>
          <t>Diversos</t>
        </is>
      </c>
      <c r="B27" s="8" t="n">
        <v>2026</v>
      </c>
      <c r="C27" s="9" t="n">
        <v>26901643.91631166</v>
      </c>
      <c r="D27" s="9" t="n">
        <v>21483970.0018548</v>
      </c>
      <c r="E27" s="9" t="n">
        <v>30001431.98609955</v>
      </c>
      <c r="F27" s="9" t="n">
        <v>25713019.81529824</v>
      </c>
      <c r="G27" s="9" t="n">
        <v>-3099788.069787886</v>
      </c>
      <c r="H27" s="9" t="n">
        <v>-4229049.813443445</v>
      </c>
      <c r="I27" s="9" t="n">
        <v>469404067.473954</v>
      </c>
      <c r="J27" s="9" t="n">
        <v>525625322.574508</v>
      </c>
      <c r="K27" s="9" t="n">
        <v>450347602.9240233</v>
      </c>
      <c r="L27" s="9" t="n">
        <v>29836117.21536419</v>
      </c>
      <c r="M27" s="9" t="n">
        <v>25438935.57775372</v>
      </c>
      <c r="N27" s="9" t="n">
        <v>-2934473.299052529</v>
      </c>
      <c r="O27" s="9" t="n">
        <v>-3954965.575898916</v>
      </c>
      <c r="P27" s="9" t="n">
        <v>521528732.5284177</v>
      </c>
      <c r="Q27" s="9" t="n">
        <v>444595496.7052925</v>
      </c>
      <c r="R27" s="9" t="n">
        <v>29123576.18485224</v>
      </c>
      <c r="S27" s="9" t="n">
        <v>24632605.56603473</v>
      </c>
      <c r="T27" s="9" t="n">
        <v>-2221932.26854058</v>
      </c>
      <c r="U27" s="9" t="n">
        <v>-3148635.564179935</v>
      </c>
      <c r="V27" s="9" t="n">
        <v>508939990.9226524</v>
      </c>
      <c r="W27" s="9" t="n">
        <v>430405092.4890131</v>
      </c>
      <c r="X27" s="9" t="n">
        <v>30973777.57451286</v>
      </c>
      <c r="Y27" s="9" t="n">
        <v>25054615.78774689</v>
      </c>
      <c r="Z27" s="9" t="n">
        <v>-4072133.6582012</v>
      </c>
      <c r="AA27" s="9" t="n">
        <v>-3570645.785892091</v>
      </c>
      <c r="AB27" s="9" t="n">
        <v>540682326.7734681</v>
      </c>
      <c r="AC27" s="9" t="n">
        <v>437351702.2587342</v>
      </c>
      <c r="AD27" s="9" t="n">
        <v>27502912.23666795</v>
      </c>
      <c r="AE27" s="9" t="n">
        <v>22149641.94367322</v>
      </c>
      <c r="AF27" s="9" t="n">
        <v>-601268.3203562847</v>
      </c>
      <c r="AG27" s="9" t="n">
        <v>-665671.9418184226</v>
      </c>
      <c r="AH27" s="9" t="n">
        <v>480001397.79296</v>
      </c>
      <c r="AI27" s="9" t="n">
        <v>386569525.3624525</v>
      </c>
      <c r="AJ27" s="9" t="n">
        <v>27410675.38667811</v>
      </c>
      <c r="AK27" s="9" t="n">
        <v>22013342.42567411</v>
      </c>
      <c r="AL27" s="9" t="n">
        <v>-509031.4703664454</v>
      </c>
      <c r="AM27" s="9" t="n">
        <v>-529372.4238193068</v>
      </c>
      <c r="AN27" s="9" t="n">
        <v>478373950.9671736</v>
      </c>
      <c r="AO27" s="9" t="n">
        <v>384177869.5428979</v>
      </c>
      <c r="AP27" s="9" t="n">
        <v>29705172.0628411</v>
      </c>
      <c r="AQ27" s="9" t="n">
        <v>25373825.18883004</v>
      </c>
      <c r="AR27" s="9" t="n">
        <v>-2803528.146529432</v>
      </c>
      <c r="AS27" s="9" t="n">
        <v>-3889855.186975237</v>
      </c>
      <c r="AT27" s="9" t="n">
        <v>519234295.5715165</v>
      </c>
      <c r="AU27" s="9" t="n">
        <v>443450559.6807845</v>
      </c>
      <c r="AV27" s="9" t="n">
        <v>29836117.21536419</v>
      </c>
      <c r="AW27" s="9" t="n">
        <v>25438935.57775372</v>
      </c>
      <c r="AX27" s="9" t="n">
        <v>-2934473.299052529</v>
      </c>
      <c r="AY27" s="9" t="n">
        <v>-3954965.575898916</v>
      </c>
      <c r="AZ27" s="9" t="n">
        <v>521528732.5284177</v>
      </c>
      <c r="BA27" s="9" t="n">
        <v>444595496.7052925</v>
      </c>
      <c r="BB27" s="9" t="n">
        <v>-165314.770735357</v>
      </c>
      <c r="BC27" s="10" t="n">
        <v>-0.005510229338784616</v>
      </c>
      <c r="BD27" s="9" t="n">
        <v>-274084.2375445291</v>
      </c>
      <c r="BE27" s="10" t="n">
        <v>-0.01065935621382984</v>
      </c>
      <c r="BF27" s="9" t="n">
        <v>-877855.8012473062</v>
      </c>
      <c r="BG27" s="12" t="n">
        <v>-0.02926046335568382</v>
      </c>
      <c r="BH27" s="9" t="n">
        <v>-1080414.24926351</v>
      </c>
      <c r="BI27" s="12" t="n">
        <v>-0.04201817822349695</v>
      </c>
      <c r="BJ27" s="9" t="n">
        <v>972345.588413313</v>
      </c>
      <c r="BK27" s="12" t="n">
        <v>0.03240997259276911</v>
      </c>
      <c r="BL27" s="9" t="n">
        <v>-658404.027551353</v>
      </c>
      <c r="BM27" s="12" t="n">
        <v>-0.02560586163277595</v>
      </c>
      <c r="BN27" s="9" t="n">
        <v>-2498519.749431603</v>
      </c>
      <c r="BO27" s="12" t="n">
        <v>-0.08328001645352237</v>
      </c>
      <c r="BP27" s="9" t="n">
        <v>-3563377.871625021</v>
      </c>
      <c r="BQ27" s="12" t="n">
        <v>-0.1385826284591027</v>
      </c>
      <c r="BR27" s="9" t="n">
        <v>-2590756.599421442</v>
      </c>
      <c r="BS27" s="12" t="n">
        <v>-0.08635443136920289</v>
      </c>
      <c r="BT27" s="9" t="n">
        <v>-3699677.389624137</v>
      </c>
      <c r="BU27" s="12" t="n">
        <v>-0.1438834262252998</v>
      </c>
      <c r="BV27" s="9" t="n">
        <v>-296259.9232584536</v>
      </c>
      <c r="BW27" s="10" t="n">
        <v>-0.009874859419900977</v>
      </c>
      <c r="BX27" s="9" t="n">
        <v>-339194.6264682077</v>
      </c>
      <c r="BY27" s="10" t="n">
        <v>-0.01319155155266516</v>
      </c>
      <c r="BZ27" s="9" t="n">
        <v>-165314.770735357</v>
      </c>
      <c r="CA27" s="10" t="n">
        <v>-0.005510229338784616</v>
      </c>
      <c r="CB27" s="9" t="n">
        <v>-274084.2375445291</v>
      </c>
      <c r="CC27" s="10" t="n">
        <v>-0.01065935621382984</v>
      </c>
    </row>
    <row r="28">
      <c r="A28" s="4" t="inlineStr">
        <is>
          <t>Incendio</t>
        </is>
      </c>
      <c r="B28" s="5" t="n">
        <v>2023</v>
      </c>
      <c r="C28" s="6" t="n">
        <v>213858824.6366454</v>
      </c>
      <c r="D28" s="6" t="n">
        <v>162556049.5285649</v>
      </c>
      <c r="E28" s="6" t="n">
        <v>191374031.8825022</v>
      </c>
      <c r="F28" s="6" t="n">
        <v>147281878.3832037</v>
      </c>
      <c r="G28" s="6" t="n">
        <v>22484792.75414324</v>
      </c>
      <c r="H28" s="6" t="n">
        <v>15274171.14536121</v>
      </c>
      <c r="I28" s="6" t="n">
        <v>3752036879.836107</v>
      </c>
      <c r="J28" s="6" t="n">
        <v>3362022447.476785</v>
      </c>
      <c r="K28" s="6" t="n">
        <v>2587696209.691514</v>
      </c>
      <c r="L28" s="6" t="n">
        <v>193637405.6688394</v>
      </c>
      <c r="M28" s="6" t="n">
        <v>149032430.4111421</v>
      </c>
      <c r="N28" s="6" t="n">
        <v>20221418.96780597</v>
      </c>
      <c r="O28" s="6" t="n">
        <v>13523619.1174228</v>
      </c>
      <c r="P28" s="6" t="n">
        <v>3406739012.488487</v>
      </c>
      <c r="Q28" s="6" t="n">
        <v>2622271866.583897</v>
      </c>
      <c r="R28" s="6" t="n">
        <v>195494648.9501019</v>
      </c>
      <c r="S28" s="6" t="n">
        <v>150216921.5494071</v>
      </c>
      <c r="T28" s="6" t="n">
        <v>18364175.68654347</v>
      </c>
      <c r="U28" s="6" t="n">
        <v>12339127.97915784</v>
      </c>
      <c r="V28" s="6" t="n">
        <v>3438876488.469175</v>
      </c>
      <c r="W28" s="6" t="n">
        <v>2642667456.836066</v>
      </c>
      <c r="X28" s="6" t="n">
        <v>203292950.6136269</v>
      </c>
      <c r="Y28" s="6" t="n">
        <v>155246253.8207984</v>
      </c>
      <c r="Z28" s="6" t="n">
        <v>10565874.02301852</v>
      </c>
      <c r="AA28" s="6" t="n">
        <v>7309795.707766524</v>
      </c>
      <c r="AB28" s="6" t="n">
        <v>3580291327.778216</v>
      </c>
      <c r="AC28" s="6" t="n">
        <v>2734122799.7008</v>
      </c>
      <c r="AD28" s="6" t="n">
        <v>208123819.0511941</v>
      </c>
      <c r="AE28" s="6" t="n">
        <v>158528574.1792962</v>
      </c>
      <c r="AF28" s="6" t="n">
        <v>5735005.585451286</v>
      </c>
      <c r="AG28" s="6" t="n">
        <v>4027475.349268707</v>
      </c>
      <c r="AH28" s="6" t="n">
        <v>3654558822.10918</v>
      </c>
      <c r="AI28" s="6" t="n">
        <v>2783764751.992459</v>
      </c>
      <c r="AJ28" s="6" t="n">
        <v>208291933.2750733</v>
      </c>
      <c r="AK28" s="6" t="n">
        <v>158621863.7309175</v>
      </c>
      <c r="AL28" s="6" t="n">
        <v>5566891.361572133</v>
      </c>
      <c r="AM28" s="6" t="n">
        <v>3934185.797647405</v>
      </c>
      <c r="AN28" s="6" t="n">
        <v>3657454795.957581</v>
      </c>
      <c r="AO28" s="6" t="n">
        <v>2785353491.971141</v>
      </c>
      <c r="AP28" s="6" t="n">
        <v>192927976.8851263</v>
      </c>
      <c r="AQ28" s="6" t="n">
        <v>148505182.4516001</v>
      </c>
      <c r="AR28" s="6" t="n">
        <v>20930847.75151906</v>
      </c>
      <c r="AS28" s="6" t="n">
        <v>14050867.07696481</v>
      </c>
      <c r="AT28" s="6" t="n">
        <v>3394451613.007477</v>
      </c>
      <c r="AU28" s="6" t="n">
        <v>2613149830.151298</v>
      </c>
      <c r="AV28" s="6" t="n">
        <v>193637405.6688394</v>
      </c>
      <c r="AW28" s="6" t="n">
        <v>149032430.4111421</v>
      </c>
      <c r="AX28" s="6" t="n">
        <v>20221418.96780597</v>
      </c>
      <c r="AY28" s="6" t="n">
        <v>13523619.1174228</v>
      </c>
      <c r="AZ28" s="6" t="n">
        <v>3406739012.488487</v>
      </c>
      <c r="BA28" s="6" t="n">
        <v>2622271866.583897</v>
      </c>
      <c r="BB28" s="6" t="n">
        <v>2263373.786337256</v>
      </c>
      <c r="BC28" s="11" t="n">
        <v>0.01182696400380434</v>
      </c>
      <c r="BD28" s="6" t="n">
        <v>1750552.027938426</v>
      </c>
      <c r="BE28" s="11" t="n">
        <v>0.01188572584187018</v>
      </c>
      <c r="BF28" s="6" t="n">
        <v>4120617.067599744</v>
      </c>
      <c r="BG28" s="7" t="n">
        <v>0.0215317461155319</v>
      </c>
      <c r="BH28" s="6" t="n">
        <v>2935043.16620338</v>
      </c>
      <c r="BI28" s="11" t="n">
        <v>0.0199280671758332</v>
      </c>
      <c r="BJ28" s="6" t="n">
        <v>11918918.7311247</v>
      </c>
      <c r="BK28" s="7" t="n">
        <v>0.06228075258634125</v>
      </c>
      <c r="BL28" s="6" t="n">
        <v>7964375.437594682</v>
      </c>
      <c r="BM28" s="7" t="n">
        <v>0.05407573236452526</v>
      </c>
      <c r="BN28" s="6" t="n">
        <v>16749787.16869193</v>
      </c>
      <c r="BO28" s="7" t="n">
        <v>0.08752382443912658</v>
      </c>
      <c r="BP28" s="6" t="n">
        <v>11246695.79609251</v>
      </c>
      <c r="BQ28" s="7" t="n">
        <v>0.07636170803600441</v>
      </c>
      <c r="BR28" s="6" t="n">
        <v>16917901.39257109</v>
      </c>
      <c r="BS28" s="7" t="n">
        <v>0.0884022833513701</v>
      </c>
      <c r="BT28" s="6" t="n">
        <v>11339985.3477138</v>
      </c>
      <c r="BU28" s="7" t="n">
        <v>0.0769951162505477</v>
      </c>
      <c r="BV28" s="6" t="n">
        <v>1553945.002624154</v>
      </c>
      <c r="BW28" s="11" t="n">
        <v>0.008119936583549795</v>
      </c>
      <c r="BX28" s="6" t="n">
        <v>1223304.068396419</v>
      </c>
      <c r="BY28" s="11" t="n">
        <v>0.008305869546378131</v>
      </c>
      <c r="BZ28" s="6" t="n">
        <v>2263373.786337256</v>
      </c>
      <c r="CA28" s="11" t="n">
        <v>0.01182696400380434</v>
      </c>
      <c r="CB28" s="6" t="n">
        <v>1750552.027938426</v>
      </c>
      <c r="CC28" s="11" t="n">
        <v>0.01188572584187018</v>
      </c>
    </row>
    <row r="29">
      <c r="A29" t="inlineStr">
        <is>
          <t>Incendio</t>
        </is>
      </c>
      <c r="B29" s="8" t="n">
        <v>2024</v>
      </c>
      <c r="C29" s="9" t="n">
        <v>251168853.9961484</v>
      </c>
      <c r="D29" s="9" t="n">
        <v>183978745.9018762</v>
      </c>
      <c r="E29" s="9" t="n">
        <v>223585039.1658778</v>
      </c>
      <c r="F29" s="9" t="n">
        <v>167292609.8430574</v>
      </c>
      <c r="G29" s="9" t="n">
        <v>27583814.83027065</v>
      </c>
      <c r="H29" s="9" t="n">
        <v>16686136.05881888</v>
      </c>
      <c r="I29" s="9" t="n">
        <v>4727044197.765049</v>
      </c>
      <c r="J29" s="9" t="n">
        <v>4183542708.871274</v>
      </c>
      <c r="K29" s="9" t="n">
        <v>3134943729.808055</v>
      </c>
      <c r="L29" s="9" t="n">
        <v>221887432.6243094</v>
      </c>
      <c r="M29" s="9" t="n">
        <v>166076704.1982225</v>
      </c>
      <c r="N29" s="9" t="n">
        <v>29281421.37183903</v>
      </c>
      <c r="O29" s="9" t="n">
        <v>17902041.7036538</v>
      </c>
      <c r="P29" s="9" t="n">
        <v>4148010329.163405</v>
      </c>
      <c r="Q29" s="9" t="n">
        <v>3109471545.893004</v>
      </c>
      <c r="R29" s="9" t="n">
        <v>225950738.1093828</v>
      </c>
      <c r="S29" s="9" t="n">
        <v>168620320.3351182</v>
      </c>
      <c r="T29" s="9" t="n">
        <v>25218115.88676557</v>
      </c>
      <c r="U29" s="9" t="n">
        <v>15358425.566758</v>
      </c>
      <c r="V29" s="9" t="n">
        <v>4224629331.810591</v>
      </c>
      <c r="W29" s="9" t="n">
        <v>3156872771.665096</v>
      </c>
      <c r="X29" s="9" t="n">
        <v>255506701.7136207</v>
      </c>
      <c r="Y29" s="9" t="n">
        <v>188237912.9761851</v>
      </c>
      <c r="Z29" s="9" t="n">
        <v>-4337847.717472296</v>
      </c>
      <c r="AA29" s="9" t="n">
        <v>-4259167.074308872</v>
      </c>
      <c r="AB29" s="9" t="n">
        <v>4761701599.552747</v>
      </c>
      <c r="AC29" s="9" t="n">
        <v>3508785011.217974</v>
      </c>
      <c r="AD29" s="9" t="n">
        <v>252550179.3566111</v>
      </c>
      <c r="AE29" s="9" t="n">
        <v>185521877.0782536</v>
      </c>
      <c r="AF29" s="9" t="n">
        <v>-1381325.360462734</v>
      </c>
      <c r="AG29" s="9" t="n">
        <v>-1543131.176377326</v>
      </c>
      <c r="AH29" s="9" t="n">
        <v>4750655835.098827</v>
      </c>
      <c r="AI29" s="9" t="n">
        <v>3490273216.043524</v>
      </c>
      <c r="AJ29" s="9" t="n">
        <v>253174307.7638964</v>
      </c>
      <c r="AK29" s="9" t="n">
        <v>185915748.3044177</v>
      </c>
      <c r="AL29" s="9" t="n">
        <v>-2005453.767748034</v>
      </c>
      <c r="AM29" s="9" t="n">
        <v>-1937002.402541477</v>
      </c>
      <c r="AN29" s="9" t="n">
        <v>4762321707.418099</v>
      </c>
      <c r="AO29" s="9" t="n">
        <v>3497541571.242496</v>
      </c>
      <c r="AP29" s="9" t="n">
        <v>222950453.3972352</v>
      </c>
      <c r="AQ29" s="9" t="n">
        <v>166862527.239328</v>
      </c>
      <c r="AR29" s="9" t="n">
        <v>28218400.59891319</v>
      </c>
      <c r="AS29" s="9" t="n">
        <v>17116218.6625482</v>
      </c>
      <c r="AT29" s="9" t="n">
        <v>4169718254.708009</v>
      </c>
      <c r="AU29" s="9" t="n">
        <v>3125516697.692815</v>
      </c>
      <c r="AV29" s="9" t="n">
        <v>221887432.6243094</v>
      </c>
      <c r="AW29" s="9" t="n">
        <v>166076704.1982225</v>
      </c>
      <c r="AX29" s="9" t="n">
        <v>29281421.37183903</v>
      </c>
      <c r="AY29" s="9" t="n">
        <v>17902041.7036538</v>
      </c>
      <c r="AZ29" s="9" t="n">
        <v>4148010329.163405</v>
      </c>
      <c r="BA29" s="9" t="n">
        <v>3109471545.893004</v>
      </c>
      <c r="BB29" s="9" t="n">
        <v>-1697606.541568398</v>
      </c>
      <c r="BC29" s="10" t="n">
        <v>-0.007592666074177459</v>
      </c>
      <c r="BD29" s="9" t="n">
        <v>-1215905.644834906</v>
      </c>
      <c r="BE29" s="10" t="n">
        <v>-0.007268137223608302</v>
      </c>
      <c r="BF29" s="9" t="n">
        <v>2365698.943505049</v>
      </c>
      <c r="BG29" s="10" t="n">
        <v>0.01058075688932807</v>
      </c>
      <c r="BH29" s="9" t="n">
        <v>1327710.49206087</v>
      </c>
      <c r="BI29" s="10" t="n">
        <v>0.00793645632826482</v>
      </c>
      <c r="BJ29" s="9" t="n">
        <v>31921662.54774293</v>
      </c>
      <c r="BK29" s="12" t="n">
        <v>0.1427719075785757</v>
      </c>
      <c r="BL29" s="9" t="n">
        <v>20945303.13312775</v>
      </c>
      <c r="BM29" s="12" t="n">
        <v>0.1252016042596097</v>
      </c>
      <c r="BN29" s="9" t="n">
        <v>28965140.19073337</v>
      </c>
      <c r="BO29" s="12" t="n">
        <v>0.1295486509240188</v>
      </c>
      <c r="BP29" s="9" t="n">
        <v>18229267.2351962</v>
      </c>
      <c r="BQ29" s="12" t="n">
        <v>0.1089663629032847</v>
      </c>
      <c r="BR29" s="9" t="n">
        <v>29589268.59801868</v>
      </c>
      <c r="BS29" s="12" t="n">
        <v>0.1323401096442164</v>
      </c>
      <c r="BT29" s="9" t="n">
        <v>18623138.46136037</v>
      </c>
      <c r="BU29" s="12" t="n">
        <v>0.1113207479925822</v>
      </c>
      <c r="BV29" s="9" t="n">
        <v>-634585.7686425447</v>
      </c>
      <c r="BW29" s="10" t="n">
        <v>-0.002838230013108102</v>
      </c>
      <c r="BX29" s="9" t="n">
        <v>-430082.6037293375</v>
      </c>
      <c r="BY29" s="10" t="n">
        <v>-0.002570840422256619</v>
      </c>
      <c r="BZ29" s="9" t="n">
        <v>-1697606.541568398</v>
      </c>
      <c r="CA29" s="10" t="n">
        <v>-0.007592666074177459</v>
      </c>
      <c r="CB29" s="9" t="n">
        <v>-1215905.644834906</v>
      </c>
      <c r="CC29" s="10" t="n">
        <v>-0.007268137223608302</v>
      </c>
    </row>
    <row r="30">
      <c r="A30" s="4" t="inlineStr">
        <is>
          <t>Incendio</t>
        </is>
      </c>
      <c r="B30" s="5" t="n">
        <v>2025</v>
      </c>
      <c r="C30" s="6" t="n">
        <v>315345176.8927844</v>
      </c>
      <c r="D30" s="6" t="n">
        <v>210126616.0470709</v>
      </c>
      <c r="E30" s="6" t="n">
        <v>295866052.5007662</v>
      </c>
      <c r="F30" s="6" t="n">
        <v>203488469.5023115</v>
      </c>
      <c r="G30" s="6" t="n">
        <v>19479124.39201814</v>
      </c>
      <c r="H30" s="6" t="n">
        <v>6638146.544759423</v>
      </c>
      <c r="I30" s="6" t="n">
        <v>6021614341.747049</v>
      </c>
      <c r="J30" s="6" t="n">
        <v>5670125514.454337</v>
      </c>
      <c r="K30" s="6" t="n">
        <v>3902600990.856368</v>
      </c>
      <c r="L30" s="6" t="n">
        <v>298846431.340163</v>
      </c>
      <c r="M30" s="6" t="n">
        <v>205509695.3982702</v>
      </c>
      <c r="N30" s="6" t="n">
        <v>16498745.55262138</v>
      </c>
      <c r="O30" s="6" t="n">
        <v>4616920.648800716</v>
      </c>
      <c r="P30" s="6" t="n">
        <v>5728873914.125693</v>
      </c>
      <c r="Q30" s="6" t="n">
        <v>3942453321.457858</v>
      </c>
      <c r="R30" s="6" t="n">
        <v>301246527.4155621</v>
      </c>
      <c r="S30" s="6" t="n">
        <v>206313208.3990566</v>
      </c>
      <c r="T30" s="6" t="n">
        <v>14098649.47722231</v>
      </c>
      <c r="U30" s="6" t="n">
        <v>3813407.648014382</v>
      </c>
      <c r="V30" s="6" t="n">
        <v>5773627489.088798</v>
      </c>
      <c r="W30" s="6" t="n">
        <v>3956703129.270938</v>
      </c>
      <c r="X30" s="6" t="n">
        <v>301413964.9073778</v>
      </c>
      <c r="Y30" s="6" t="n">
        <v>202615899.553331</v>
      </c>
      <c r="Z30" s="6" t="n">
        <v>13931211.98540659</v>
      </c>
      <c r="AA30" s="6" t="n">
        <v>7510716.493739937</v>
      </c>
      <c r="AB30" s="6" t="n">
        <v>5783955125.139872</v>
      </c>
      <c r="AC30" s="6" t="n">
        <v>3888770237.922763</v>
      </c>
      <c r="AD30" s="6" t="n">
        <v>310854663.4659377</v>
      </c>
      <c r="AE30" s="6" t="n">
        <v>207985487.2309283</v>
      </c>
      <c r="AF30" s="6" t="n">
        <v>4490513.426846618</v>
      </c>
      <c r="AG30" s="6" t="n">
        <v>2141128.816142652</v>
      </c>
      <c r="AH30" s="6" t="n">
        <v>5932652396.190205</v>
      </c>
      <c r="AI30" s="6" t="n">
        <v>3969788369.674117</v>
      </c>
      <c r="AJ30" s="6" t="n">
        <v>311243903.7099752</v>
      </c>
      <c r="AK30" s="6" t="n">
        <v>208127146.6705275</v>
      </c>
      <c r="AL30" s="6" t="n">
        <v>4101273.182809118</v>
      </c>
      <c r="AM30" s="6" t="n">
        <v>1999469.37654338</v>
      </c>
      <c r="AN30" s="6" t="n">
        <v>5940019535.303891</v>
      </c>
      <c r="AO30" s="6" t="n">
        <v>3972395058.154712</v>
      </c>
      <c r="AP30" s="6" t="n">
        <v>299022999.3770904</v>
      </c>
      <c r="AQ30" s="6" t="n">
        <v>205610448.8657972</v>
      </c>
      <c r="AR30" s="6" t="n">
        <v>16322177.51569399</v>
      </c>
      <c r="AS30" s="6" t="n">
        <v>4516167.181273758</v>
      </c>
      <c r="AT30" s="6" t="n">
        <v>5732926768.141665</v>
      </c>
      <c r="AU30" s="6" t="n">
        <v>3944842090.330815</v>
      </c>
      <c r="AV30" s="6" t="n">
        <v>298846431.340163</v>
      </c>
      <c r="AW30" s="6" t="n">
        <v>205509695.3982702</v>
      </c>
      <c r="AX30" s="6" t="n">
        <v>16498745.55262138</v>
      </c>
      <c r="AY30" s="6" t="n">
        <v>4616920.648800716</v>
      </c>
      <c r="AZ30" s="6" t="n">
        <v>5728873914.125693</v>
      </c>
      <c r="BA30" s="6" t="n">
        <v>3942453321.457858</v>
      </c>
      <c r="BB30" s="6" t="n">
        <v>2980378.839396775</v>
      </c>
      <c r="BC30" s="11" t="n">
        <v>0.01007340590177731</v>
      </c>
      <c r="BD30" s="6" t="n">
        <v>2021225.895958722</v>
      </c>
      <c r="BE30" s="11" t="n">
        <v>0.009932876791015236</v>
      </c>
      <c r="BF30" s="6" t="n">
        <v>5380474.914795876</v>
      </c>
      <c r="BG30" s="11" t="n">
        <v>0.01818550952134646</v>
      </c>
      <c r="BH30" s="6" t="n">
        <v>2824738.896745056</v>
      </c>
      <c r="BI30" s="11" t="n">
        <v>0.01388156736179574</v>
      </c>
      <c r="BJ30" s="6" t="n">
        <v>5547912.406611562</v>
      </c>
      <c r="BK30" s="11" t="n">
        <v>0.01875143281805605</v>
      </c>
      <c r="BL30" s="6" t="n">
        <v>-872569.9489805102</v>
      </c>
      <c r="BM30" s="11" t="n">
        <v>-0.004288055982310086</v>
      </c>
      <c r="BN30" s="6" t="n">
        <v>14988610.96517152</v>
      </c>
      <c r="BO30" s="7" t="n">
        <v>0.05066012419634625</v>
      </c>
      <c r="BP30" s="6" t="n">
        <v>4497017.728616774</v>
      </c>
      <c r="BQ30" s="7" t="n">
        <v>0.02209961940160787</v>
      </c>
      <c r="BR30" s="6" t="n">
        <v>15377851.20920902</v>
      </c>
      <c r="BS30" s="7" t="n">
        <v>0.05197572036139293</v>
      </c>
      <c r="BT30" s="6" t="n">
        <v>4638677.16821605</v>
      </c>
      <c r="BU30" s="7" t="n">
        <v>0.02279577402867712</v>
      </c>
      <c r="BV30" s="6" t="n">
        <v>3156946.876324177</v>
      </c>
      <c r="BW30" s="11" t="n">
        <v>0.01067018959978858</v>
      </c>
      <c r="BX30" s="6" t="n">
        <v>2121979.363485664</v>
      </c>
      <c r="BY30" s="11" t="n">
        <v>0.01042800788012984</v>
      </c>
      <c r="BZ30" s="6" t="n">
        <v>2980378.839396775</v>
      </c>
      <c r="CA30" s="11" t="n">
        <v>0.01007340590177731</v>
      </c>
      <c r="CB30" s="6" t="n">
        <v>2021225.895958722</v>
      </c>
      <c r="CC30" s="11" t="n">
        <v>0.009932876791015236</v>
      </c>
    </row>
    <row r="31">
      <c r="A31" t="inlineStr">
        <is>
          <t>Incendio</t>
        </is>
      </c>
      <c r="B31" s="8" t="n">
        <v>2026</v>
      </c>
      <c r="C31" s="9" t="n">
        <v>139057298.6800113</v>
      </c>
      <c r="D31" s="9" t="n">
        <v>92659224.71429493</v>
      </c>
      <c r="E31" s="9" t="n">
        <v>143901136.8886564</v>
      </c>
      <c r="F31" s="9" t="n">
        <v>98796976.47042295</v>
      </c>
      <c r="G31" s="9" t="n">
        <v>-4843838.208645165</v>
      </c>
      <c r="H31" s="9" t="n">
        <v>-6137751.756128028</v>
      </c>
      <c r="I31" s="9" t="n">
        <v>2426960244.07054</v>
      </c>
      <c r="J31" s="9" t="n">
        <v>2511569833.798082</v>
      </c>
      <c r="K31" s="9" t="n">
        <v>1723338994.775487</v>
      </c>
      <c r="L31" s="9" t="n">
        <v>140118829.8247907</v>
      </c>
      <c r="M31" s="9" t="n">
        <v>96392351.38400283</v>
      </c>
      <c r="N31" s="9" t="n">
        <v>-1061531.144779459</v>
      </c>
      <c r="O31" s="9" t="n">
        <v>-3733126.669707909</v>
      </c>
      <c r="P31" s="9" t="n">
        <v>2449573150.741101</v>
      </c>
      <c r="Q31" s="9" t="n">
        <v>1683996723.823409</v>
      </c>
      <c r="R31" s="9" t="n">
        <v>140267805.8078755</v>
      </c>
      <c r="S31" s="9" t="n">
        <v>96096052.74318554</v>
      </c>
      <c r="T31" s="9" t="n">
        <v>-1210507.127864271</v>
      </c>
      <c r="U31" s="9" t="n">
        <v>-3436828.02889061</v>
      </c>
      <c r="V31" s="9" t="n">
        <v>2451875714.808755</v>
      </c>
      <c r="W31" s="9" t="n">
        <v>1678768006.805841</v>
      </c>
      <c r="X31" s="9" t="n">
        <v>155277713.1279658</v>
      </c>
      <c r="Y31" s="9" t="n">
        <v>103825924.9418441</v>
      </c>
      <c r="Z31" s="9" t="n">
        <v>-16220414.4479545</v>
      </c>
      <c r="AA31" s="9" t="n">
        <v>-11166700.22754916</v>
      </c>
      <c r="AB31" s="9" t="n">
        <v>2711551209.80226</v>
      </c>
      <c r="AC31" s="9" t="n">
        <v>1812822285.287529</v>
      </c>
      <c r="AD31" s="9" t="n">
        <v>137438795.0451419</v>
      </c>
      <c r="AE31" s="9" t="n">
        <v>92099915.23532052</v>
      </c>
      <c r="AF31" s="9" t="n">
        <v>1618503.634869389</v>
      </c>
      <c r="AG31" s="9" t="n">
        <v>559309.4789744057</v>
      </c>
      <c r="AH31" s="9" t="n">
        <v>2399793398.975481</v>
      </c>
      <c r="AI31" s="9" t="n">
        <v>1607973385.957655</v>
      </c>
      <c r="AJ31" s="9" t="n">
        <v>137577853.2417385</v>
      </c>
      <c r="AK31" s="9" t="n">
        <v>92128598.02397092</v>
      </c>
      <c r="AL31" s="9" t="n">
        <v>1479445.438272826</v>
      </c>
      <c r="AM31" s="9" t="n">
        <v>530626.6903240085</v>
      </c>
      <c r="AN31" s="9" t="n">
        <v>2402158997.5369</v>
      </c>
      <c r="AO31" s="9" t="n">
        <v>1608454738.98867</v>
      </c>
      <c r="AP31" s="9" t="n">
        <v>138916309.0446438</v>
      </c>
      <c r="AQ31" s="9" t="n">
        <v>95630056.13351353</v>
      </c>
      <c r="AR31" s="9" t="n">
        <v>140989.6353674829</v>
      </c>
      <c r="AS31" s="9" t="n">
        <v>-2970831.4192186</v>
      </c>
      <c r="AT31" s="9" t="n">
        <v>2428649876.010813</v>
      </c>
      <c r="AU31" s="9" t="n">
        <v>1670732648.746258</v>
      </c>
      <c r="AV31" s="9" t="n">
        <v>140118829.8247907</v>
      </c>
      <c r="AW31" s="9" t="n">
        <v>96392351.38400283</v>
      </c>
      <c r="AX31" s="9" t="n">
        <v>-1061531.144779459</v>
      </c>
      <c r="AY31" s="9" t="n">
        <v>-3733126.669707909</v>
      </c>
      <c r="AZ31" s="9" t="n">
        <v>2449573150.741101</v>
      </c>
      <c r="BA31" s="9" t="n">
        <v>1683996723.823409</v>
      </c>
      <c r="BB31" s="9" t="n">
        <v>-3782307.063865691</v>
      </c>
      <c r="BC31" s="12" t="n">
        <v>-0.02628406658657779</v>
      </c>
      <c r="BD31" s="9" t="n">
        <v>-2404625.086420119</v>
      </c>
      <c r="BE31" s="12" t="n">
        <v>-0.02433905542787533</v>
      </c>
      <c r="BF31" s="9" t="n">
        <v>-3633331.080780894</v>
      </c>
      <c r="BG31" s="12" t="n">
        <v>-0.02524880038711706</v>
      </c>
      <c r="BH31" s="9" t="n">
        <v>-2700923.727237418</v>
      </c>
      <c r="BI31" s="12" t="n">
        <v>-0.02733812130420812</v>
      </c>
      <c r="BJ31" s="9" t="n">
        <v>11376576.23930934</v>
      </c>
      <c r="BK31" s="12" t="n">
        <v>0.07905827907469537</v>
      </c>
      <c r="BL31" s="9" t="n">
        <v>5028948.471421137</v>
      </c>
      <c r="BM31" s="12" t="n">
        <v>0.05090184589734549</v>
      </c>
      <c r="BN31" s="9" t="n">
        <v>-6462341.843514562</v>
      </c>
      <c r="BO31" s="12" t="n">
        <v>-0.04490820561421138</v>
      </c>
      <c r="BP31" s="9" t="n">
        <v>-6697061.23510243</v>
      </c>
      <c r="BQ31" s="12" t="n">
        <v>-0.0677860950239438</v>
      </c>
      <c r="BR31" s="9" t="n">
        <v>-6323283.646917969</v>
      </c>
      <c r="BS31" s="12" t="n">
        <v>-0.04394186024958658</v>
      </c>
      <c r="BT31" s="9" t="n">
        <v>-6668378.446452036</v>
      </c>
      <c r="BU31" s="12" t="n">
        <v>-0.06749577451338667</v>
      </c>
      <c r="BV31" s="9" t="n">
        <v>-4984827.844012648</v>
      </c>
      <c r="BW31" s="12" t="n">
        <v>-0.03464064253967403</v>
      </c>
      <c r="BX31" s="9" t="n">
        <v>-3166920.336909428</v>
      </c>
      <c r="BY31" s="12" t="n">
        <v>-0.03205483052264778</v>
      </c>
      <c r="BZ31" s="9" t="n">
        <v>-3782307.063865691</v>
      </c>
      <c r="CA31" s="12" t="n">
        <v>-0.02628406658657779</v>
      </c>
      <c r="CB31" s="9" t="n">
        <v>-2404625.086420119</v>
      </c>
      <c r="CC31" s="12" t="n">
        <v>-0.02433905542787533</v>
      </c>
    </row>
    <row r="32">
      <c r="A32" s="4" t="inlineStr">
        <is>
          <t>MyT</t>
        </is>
      </c>
      <c r="B32" s="5" t="n">
        <v>2023</v>
      </c>
      <c r="C32" s="6" t="n">
        <v>54385312.65012524</v>
      </c>
      <c r="D32" s="6" t="n">
        <v>46686505.71717706</v>
      </c>
      <c r="E32" s="6" t="n">
        <v>46171761.61449862</v>
      </c>
      <c r="F32" s="6" t="n">
        <v>37363708.87293859</v>
      </c>
      <c r="G32" s="6" t="n">
        <v>8213551.03562662</v>
      </c>
      <c r="H32" s="6" t="n">
        <v>9322796.844238475</v>
      </c>
      <c r="I32" s="6" t="n">
        <v>958444563.2077441</v>
      </c>
      <c r="J32" s="6" t="n">
        <v>811323193.2324203</v>
      </c>
      <c r="K32" s="6" t="n">
        <v>654908149.9635234</v>
      </c>
      <c r="L32" s="6" t="n">
        <v>46145161.82546014</v>
      </c>
      <c r="M32" s="6" t="n">
        <v>37252166.86394925</v>
      </c>
      <c r="N32" s="6" t="n">
        <v>8240150.824665099</v>
      </c>
      <c r="O32" s="6" t="n">
        <v>9434338.853227817</v>
      </c>
      <c r="P32" s="6" t="n">
        <v>808817918.4481515</v>
      </c>
      <c r="Q32" s="6" t="n">
        <v>651237223.8851253</v>
      </c>
      <c r="R32" s="6" t="n">
        <v>48072254.87813763</v>
      </c>
      <c r="S32" s="6" t="n">
        <v>39174275.80438903</v>
      </c>
      <c r="T32" s="6" t="n">
        <v>6313057.771987606</v>
      </c>
      <c r="U32" s="6" t="n">
        <v>7512229.912788033</v>
      </c>
      <c r="V32" s="6" t="n">
        <v>843359957.971704</v>
      </c>
      <c r="W32" s="6" t="n">
        <v>685793269.7166294</v>
      </c>
      <c r="X32" s="6" t="n">
        <v>58876891.08759219</v>
      </c>
      <c r="Y32" s="6" t="n">
        <v>49035578.27047478</v>
      </c>
      <c r="Z32" s="6" t="n">
        <v>-4491578.43746696</v>
      </c>
      <c r="AA32" s="6" t="n">
        <v>-2349072.553297715</v>
      </c>
      <c r="AB32" s="6" t="n">
        <v>1042824236.938125</v>
      </c>
      <c r="AC32" s="6" t="n">
        <v>867600625.569622</v>
      </c>
      <c r="AD32" s="6" t="n">
        <v>57023900.12163357</v>
      </c>
      <c r="AE32" s="6" t="n">
        <v>48337000.804794</v>
      </c>
      <c r="AF32" s="6" t="n">
        <v>-2638587.471508345</v>
      </c>
      <c r="AG32" s="6" t="n">
        <v>-1650495.087616936</v>
      </c>
      <c r="AH32" s="6" t="n">
        <v>1005214894.10734</v>
      </c>
      <c r="AI32" s="6" t="n">
        <v>851669873.7398587</v>
      </c>
      <c r="AJ32" s="6" t="n">
        <v>56795265.10402629</v>
      </c>
      <c r="AK32" s="6" t="n">
        <v>48149562.64501485</v>
      </c>
      <c r="AL32" s="6" t="n">
        <v>-2409952.453901059</v>
      </c>
      <c r="AM32" s="6" t="n">
        <v>-1463056.927837784</v>
      </c>
      <c r="AN32" s="6" t="n">
        <v>1000994030.255485</v>
      </c>
      <c r="AO32" s="6" t="n">
        <v>848212353.7622123</v>
      </c>
      <c r="AP32" s="6" t="n">
        <v>46391643.26461877</v>
      </c>
      <c r="AQ32" s="6" t="n">
        <v>37346296.61116991</v>
      </c>
      <c r="AR32" s="6" t="n">
        <v>7993669.385506459</v>
      </c>
      <c r="AS32" s="6" t="n">
        <v>9340209.106007151</v>
      </c>
      <c r="AT32" s="6" t="n">
        <v>812325561.7906862</v>
      </c>
      <c r="AU32" s="6" t="n">
        <v>652112560.4060129</v>
      </c>
      <c r="AV32" s="6" t="n">
        <v>45895522.62429281</v>
      </c>
      <c r="AW32" s="6" t="n">
        <v>37003045.43787537</v>
      </c>
      <c r="AX32" s="6" t="n">
        <v>8489790.025832422</v>
      </c>
      <c r="AY32" s="6" t="n">
        <v>9683460.279301699</v>
      </c>
      <c r="AZ32" s="6" t="n">
        <v>804355255.4346302</v>
      </c>
      <c r="BA32" s="6" t="n">
        <v>646768782.0571136</v>
      </c>
      <c r="BB32" s="6" t="n">
        <v>-26599.78903847933</v>
      </c>
      <c r="BC32" s="11" t="n">
        <v>-0.0005761051367406913</v>
      </c>
      <c r="BD32" s="6" t="n">
        <v>-111542.0089893341</v>
      </c>
      <c r="BE32" s="11" t="n">
        <v>-0.002985303449629451</v>
      </c>
      <c r="BF32" s="6" t="n">
        <v>1900493.26363901</v>
      </c>
      <c r="BG32" s="7" t="n">
        <v>0.04116137650338703</v>
      </c>
      <c r="BH32" s="6" t="n">
        <v>1810566.931450441</v>
      </c>
      <c r="BI32" s="7" t="n">
        <v>0.04845790169299228</v>
      </c>
      <c r="BJ32" s="6" t="n">
        <v>12705129.47309358</v>
      </c>
      <c r="BK32" s="7" t="n">
        <v>0.2751709925900678</v>
      </c>
      <c r="BL32" s="6" t="n">
        <v>11671869.3975362</v>
      </c>
      <c r="BM32" s="7" t="n">
        <v>0.3123851927341662</v>
      </c>
      <c r="BN32" s="6" t="n">
        <v>10852138.50713496</v>
      </c>
      <c r="BO32" s="7" t="n">
        <v>0.2350384331822251</v>
      </c>
      <c r="BP32" s="6" t="n">
        <v>10973291.93185541</v>
      </c>
      <c r="BQ32" s="7" t="n">
        <v>0.2936885085249938</v>
      </c>
      <c r="BR32" s="6" t="n">
        <v>10623503.48952767</v>
      </c>
      <c r="BS32" s="7" t="n">
        <v>0.2300865966134533</v>
      </c>
      <c r="BT32" s="6" t="n">
        <v>10785853.77207626</v>
      </c>
      <c r="BU32" s="7" t="n">
        <v>0.288671925176254</v>
      </c>
      <c r="BV32" s="6" t="n">
        <v>219881.650120154</v>
      </c>
      <c r="BW32" s="11" t="n">
        <v>0.004762253863216428</v>
      </c>
      <c r="BX32" s="6" t="n">
        <v>-17412.26176867634</v>
      </c>
      <c r="BY32" s="11" t="n">
        <v>-0.0004660207001368517</v>
      </c>
      <c r="BZ32" s="6" t="n">
        <v>-276238.990205802</v>
      </c>
      <c r="CA32" s="11" t="n">
        <v>-0.005982855766089265</v>
      </c>
      <c r="CB32" s="6" t="n">
        <v>-360663.4350632206</v>
      </c>
      <c r="CC32" s="11" t="n">
        <v>-0.009652773933383209</v>
      </c>
    </row>
    <row r="33">
      <c r="A33" t="inlineStr">
        <is>
          <t>MyT</t>
        </is>
      </c>
      <c r="B33" s="8" t="n">
        <v>2024</v>
      </c>
      <c r="C33" s="9" t="n">
        <v>92731330.37985183</v>
      </c>
      <c r="D33" s="9" t="n">
        <v>83308540.65205529</v>
      </c>
      <c r="E33" s="9" t="n">
        <v>69222936.9504969</v>
      </c>
      <c r="F33" s="9" t="n">
        <v>60399068.31938343</v>
      </c>
      <c r="G33" s="9" t="n">
        <v>23508393.42935493</v>
      </c>
      <c r="H33" s="9" t="n">
        <v>22909472.33267186</v>
      </c>
      <c r="I33" s="9" t="n">
        <v>1748004816.232379</v>
      </c>
      <c r="J33" s="9" t="n">
        <v>1274524146.083997</v>
      </c>
      <c r="K33" s="9" t="n">
        <v>1114236251.953784</v>
      </c>
      <c r="L33" s="9" t="n">
        <v>67298178.06555447</v>
      </c>
      <c r="M33" s="9" t="n">
        <v>58614692.01728976</v>
      </c>
      <c r="N33" s="9" t="n">
        <v>25433152.31429736</v>
      </c>
      <c r="O33" s="9" t="n">
        <v>24693848.63476554</v>
      </c>
      <c r="P33" s="9" t="n">
        <v>1237743476.873048</v>
      </c>
      <c r="Q33" s="9" t="n">
        <v>1080221351.597791</v>
      </c>
      <c r="R33" s="9" t="n">
        <v>70693292.63072756</v>
      </c>
      <c r="S33" s="9" t="n">
        <v>61928946.10794365</v>
      </c>
      <c r="T33" s="9" t="n">
        <v>22038037.74912427</v>
      </c>
      <c r="U33" s="9" t="n">
        <v>21379594.54411164</v>
      </c>
      <c r="V33" s="9" t="n">
        <v>1307740711.873974</v>
      </c>
      <c r="W33" s="9" t="n">
        <v>1147647156.802511</v>
      </c>
      <c r="X33" s="9" t="n">
        <v>73084227.40067521</v>
      </c>
      <c r="Y33" s="9" t="n">
        <v>65007522.36885058</v>
      </c>
      <c r="Z33" s="9" t="n">
        <v>19647102.97917662</v>
      </c>
      <c r="AA33" s="9" t="n">
        <v>18301018.28320471</v>
      </c>
      <c r="AB33" s="9" t="n">
        <v>1331062515.233462</v>
      </c>
      <c r="AC33" s="9" t="n">
        <v>1184422378.760918</v>
      </c>
      <c r="AD33" s="9" t="n">
        <v>86555591.01331852</v>
      </c>
      <c r="AE33" s="9" t="n">
        <v>77541537.98897308</v>
      </c>
      <c r="AF33" s="9" t="n">
        <v>6175739.366533315</v>
      </c>
      <c r="AG33" s="9" t="n">
        <v>5767002.663082203</v>
      </c>
      <c r="AH33" s="9" t="n">
        <v>1629078588.259295</v>
      </c>
      <c r="AI33" s="9" t="n">
        <v>1459710600.848061</v>
      </c>
      <c r="AJ33" s="9" t="n">
        <v>86613167.29461761</v>
      </c>
      <c r="AK33" s="9" t="n">
        <v>77585962.98416258</v>
      </c>
      <c r="AL33" s="9" t="n">
        <v>6118163.085234232</v>
      </c>
      <c r="AM33" s="9" t="n">
        <v>5722577.667892711</v>
      </c>
      <c r="AN33" s="9" t="n">
        <v>1630515763.254571</v>
      </c>
      <c r="AO33" s="9" t="n">
        <v>1460876958.375452</v>
      </c>
      <c r="AP33" s="9" t="n">
        <v>69641678.55433367</v>
      </c>
      <c r="AQ33" s="9" t="n">
        <v>60668927.73872526</v>
      </c>
      <c r="AR33" s="9" t="n">
        <v>23089651.82551816</v>
      </c>
      <c r="AS33" s="9" t="n">
        <v>22639612.91333003</v>
      </c>
      <c r="AT33" s="9" t="n">
        <v>1282058179.460294</v>
      </c>
      <c r="AU33" s="9" t="n">
        <v>1119194890.823882</v>
      </c>
      <c r="AV33" s="9" t="n">
        <v>66911548.97612267</v>
      </c>
      <c r="AW33" s="9" t="n">
        <v>58233131.80885723</v>
      </c>
      <c r="AX33" s="9" t="n">
        <v>25819781.40372916</v>
      </c>
      <c r="AY33" s="9" t="n">
        <v>25075408.84319806</v>
      </c>
      <c r="AZ33" s="9" t="n">
        <v>1229749800.355858</v>
      </c>
      <c r="BA33" s="9" t="n">
        <v>1072452322.204958</v>
      </c>
      <c r="BB33" s="9" t="n">
        <v>-1924758.884942427</v>
      </c>
      <c r="BC33" s="12" t="n">
        <v>-0.02780521846853843</v>
      </c>
      <c r="BD33" s="9" t="n">
        <v>-1784376.302093677</v>
      </c>
      <c r="BE33" s="12" t="n">
        <v>-0.02954310971583365</v>
      </c>
      <c r="BF33" s="9" t="n">
        <v>1470355.680230662</v>
      </c>
      <c r="BG33" s="12" t="n">
        <v>0.0212408739791285</v>
      </c>
      <c r="BH33" s="9" t="n">
        <v>1529877.788560219</v>
      </c>
      <c r="BI33" s="12" t="n">
        <v>0.02532949317149064</v>
      </c>
      <c r="BJ33" s="9" t="n">
        <v>3861290.45017831</v>
      </c>
      <c r="BK33" s="12" t="n">
        <v>0.05578050600395095</v>
      </c>
      <c r="BL33" s="9" t="n">
        <v>4608454.049467146</v>
      </c>
      <c r="BM33" s="12" t="n">
        <v>0.07630008504598387</v>
      </c>
      <c r="BN33" s="9" t="n">
        <v>17332654.06282163</v>
      </c>
      <c r="BO33" s="12" t="n">
        <v>0.2503888859153239</v>
      </c>
      <c r="BP33" s="9" t="n">
        <v>17142469.66958965</v>
      </c>
      <c r="BQ33" s="12" t="n">
        <v>0.283820100981396</v>
      </c>
      <c r="BR33" s="9" t="n">
        <v>17390230.34412071</v>
      </c>
      <c r="BS33" s="12" t="n">
        <v>0.2512206374103559</v>
      </c>
      <c r="BT33" s="9" t="n">
        <v>17186894.66477915</v>
      </c>
      <c r="BU33" s="12" t="n">
        <v>0.2845556254923801</v>
      </c>
      <c r="BV33" s="9" t="n">
        <v>418741.6038367748</v>
      </c>
      <c r="BW33" s="10" t="n">
        <v>0.006049174194042471</v>
      </c>
      <c r="BX33" s="9" t="n">
        <v>269859.4193418249</v>
      </c>
      <c r="BY33" s="10" t="n">
        <v>0.004467940099917417</v>
      </c>
      <c r="BZ33" s="9" t="n">
        <v>-2311387.974374227</v>
      </c>
      <c r="CA33" s="12" t="n">
        <v>-0.0333904927499271</v>
      </c>
      <c r="CB33" s="9" t="n">
        <v>-2165936.510526203</v>
      </c>
      <c r="CC33" s="12" t="n">
        <v>-0.03586042915551239</v>
      </c>
    </row>
    <row r="34">
      <c r="A34" s="4" t="inlineStr">
        <is>
          <t>MyT</t>
        </is>
      </c>
      <c r="B34" s="5" t="n">
        <v>2025</v>
      </c>
      <c r="C34" s="6" t="n">
        <v>110266250.5707493</v>
      </c>
      <c r="D34" s="6" t="n">
        <v>97803623.14868361</v>
      </c>
      <c r="E34" s="6" t="n">
        <v>110809276.0974215</v>
      </c>
      <c r="F34" s="6" t="n">
        <v>97833619.68507956</v>
      </c>
      <c r="G34" s="6" t="n">
        <v>-543025.5266722143</v>
      </c>
      <c r="H34" s="6" t="n">
        <v>-29996.53639595956</v>
      </c>
      <c r="I34" s="6" t="n">
        <v>2114271443.514003</v>
      </c>
      <c r="J34" s="6" t="n">
        <v>2106205530.778098</v>
      </c>
      <c r="K34" s="6" t="n">
        <v>1860688510.814767</v>
      </c>
      <c r="L34" s="6" t="n">
        <v>115932052.8288297</v>
      </c>
      <c r="M34" s="6" t="n">
        <v>102459571.988927</v>
      </c>
      <c r="N34" s="6" t="n">
        <v>-5665802.258080445</v>
      </c>
      <c r="O34" s="6" t="n">
        <v>-4655948.840243414</v>
      </c>
      <c r="P34" s="6" t="n">
        <v>2219830246.126029</v>
      </c>
      <c r="Q34" s="6" t="n">
        <v>1963130353.025109</v>
      </c>
      <c r="R34" s="6" t="n">
        <v>116044128.9791708</v>
      </c>
      <c r="S34" s="6" t="n">
        <v>102629028.5471556</v>
      </c>
      <c r="T34" s="6" t="n">
        <v>-5777878.408421487</v>
      </c>
      <c r="U34" s="6" t="n">
        <v>-4825405.398472041</v>
      </c>
      <c r="V34" s="6" t="n">
        <v>2222720818.358618</v>
      </c>
      <c r="W34" s="6" t="n">
        <v>1966855349.221839</v>
      </c>
      <c r="X34" s="6" t="n">
        <v>122828705.5677876</v>
      </c>
      <c r="Y34" s="6" t="n">
        <v>108952133.4500319</v>
      </c>
      <c r="Z34" s="6" t="n">
        <v>-12562454.99703836</v>
      </c>
      <c r="AA34" s="6" t="n">
        <v>-11148510.30134828</v>
      </c>
      <c r="AB34" s="6" t="n">
        <v>2371169002.492507</v>
      </c>
      <c r="AC34" s="6" t="n">
        <v>2103920759.446394</v>
      </c>
      <c r="AD34" s="6" t="n">
        <v>114783117.4198484</v>
      </c>
      <c r="AE34" s="6" t="n">
        <v>101821272.3888451</v>
      </c>
      <c r="AF34" s="6" t="n">
        <v>-4516866.849099183</v>
      </c>
      <c r="AG34" s="6" t="n">
        <v>-4017649.240161455</v>
      </c>
      <c r="AH34" s="6" t="n">
        <v>2201911155.658562</v>
      </c>
      <c r="AI34" s="6" t="n">
        <v>1953432170.67506</v>
      </c>
      <c r="AJ34" s="6" t="n">
        <v>114750704.1985583</v>
      </c>
      <c r="AK34" s="6" t="n">
        <v>101791139.969318</v>
      </c>
      <c r="AL34" s="6" t="n">
        <v>-4484453.627809031</v>
      </c>
      <c r="AM34" s="6" t="n">
        <v>-3987516.820634366</v>
      </c>
      <c r="AN34" s="6" t="n">
        <v>2201232231.884158</v>
      </c>
      <c r="AO34" s="6" t="n">
        <v>1952804471.955035</v>
      </c>
      <c r="AP34" s="6" t="n">
        <v>114578573.4720125</v>
      </c>
      <c r="AQ34" s="6" t="n">
        <v>101240996.2265546</v>
      </c>
      <c r="AR34" s="6" t="n">
        <v>-4312322.901263289</v>
      </c>
      <c r="AS34" s="6" t="n">
        <v>-3437373.077871002</v>
      </c>
      <c r="AT34" s="6" t="n">
        <v>2191358710.124294</v>
      </c>
      <c r="AU34" s="6" t="n">
        <v>1937503109.61272</v>
      </c>
      <c r="AV34" s="6" t="n">
        <v>115904299.5417723</v>
      </c>
      <c r="AW34" s="6" t="n">
        <v>102426014.8535084</v>
      </c>
      <c r="AX34" s="6" t="n">
        <v>-5638048.971023008</v>
      </c>
      <c r="AY34" s="6" t="n">
        <v>-4622391.704824813</v>
      </c>
      <c r="AZ34" s="6" t="n">
        <v>2219117194.439176</v>
      </c>
      <c r="BA34" s="6" t="n">
        <v>1962348879.897734</v>
      </c>
      <c r="BB34" s="6" t="n">
        <v>5122776.731408224</v>
      </c>
      <c r="BC34" s="7" t="n">
        <v>0.04623057664328005</v>
      </c>
      <c r="BD34" s="6" t="n">
        <v>4625952.303847462</v>
      </c>
      <c r="BE34" s="7" t="n">
        <v>0.04728387152328739</v>
      </c>
      <c r="BF34" s="6" t="n">
        <v>5234852.881749272</v>
      </c>
      <c r="BG34" s="7" t="n">
        <v>0.04724200956918883</v>
      </c>
      <c r="BH34" s="6" t="n">
        <v>4795408.862076089</v>
      </c>
      <c r="BI34" s="7" t="n">
        <v>0.04901596074552098</v>
      </c>
      <c r="BJ34" s="6" t="n">
        <v>12019429.47036615</v>
      </c>
      <c r="BK34" s="7" t="n">
        <v>0.1084695243365627</v>
      </c>
      <c r="BL34" s="6" t="n">
        <v>11118513.76495232</v>
      </c>
      <c r="BM34" s="7" t="n">
        <v>0.1136471675150335</v>
      </c>
      <c r="BN34" s="6" t="n">
        <v>3973841.32242696</v>
      </c>
      <c r="BO34" s="7" t="n">
        <v>0.03586199154422082</v>
      </c>
      <c r="BP34" s="6" t="n">
        <v>3987652.703765497</v>
      </c>
      <c r="BQ34" s="7" t="n">
        <v>0.04075953354891199</v>
      </c>
      <c r="BR34" s="6" t="n">
        <v>3941428.101136819</v>
      </c>
      <c r="BS34" s="7" t="n">
        <v>0.03556947793496627</v>
      </c>
      <c r="BT34" s="6" t="n">
        <v>3957520.284238413</v>
      </c>
      <c r="BU34" s="7" t="n">
        <v>0.04045153697652636</v>
      </c>
      <c r="BV34" s="6" t="n">
        <v>3769297.374591067</v>
      </c>
      <c r="BW34" s="7" t="n">
        <v>0.03401608157134038</v>
      </c>
      <c r="BX34" s="6" t="n">
        <v>3407376.541475043</v>
      </c>
      <c r="BY34" s="7" t="n">
        <v>0.03482827838163588</v>
      </c>
      <c r="BZ34" s="6" t="n">
        <v>5095023.444350794</v>
      </c>
      <c r="CA34" s="7" t="n">
        <v>0.04598011668148922</v>
      </c>
      <c r="CB34" s="6" t="n">
        <v>4592395.168428853</v>
      </c>
      <c r="CC34" s="7" t="n">
        <v>0.04694086943947789</v>
      </c>
    </row>
    <row r="35">
      <c r="A35" t="inlineStr">
        <is>
          <t>MyT</t>
        </is>
      </c>
      <c r="B35" s="8" t="n">
        <v>2026</v>
      </c>
      <c r="C35" s="9" t="n">
        <v>46678938.75335979</v>
      </c>
      <c r="D35" s="9" t="n">
        <v>41403142.94884673</v>
      </c>
      <c r="E35" s="9" t="n">
        <v>38605871.76793246</v>
      </c>
      <c r="F35" s="9" t="n">
        <v>36755679.06189632</v>
      </c>
      <c r="G35" s="9" t="n">
        <v>8073066.985427327</v>
      </c>
      <c r="H35" s="9" t="n">
        <v>4647463.886950396</v>
      </c>
      <c r="I35" s="9" t="n">
        <v>817271223.9852138</v>
      </c>
      <c r="J35" s="9" t="n">
        <v>675035153.6224706</v>
      </c>
      <c r="K35" s="9" t="n">
        <v>643130906.2888665</v>
      </c>
      <c r="L35" s="9" t="n">
        <v>42476350.54394951</v>
      </c>
      <c r="M35" s="9" t="n">
        <v>40026020.99333642</v>
      </c>
      <c r="N35" s="9" t="n">
        <v>4202588.209410273</v>
      </c>
      <c r="O35" s="9" t="n">
        <v>1377121.955510296</v>
      </c>
      <c r="P35" s="9" t="n">
        <v>742460935.7806206</v>
      </c>
      <c r="Q35" s="9" t="n">
        <v>700095559.1847091</v>
      </c>
      <c r="R35" s="9" t="n">
        <v>43839185.36970373</v>
      </c>
      <c r="S35" s="9" t="n">
        <v>40855723.23699327</v>
      </c>
      <c r="T35" s="9" t="n">
        <v>2839753.383656055</v>
      </c>
      <c r="U35" s="9" t="n">
        <v>547419.7118534595</v>
      </c>
      <c r="V35" s="9" t="n">
        <v>766412812.6107378</v>
      </c>
      <c r="W35" s="9" t="n">
        <v>714644833.8825064</v>
      </c>
      <c r="X35" s="9" t="n">
        <v>62708139.16076312</v>
      </c>
      <c r="Y35" s="9" t="n">
        <v>56096726.54439352</v>
      </c>
      <c r="Z35" s="9" t="n">
        <v>-16029200.40740333</v>
      </c>
      <c r="AA35" s="9" t="n">
        <v>-14693583.5955468</v>
      </c>
      <c r="AB35" s="9" t="n">
        <v>1096275223.350922</v>
      </c>
      <c r="AC35" s="9" t="n">
        <v>980788331.4468606</v>
      </c>
      <c r="AD35" s="9" t="n">
        <v>46821323.76182176</v>
      </c>
      <c r="AE35" s="9" t="n">
        <v>41764427.75461357</v>
      </c>
      <c r="AF35" s="9" t="n">
        <v>-142385.0084619746</v>
      </c>
      <c r="AG35" s="9" t="n">
        <v>-361284.8057668488</v>
      </c>
      <c r="AH35" s="9" t="n">
        <v>819858366.7898425</v>
      </c>
      <c r="AI35" s="9" t="n">
        <v>731341761.8791368</v>
      </c>
      <c r="AJ35" s="9" t="n">
        <v>46531907.15160184</v>
      </c>
      <c r="AK35" s="9" t="n">
        <v>41518406.47924438</v>
      </c>
      <c r="AL35" s="9" t="n">
        <v>147031.6017579567</v>
      </c>
      <c r="AM35" s="9" t="n">
        <v>-115263.5303976545</v>
      </c>
      <c r="AN35" s="9" t="n">
        <v>814835088.5198905</v>
      </c>
      <c r="AO35" s="9" t="n">
        <v>727075011.1658578</v>
      </c>
      <c r="AP35" s="9" t="n">
        <v>42581957.40094936</v>
      </c>
      <c r="AQ35" s="9" t="n">
        <v>40121738.78417704</v>
      </c>
      <c r="AR35" s="9" t="n">
        <v>4096981.352410428</v>
      </c>
      <c r="AS35" s="9" t="n">
        <v>1281404.164669685</v>
      </c>
      <c r="AT35" s="9" t="n">
        <v>744334643.88103</v>
      </c>
      <c r="AU35" s="9" t="n">
        <v>701791769.9658374</v>
      </c>
      <c r="AV35" s="9" t="n">
        <v>42255325.83812997</v>
      </c>
      <c r="AW35" s="9" t="n">
        <v>39878412.37409769</v>
      </c>
      <c r="AX35" s="9" t="n">
        <v>4423612.915229812</v>
      </c>
      <c r="AY35" s="9" t="n">
        <v>1524730.57474903</v>
      </c>
      <c r="AZ35" s="9" t="n">
        <v>738593171.0557036</v>
      </c>
      <c r="BA35" s="9" t="n">
        <v>697520173.5043259</v>
      </c>
      <c r="BB35" s="9" t="n">
        <v>3870478.776017055</v>
      </c>
      <c r="BC35" s="12" t="n">
        <v>0.1002562200714769</v>
      </c>
      <c r="BD35" s="9" t="n">
        <v>3270341.9314401</v>
      </c>
      <c r="BE35" s="12" t="n">
        <v>0.08897514655987897</v>
      </c>
      <c r="BF35" s="9" t="n">
        <v>5233313.601771273</v>
      </c>
      <c r="BG35" s="12" t="n">
        <v>0.1355574518101743</v>
      </c>
      <c r="BH35" s="9" t="n">
        <v>4100044.175096944</v>
      </c>
      <c r="BI35" s="12" t="n">
        <v>0.1115485900340053</v>
      </c>
      <c r="BJ35" s="9" t="n">
        <v>24102267.39283066</v>
      </c>
      <c r="BK35" s="12" t="n">
        <v>0.6243161024238532</v>
      </c>
      <c r="BL35" s="9" t="n">
        <v>19341047.4824972</v>
      </c>
      <c r="BM35" s="12" t="n">
        <v>0.5262056905526626</v>
      </c>
      <c r="BN35" s="9" t="n">
        <v>8215451.993889302</v>
      </c>
      <c r="BO35" s="12" t="n">
        <v>0.2128031726177305</v>
      </c>
      <c r="BP35" s="9" t="n">
        <v>5008748.692717247</v>
      </c>
      <c r="BQ35" s="12" t="n">
        <v>0.1362714230985244</v>
      </c>
      <c r="BR35" s="9" t="n">
        <v>7926035.383669376</v>
      </c>
      <c r="BS35" s="12" t="n">
        <v>0.2053064733601755</v>
      </c>
      <c r="BT35" s="9" t="n">
        <v>4762727.417348057</v>
      </c>
      <c r="BU35" s="12" t="n">
        <v>0.1295780009757854</v>
      </c>
      <c r="BV35" s="9" t="n">
        <v>3976085.633016899</v>
      </c>
      <c r="BW35" s="12" t="n">
        <v>0.1029917328876275</v>
      </c>
      <c r="BX35" s="9" t="n">
        <v>3366059.722280711</v>
      </c>
      <c r="BY35" s="12" t="n">
        <v>0.09157930986970172</v>
      </c>
      <c r="BZ35" s="9" t="n">
        <v>3649454.070197515</v>
      </c>
      <c r="CA35" s="12" t="n">
        <v>0.09453106232479624</v>
      </c>
      <c r="CB35" s="9" t="n">
        <v>3122733.312201366</v>
      </c>
      <c r="CC35" s="12" t="n">
        <v>0.08495920608466255</v>
      </c>
    </row>
    <row r="36">
      <c r="A36" s="4" t="inlineStr">
        <is>
          <t>RC</t>
        </is>
      </c>
      <c r="B36" s="5" t="n">
        <v>2023</v>
      </c>
      <c r="C36" s="6" t="n">
        <v>24178178.68412367</v>
      </c>
      <c r="D36" s="6" t="n">
        <v>16115577.80612407</v>
      </c>
      <c r="E36" s="6" t="n">
        <v>19758297.41306191</v>
      </c>
      <c r="F36" s="6" t="n">
        <v>13232393.16907848</v>
      </c>
      <c r="G36" s="6" t="n">
        <v>4419881.271061756</v>
      </c>
      <c r="H36" s="6" t="n">
        <v>2883184.63704559</v>
      </c>
      <c r="I36" s="6" t="n">
        <v>425014506.3917793</v>
      </c>
      <c r="J36" s="6" t="n">
        <v>346862924.3155602</v>
      </c>
      <c r="K36" s="6" t="n">
        <v>232387488.0790399</v>
      </c>
      <c r="L36" s="6" t="n">
        <v>16091109.35139098</v>
      </c>
      <c r="M36" s="6" t="n">
        <v>10650269.8072626</v>
      </c>
      <c r="N36" s="6" t="n">
        <v>8087069.332732687</v>
      </c>
      <c r="O36" s="6" t="n">
        <v>5465307.998861464</v>
      </c>
      <c r="P36" s="6" t="n">
        <v>283033418.45601</v>
      </c>
      <c r="Q36" s="6" t="n">
        <v>187440642.5621757</v>
      </c>
      <c r="R36" s="6" t="n">
        <v>16959723.23592277</v>
      </c>
      <c r="S36" s="6" t="n">
        <v>11232159.62663785</v>
      </c>
      <c r="T36" s="6" t="n">
        <v>7218455.448200891</v>
      </c>
      <c r="U36" s="6" t="n">
        <v>4883418.179486218</v>
      </c>
      <c r="V36" s="6" t="n">
        <v>298321493.3726799</v>
      </c>
      <c r="W36" s="6" t="n">
        <v>197666348.5535946</v>
      </c>
      <c r="X36" s="6" t="n">
        <v>21279880.74891746</v>
      </c>
      <c r="Y36" s="6" t="n">
        <v>14138626.54028158</v>
      </c>
      <c r="Z36" s="6" t="n">
        <v>2898297.935206201</v>
      </c>
      <c r="AA36" s="6" t="n">
        <v>1976951.265842484</v>
      </c>
      <c r="AB36" s="6" t="n">
        <v>375078151.521194</v>
      </c>
      <c r="AC36" s="6" t="n">
        <v>249247839.3598233</v>
      </c>
      <c r="AD36" s="6" t="n">
        <v>23167711.55502857</v>
      </c>
      <c r="AE36" s="6" t="n">
        <v>15433706.3924716</v>
      </c>
      <c r="AF36" s="6" t="n">
        <v>1010467.129095098</v>
      </c>
      <c r="AG36" s="6" t="n">
        <v>681871.4136524625</v>
      </c>
      <c r="AH36" s="6" t="n">
        <v>407693497.4385448</v>
      </c>
      <c r="AI36" s="6" t="n">
        <v>271635509.0575195</v>
      </c>
      <c r="AJ36" s="6" t="n">
        <v>23239776.95424889</v>
      </c>
      <c r="AK36" s="6" t="n">
        <v>15478299.07421164</v>
      </c>
      <c r="AL36" s="6" t="n">
        <v>938401.7298747689</v>
      </c>
      <c r="AM36" s="6" t="n">
        <v>637278.7319124317</v>
      </c>
      <c r="AN36" s="6" t="n">
        <v>408949471.9263108</v>
      </c>
      <c r="AO36" s="6" t="n">
        <v>272406370.504349</v>
      </c>
      <c r="AP36" s="6" t="n">
        <v>16282432.07236718</v>
      </c>
      <c r="AQ36" s="6" t="n">
        <v>10784809.99148355</v>
      </c>
      <c r="AR36" s="6" t="n">
        <v>7895746.611756486</v>
      </c>
      <c r="AS36" s="6" t="n">
        <v>5330767.81464052</v>
      </c>
      <c r="AT36" s="6" t="n">
        <v>286502557.312672</v>
      </c>
      <c r="AU36" s="6" t="n">
        <v>189890257.1032654</v>
      </c>
      <c r="AV36" s="6" t="n">
        <v>16091109.35139098</v>
      </c>
      <c r="AW36" s="6" t="n">
        <v>10650269.8072626</v>
      </c>
      <c r="AX36" s="6" t="n">
        <v>8087069.332732687</v>
      </c>
      <c r="AY36" s="6" t="n">
        <v>5465307.998861464</v>
      </c>
      <c r="AZ36" s="6" t="n">
        <v>283033418.45601</v>
      </c>
      <c r="BA36" s="6" t="n">
        <v>187440642.5621757</v>
      </c>
      <c r="BB36" s="6" t="n">
        <v>-3667188.061670933</v>
      </c>
      <c r="BC36" s="7" t="n">
        <v>-0.1856024324872552</v>
      </c>
      <c r="BD36" s="6" t="n">
        <v>-2582123.361815874</v>
      </c>
      <c r="BE36" s="7" t="n">
        <v>-0.1951365356834917</v>
      </c>
      <c r="BF36" s="6" t="n">
        <v>-2798574.177139137</v>
      </c>
      <c r="BG36" s="7" t="n">
        <v>-0.1416404520406218</v>
      </c>
      <c r="BH36" s="6" t="n">
        <v>-2000233.542440627</v>
      </c>
      <c r="BI36" s="7" t="n">
        <v>-0.1511618886230484</v>
      </c>
      <c r="BJ36" s="6" t="n">
        <v>1521583.335855555</v>
      </c>
      <c r="BK36" s="7" t="n">
        <v>0.07700984067836024</v>
      </c>
      <c r="BL36" s="6" t="n">
        <v>906233.3712031059</v>
      </c>
      <c r="BM36" s="7" t="n">
        <v>0.06848597677106485</v>
      </c>
      <c r="BN36" s="6" t="n">
        <v>3409414.141966656</v>
      </c>
      <c r="BO36" s="7" t="n">
        <v>0.1725560695180519</v>
      </c>
      <c r="BP36" s="6" t="n">
        <v>2201313.223393127</v>
      </c>
      <c r="BQ36" s="7" t="n">
        <v>0.1663579063337664</v>
      </c>
      <c r="BR36" s="6" t="n">
        <v>3481479.541186985</v>
      </c>
      <c r="BS36" s="7" t="n">
        <v>0.1762034181591695</v>
      </c>
      <c r="BT36" s="6" t="n">
        <v>2245905.90513316</v>
      </c>
      <c r="BU36" s="7" t="n">
        <v>0.1697278698143133</v>
      </c>
      <c r="BV36" s="6" t="n">
        <v>-3475865.340694731</v>
      </c>
      <c r="BW36" s="7" t="n">
        <v>-0.175919274218278</v>
      </c>
      <c r="BX36" s="6" t="n">
        <v>-2447583.17759493</v>
      </c>
      <c r="BY36" s="7" t="n">
        <v>-0.1849690487820793</v>
      </c>
      <c r="BZ36" s="6" t="n">
        <v>-3667188.061670933</v>
      </c>
      <c r="CA36" s="7" t="n">
        <v>-0.1856024324872552</v>
      </c>
      <c r="CB36" s="6" t="n">
        <v>-2582123.361815874</v>
      </c>
      <c r="CC36" s="7" t="n">
        <v>-0.1951365356834917</v>
      </c>
    </row>
    <row r="37">
      <c r="A37" t="inlineStr">
        <is>
          <t>RC</t>
        </is>
      </c>
      <c r="B37" s="8" t="n">
        <v>2024</v>
      </c>
      <c r="C37" s="9" t="n">
        <v>19301527.6876719</v>
      </c>
      <c r="D37" s="9" t="n">
        <v>11520433.03989188</v>
      </c>
      <c r="E37" s="9" t="n">
        <v>20401125.752544</v>
      </c>
      <c r="F37" s="9" t="n">
        <v>13484788.13216823</v>
      </c>
      <c r="G37" s="9" t="n">
        <v>-1099598.064872099</v>
      </c>
      <c r="H37" s="9" t="n">
        <v>-1964355.092276351</v>
      </c>
      <c r="I37" s="9" t="n">
        <v>359417323.9145057</v>
      </c>
      <c r="J37" s="9" t="n">
        <v>392013558.8901366</v>
      </c>
      <c r="K37" s="9" t="n">
        <v>258999366.5888584</v>
      </c>
      <c r="L37" s="9" t="n">
        <v>24912474.52065573</v>
      </c>
      <c r="M37" s="9" t="n">
        <v>16482183.62374494</v>
      </c>
      <c r="N37" s="9" t="n">
        <v>-5610946.832983827</v>
      </c>
      <c r="O37" s="9" t="n">
        <v>-4961750.583853059</v>
      </c>
      <c r="P37" s="9" t="n">
        <v>473685988.9623145</v>
      </c>
      <c r="Q37" s="9" t="n">
        <v>312987708.2023576</v>
      </c>
      <c r="R37" s="9" t="n">
        <v>24300818.80898007</v>
      </c>
      <c r="S37" s="9" t="n">
        <v>15922879.71077079</v>
      </c>
      <c r="T37" s="9" t="n">
        <v>-4999291.12130817</v>
      </c>
      <c r="U37" s="9" t="n">
        <v>-4402446.670878908</v>
      </c>
      <c r="V37" s="9" t="n">
        <v>460141393.4395044</v>
      </c>
      <c r="W37" s="9" t="n">
        <v>301213864.9899229</v>
      </c>
      <c r="X37" s="9" t="n">
        <v>21894239.28826713</v>
      </c>
      <c r="Y37" s="9" t="n">
        <v>13570754.07223468</v>
      </c>
      <c r="Z37" s="9" t="n">
        <v>-2592711.600595231</v>
      </c>
      <c r="AA37" s="9" t="n">
        <v>-2050321.032342807</v>
      </c>
      <c r="AB37" s="9" t="n">
        <v>405739838.3678768</v>
      </c>
      <c r="AC37" s="9" t="n">
        <v>251254640.3211979</v>
      </c>
      <c r="AD37" s="9" t="n">
        <v>19657579.72872307</v>
      </c>
      <c r="AE37" s="9" t="n">
        <v>11938812.15691074</v>
      </c>
      <c r="AF37" s="9" t="n">
        <v>-356052.0410511729</v>
      </c>
      <c r="AG37" s="9" t="n">
        <v>-418379.1170188579</v>
      </c>
      <c r="AH37" s="9" t="n">
        <v>367953632.6333645</v>
      </c>
      <c r="AI37" s="9" t="n">
        <v>223532887.7478435</v>
      </c>
      <c r="AJ37" s="9" t="n">
        <v>19734084.27517773</v>
      </c>
      <c r="AK37" s="9" t="n">
        <v>11953184.72876202</v>
      </c>
      <c r="AL37" s="9" t="n">
        <v>-432556.5875058305</v>
      </c>
      <c r="AM37" s="9" t="n">
        <v>-432751.688870144</v>
      </c>
      <c r="AN37" s="9" t="n">
        <v>368721179.2039943</v>
      </c>
      <c r="AO37" s="9" t="n">
        <v>223364867.2745959</v>
      </c>
      <c r="AP37" s="9" t="n">
        <v>24382694.92629303</v>
      </c>
      <c r="AQ37" s="9" t="n">
        <v>16149547.69282354</v>
      </c>
      <c r="AR37" s="9" t="n">
        <v>-5081167.238621136</v>
      </c>
      <c r="AS37" s="9" t="n">
        <v>-4629114.652931659</v>
      </c>
      <c r="AT37" s="9" t="n">
        <v>463533654.5027838</v>
      </c>
      <c r="AU37" s="9" t="n">
        <v>306656314.7905854</v>
      </c>
      <c r="AV37" s="9" t="n">
        <v>24912474.52065573</v>
      </c>
      <c r="AW37" s="9" t="n">
        <v>16482183.62374494</v>
      </c>
      <c r="AX37" s="9" t="n">
        <v>-5610946.832983827</v>
      </c>
      <c r="AY37" s="9" t="n">
        <v>-4961750.583853059</v>
      </c>
      <c r="AZ37" s="9" t="n">
        <v>473685988.9623145</v>
      </c>
      <c r="BA37" s="9" t="n">
        <v>312987708.2023576</v>
      </c>
      <c r="BB37" s="9" t="n">
        <v>4511348.768111728</v>
      </c>
      <c r="BC37" s="12" t="n">
        <v>0.2211323445006052</v>
      </c>
      <c r="BD37" s="9" t="n">
        <v>2997395.491576709</v>
      </c>
      <c r="BE37" s="12" t="n">
        <v>0.2222797616246089</v>
      </c>
      <c r="BF37" s="9" t="n">
        <v>3899693.056436073</v>
      </c>
      <c r="BG37" s="12" t="n">
        <v>0.1911508758750622</v>
      </c>
      <c r="BH37" s="9" t="n">
        <v>2438091.578602556</v>
      </c>
      <c r="BI37" s="12" t="n">
        <v>0.180803106041128</v>
      </c>
      <c r="BJ37" s="9" t="n">
        <v>1493113.535723131</v>
      </c>
      <c r="BK37" s="12" t="n">
        <v>0.07318780119459543</v>
      </c>
      <c r="BL37" s="9" t="n">
        <v>85965.94006645493</v>
      </c>
      <c r="BM37" s="10" t="n">
        <v>0.006375030829100049</v>
      </c>
      <c r="BN37" s="9" t="n">
        <v>-743546.0238209255</v>
      </c>
      <c r="BO37" s="12" t="n">
        <v>-0.03644632324901022</v>
      </c>
      <c r="BP37" s="9" t="n">
        <v>-1545975.975257494</v>
      </c>
      <c r="BQ37" s="12" t="n">
        <v>-0.1146459225094933</v>
      </c>
      <c r="BR37" s="9" t="n">
        <v>-667041.4773662686</v>
      </c>
      <c r="BS37" s="12" t="n">
        <v>-0.03269630732427054</v>
      </c>
      <c r="BT37" s="9" t="n">
        <v>-1531603.403406208</v>
      </c>
      <c r="BU37" s="12" t="n">
        <v>-0.1135800865682523</v>
      </c>
      <c r="BV37" s="9" t="n">
        <v>3981569.173749037</v>
      </c>
      <c r="BW37" s="12" t="n">
        <v>0.1951641895669674</v>
      </c>
      <c r="BX37" s="9" t="n">
        <v>2664759.560655307</v>
      </c>
      <c r="BY37" s="12" t="n">
        <v>0.197612267581607</v>
      </c>
      <c r="BZ37" s="9" t="n">
        <v>4511348.768111728</v>
      </c>
      <c r="CA37" s="12" t="n">
        <v>0.2211323445006052</v>
      </c>
      <c r="CB37" s="9" t="n">
        <v>2997395.491576709</v>
      </c>
      <c r="CC37" s="12" t="n">
        <v>0.2222797616246089</v>
      </c>
    </row>
    <row r="38">
      <c r="A38" s="4" t="inlineStr">
        <is>
          <t>RC</t>
        </is>
      </c>
      <c r="B38" s="5" t="n">
        <v>2025</v>
      </c>
      <c r="C38" s="6" t="n">
        <v>35643233.15575062</v>
      </c>
      <c r="D38" s="6" t="n">
        <v>20821112.18235844</v>
      </c>
      <c r="E38" s="6" t="n">
        <v>32738794.51553722</v>
      </c>
      <c r="F38" s="6" t="n">
        <v>17776924.51871278</v>
      </c>
      <c r="G38" s="6" t="n">
        <v>2904438.640213404</v>
      </c>
      <c r="H38" s="6" t="n">
        <v>3044187.663645661</v>
      </c>
      <c r="I38" s="6" t="n">
        <v>684414910.0423199</v>
      </c>
      <c r="J38" s="6" t="n">
        <v>615950686.4496789</v>
      </c>
      <c r="K38" s="6" t="n">
        <v>333700948.2131109</v>
      </c>
      <c r="L38" s="6" t="n">
        <v>30345029.45671649</v>
      </c>
      <c r="M38" s="6" t="n">
        <v>16271446.9600151</v>
      </c>
      <c r="N38" s="6" t="n">
        <v>5298203.699034125</v>
      </c>
      <c r="O38" s="6" t="n">
        <v>4549665.222343347</v>
      </c>
      <c r="P38" s="6" t="n">
        <v>573498292.0231326</v>
      </c>
      <c r="Q38" s="6" t="n">
        <v>307006591.3994089</v>
      </c>
      <c r="R38" s="6" t="n">
        <v>31180393.05176067</v>
      </c>
      <c r="S38" s="6" t="n">
        <v>16960641.4846928</v>
      </c>
      <c r="T38" s="6" t="n">
        <v>4462840.103989946</v>
      </c>
      <c r="U38" s="6" t="n">
        <v>3860470.697665645</v>
      </c>
      <c r="V38" s="6" t="n">
        <v>590246423.2811909</v>
      </c>
      <c r="W38" s="6" t="n">
        <v>320644243.5550572</v>
      </c>
      <c r="X38" s="6" t="n">
        <v>30514692.69925618</v>
      </c>
      <c r="Y38" s="6" t="n">
        <v>17090721.58248503</v>
      </c>
      <c r="Z38" s="6" t="n">
        <v>5128540.45649444</v>
      </c>
      <c r="AA38" s="6" t="n">
        <v>3730390.599873417</v>
      </c>
      <c r="AB38" s="6" t="n">
        <v>592224912.7935842</v>
      </c>
      <c r="AC38" s="6" t="n">
        <v>332302345.4725036</v>
      </c>
      <c r="AD38" s="6" t="n">
        <v>34176024.97230531</v>
      </c>
      <c r="AE38" s="6" t="n">
        <v>19664732.43532804</v>
      </c>
      <c r="AF38" s="6" t="n">
        <v>1467208.183445307</v>
      </c>
      <c r="AG38" s="6" t="n">
        <v>1156379.747030408</v>
      </c>
      <c r="AH38" s="6" t="n">
        <v>655228329.5567471</v>
      </c>
      <c r="AI38" s="6" t="n">
        <v>377036604.1668662</v>
      </c>
      <c r="AJ38" s="6" t="n">
        <v>34255068.79512233</v>
      </c>
      <c r="AK38" s="6" t="n">
        <v>19753378.59799003</v>
      </c>
      <c r="AL38" s="6" t="n">
        <v>1388164.360628294</v>
      </c>
      <c r="AM38" s="6" t="n">
        <v>1067733.584368412</v>
      </c>
      <c r="AN38" s="6" t="n">
        <v>656965789.876344</v>
      </c>
      <c r="AO38" s="6" t="n">
        <v>378870812.1395903</v>
      </c>
      <c r="AP38" s="6" t="n">
        <v>30856829.51340377</v>
      </c>
      <c r="AQ38" s="6" t="n">
        <v>16589689.58260892</v>
      </c>
      <c r="AR38" s="6" t="n">
        <v>4786403.642346846</v>
      </c>
      <c r="AS38" s="6" t="n">
        <v>4231422.599749524</v>
      </c>
      <c r="AT38" s="6" t="n">
        <v>583663606.0263147</v>
      </c>
      <c r="AU38" s="6" t="n">
        <v>313314533.1919264</v>
      </c>
      <c r="AV38" s="6" t="n">
        <v>30345029.45671649</v>
      </c>
      <c r="AW38" s="6" t="n">
        <v>16271446.9600151</v>
      </c>
      <c r="AX38" s="6" t="n">
        <v>5298203.699034125</v>
      </c>
      <c r="AY38" s="6" t="n">
        <v>4549665.222343347</v>
      </c>
      <c r="AZ38" s="6" t="n">
        <v>573498292.0231326</v>
      </c>
      <c r="BA38" s="6" t="n">
        <v>307006591.3994089</v>
      </c>
      <c r="BB38" s="6" t="n">
        <v>-2393765.058820724</v>
      </c>
      <c r="BC38" s="7" t="n">
        <v>-0.07311708003435155</v>
      </c>
      <c r="BD38" s="6" t="n">
        <v>-1505477.558697684</v>
      </c>
      <c r="BE38" s="7" t="n">
        <v>-0.08468717730746683</v>
      </c>
      <c r="BF38" s="6" t="n">
        <v>-1558401.463776544</v>
      </c>
      <c r="BG38" s="7" t="n">
        <v>-0.04760106432865008</v>
      </c>
      <c r="BH38" s="6" t="n">
        <v>-816283.0340199843</v>
      </c>
      <c r="BI38" s="7" t="n">
        <v>-0.04591812454177484</v>
      </c>
      <c r="BJ38" s="6" t="n">
        <v>-2224101.816281039</v>
      </c>
      <c r="BK38" s="7" t="n">
        <v>-0.06793474986458412</v>
      </c>
      <c r="BL38" s="6" t="n">
        <v>-686202.9362277538</v>
      </c>
      <c r="BM38" s="7" t="n">
        <v>-0.03860076783840906</v>
      </c>
      <c r="BN38" s="6" t="n">
        <v>1437230.456768095</v>
      </c>
      <c r="BO38" s="7" t="n">
        <v>0.04389991989735642</v>
      </c>
      <c r="BP38" s="6" t="n">
        <v>1887807.916615255</v>
      </c>
      <c r="BQ38" s="7" t="n">
        <v>0.1061942921919967</v>
      </c>
      <c r="BR38" s="6" t="n">
        <v>1516274.279585108</v>
      </c>
      <c r="BS38" s="7" t="n">
        <v>0.04631429782381</v>
      </c>
      <c r="BT38" s="6" t="n">
        <v>1976454.079277251</v>
      </c>
      <c r="BU38" s="7" t="n">
        <v>0.1111808781770293</v>
      </c>
      <c r="BV38" s="6" t="n">
        <v>-1881965.002133444</v>
      </c>
      <c r="BW38" s="7" t="n">
        <v>-0.05748424857977891</v>
      </c>
      <c r="BX38" s="6" t="n">
        <v>-1187234.936103862</v>
      </c>
      <c r="BY38" s="7" t="n">
        <v>-0.06678517056502802</v>
      </c>
      <c r="BZ38" s="6" t="n">
        <v>-2393765.058820724</v>
      </c>
      <c r="CA38" s="7" t="n">
        <v>-0.07311708003435155</v>
      </c>
      <c r="CB38" s="6" t="n">
        <v>-1505477.558697684</v>
      </c>
      <c r="CC38" s="7" t="n">
        <v>-0.08468717730746683</v>
      </c>
    </row>
    <row r="39">
      <c r="A39" t="inlineStr">
        <is>
          <t>RC</t>
        </is>
      </c>
      <c r="B39" s="8" t="n">
        <v>2026</v>
      </c>
      <c r="C39" s="9" t="n">
        <v>17927919.99363567</v>
      </c>
      <c r="D39" s="9" t="n">
        <v>10472653.58203373</v>
      </c>
      <c r="E39" s="9" t="n">
        <v>14417102.43292147</v>
      </c>
      <c r="F39" s="9" t="n">
        <v>7952491.589253904</v>
      </c>
      <c r="G39" s="9" t="n">
        <v>3510817.5607142</v>
      </c>
      <c r="H39" s="9" t="n">
        <v>2520161.99277983</v>
      </c>
      <c r="I39" s="9" t="n">
        <v>312281516.9869051</v>
      </c>
      <c r="J39" s="9" t="n">
        <v>250003903.242155</v>
      </c>
      <c r="K39" s="9" t="n">
        <v>137584768.7790334</v>
      </c>
      <c r="L39" s="9" t="n">
        <v>14953339.62519243</v>
      </c>
      <c r="M39" s="9" t="n">
        <v>8318808.67483202</v>
      </c>
      <c r="N39" s="9" t="n">
        <v>2974580.368443247</v>
      </c>
      <c r="O39" s="9" t="n">
        <v>2153844.907201715</v>
      </c>
      <c r="P39" s="9" t="n">
        <v>260746924.678318</v>
      </c>
      <c r="Q39" s="9" t="n">
        <v>144936865.4470275</v>
      </c>
      <c r="R39" s="9" t="n">
        <v>15406541.09361299</v>
      </c>
      <c r="S39" s="9" t="n">
        <v>8645577.774408391</v>
      </c>
      <c r="T39" s="9" t="n">
        <v>2521378.900022687</v>
      </c>
      <c r="U39" s="9" t="n">
        <v>1827075.807625344</v>
      </c>
      <c r="V39" s="9" t="n">
        <v>268629963.1736599</v>
      </c>
      <c r="W39" s="9" t="n">
        <v>150642542.2772461</v>
      </c>
      <c r="X39" s="9" t="n">
        <v>21277252.18311209</v>
      </c>
      <c r="Y39" s="9" t="n">
        <v>12748365.52714394</v>
      </c>
      <c r="Z39" s="9" t="n">
        <v>-3349332.189476418</v>
      </c>
      <c r="AA39" s="9" t="n">
        <v>-2275711.945110203</v>
      </c>
      <c r="AB39" s="9" t="n">
        <v>370717751.8636211</v>
      </c>
      <c r="AC39" s="9" t="n">
        <v>222076187.8888718</v>
      </c>
      <c r="AD39" s="9" t="n">
        <v>19213725.79412263</v>
      </c>
      <c r="AE39" s="9" t="n">
        <v>11344735.32730772</v>
      </c>
      <c r="AF39" s="9" t="n">
        <v>-1285805.800486958</v>
      </c>
      <c r="AG39" s="9" t="n">
        <v>-872081.745273985</v>
      </c>
      <c r="AH39" s="9" t="n">
        <v>334814454.3646842</v>
      </c>
      <c r="AI39" s="9" t="n">
        <v>197685476.8353894</v>
      </c>
      <c r="AJ39" s="9" t="n">
        <v>19426536.51178455</v>
      </c>
      <c r="AK39" s="9" t="n">
        <v>11494956.42015272</v>
      </c>
      <c r="AL39" s="9" t="n">
        <v>-1498616.518148877</v>
      </c>
      <c r="AM39" s="9" t="n">
        <v>-1022302.838118986</v>
      </c>
      <c r="AN39" s="9" t="n">
        <v>338534892.451265</v>
      </c>
      <c r="AO39" s="9" t="n">
        <v>200317219.6573779</v>
      </c>
      <c r="AP39" s="9" t="n">
        <v>15021568.91005206</v>
      </c>
      <c r="AQ39" s="9" t="n">
        <v>8366955.523902792</v>
      </c>
      <c r="AR39" s="9" t="n">
        <v>2906351.083583612</v>
      </c>
      <c r="AS39" s="9" t="n">
        <v>2105698.058130942</v>
      </c>
      <c r="AT39" s="9" t="n">
        <v>261877937.5943741</v>
      </c>
      <c r="AU39" s="9" t="n">
        <v>145736344.5294605</v>
      </c>
      <c r="AV39" s="9" t="n">
        <v>14953339.62519243</v>
      </c>
      <c r="AW39" s="9" t="n">
        <v>8318808.67483202</v>
      </c>
      <c r="AX39" s="9" t="n">
        <v>2974580.368443247</v>
      </c>
      <c r="AY39" s="9" t="n">
        <v>2153844.907201715</v>
      </c>
      <c r="AZ39" s="9" t="n">
        <v>260746924.678318</v>
      </c>
      <c r="BA39" s="9" t="n">
        <v>144936865.4470275</v>
      </c>
      <c r="BB39" s="9" t="n">
        <v>536237.1922709532</v>
      </c>
      <c r="BC39" s="12" t="n">
        <v>0.03719451913211456</v>
      </c>
      <c r="BD39" s="9" t="n">
        <v>366317.0855781157</v>
      </c>
      <c r="BE39" s="12" t="n">
        <v>0.04606318428215819</v>
      </c>
      <c r="BF39" s="9" t="n">
        <v>989438.6606915146</v>
      </c>
      <c r="BG39" s="12" t="n">
        <v>0.06862950896652646</v>
      </c>
      <c r="BH39" s="9" t="n">
        <v>693086.1851544864</v>
      </c>
      <c r="BI39" s="12" t="n">
        <v>0.08715333771506839</v>
      </c>
      <c r="BJ39" s="9" t="n">
        <v>6860149.750190619</v>
      </c>
      <c r="BK39" s="12" t="n">
        <v>0.475834154755359</v>
      </c>
      <c r="BL39" s="9" t="n">
        <v>4795873.937890032</v>
      </c>
      <c r="BM39" s="12" t="n">
        <v>0.6030655781353649</v>
      </c>
      <c r="BN39" s="9" t="n">
        <v>4796623.36120116</v>
      </c>
      <c r="BO39" s="12" t="n">
        <v>0.3327037026696893</v>
      </c>
      <c r="BP39" s="9" t="n">
        <v>3392243.738053815</v>
      </c>
      <c r="BQ39" s="12" t="n">
        <v>0.4265636373181091</v>
      </c>
      <c r="BR39" s="9" t="n">
        <v>5009434.078863077</v>
      </c>
      <c r="BS39" s="12" t="n">
        <v>0.3474646935589517</v>
      </c>
      <c r="BT39" s="9" t="n">
        <v>3542464.830898816</v>
      </c>
      <c r="BU39" s="12" t="n">
        <v>0.4454534520584343</v>
      </c>
      <c r="BV39" s="9" t="n">
        <v>604466.4771305881</v>
      </c>
      <c r="BW39" s="12" t="n">
        <v>0.0419270432420795</v>
      </c>
      <c r="BX39" s="9" t="n">
        <v>414463.9346488882</v>
      </c>
      <c r="BY39" s="12" t="n">
        <v>0.05211749424657647</v>
      </c>
      <c r="BZ39" s="9" t="n">
        <v>536237.1922709532</v>
      </c>
      <c r="CA39" s="12" t="n">
        <v>0.03719451913211456</v>
      </c>
      <c r="CB39" s="9" t="n">
        <v>366317.0855781157</v>
      </c>
      <c r="CC39" s="12" t="n">
        <v>0.04606318428215819</v>
      </c>
    </row>
    <row r="40">
      <c r="A40" s="4" t="inlineStr">
        <is>
          <t>Vida</t>
        </is>
      </c>
      <c r="B40" s="5" t="n">
        <v>2023</v>
      </c>
      <c r="C40" s="6" t="n">
        <v>48576354.17579751</v>
      </c>
      <c r="D40" s="6" t="n">
        <v>47164976.24647604</v>
      </c>
      <c r="E40" s="6" t="n">
        <v>46699074.53182864</v>
      </c>
      <c r="F40" s="6" t="n">
        <v>44735401.91929732</v>
      </c>
      <c r="G40" s="6" t="n">
        <v>1877279.643968863</v>
      </c>
      <c r="H40" s="6" t="n">
        <v>2429574.327178724</v>
      </c>
      <c r="I40" s="6" t="n">
        <v>847937818.3864291</v>
      </c>
      <c r="J40" s="6" t="n">
        <v>817861764.0139961</v>
      </c>
      <c r="K40" s="6" t="n">
        <v>783619529.5647146</v>
      </c>
      <c r="L40" s="6" t="n">
        <v>43880348.14816389</v>
      </c>
      <c r="M40" s="6" t="n">
        <v>41859207.35923954</v>
      </c>
      <c r="N40" s="6" t="n">
        <v>4696006.027633619</v>
      </c>
      <c r="O40" s="6" t="n">
        <v>5305768.887236498</v>
      </c>
      <c r="P40" s="6" t="n">
        <v>774062192.3901118</v>
      </c>
      <c r="Q40" s="6" t="n">
        <v>738551863.1773463</v>
      </c>
      <c r="R40" s="6" t="n">
        <v>43863238.22996853</v>
      </c>
      <c r="S40" s="6" t="n">
        <v>41931262.46956854</v>
      </c>
      <c r="T40" s="6" t="n">
        <v>4713115.945828985</v>
      </c>
      <c r="U40" s="6" t="n">
        <v>5233713.776907502</v>
      </c>
      <c r="V40" s="6" t="n">
        <v>772870133.2913299</v>
      </c>
      <c r="W40" s="6" t="n">
        <v>738948064.5700158</v>
      </c>
      <c r="X40" s="6" t="n">
        <v>46305972.27090178</v>
      </c>
      <c r="Y40" s="6" t="n">
        <v>44699742.40151979</v>
      </c>
      <c r="Z40" s="6" t="n">
        <v>2270381.904895724</v>
      </c>
      <c r="AA40" s="6" t="n">
        <v>2465233.844956252</v>
      </c>
      <c r="AB40" s="6" t="n">
        <v>811684026.5926571</v>
      </c>
      <c r="AC40" s="6" t="n">
        <v>783526321.5530564</v>
      </c>
      <c r="AD40" s="6" t="n">
        <v>47351327.4242434</v>
      </c>
      <c r="AE40" s="6" t="n">
        <v>45739839.8989322</v>
      </c>
      <c r="AF40" s="6" t="n">
        <v>1225026.75155411</v>
      </c>
      <c r="AG40" s="6" t="n">
        <v>1425136.347543833</v>
      </c>
      <c r="AH40" s="6" t="n">
        <v>827366515.0555577</v>
      </c>
      <c r="AI40" s="6" t="n">
        <v>799256761.8995724</v>
      </c>
      <c r="AJ40" s="6" t="n">
        <v>47351327.4242434</v>
      </c>
      <c r="AK40" s="6" t="n">
        <v>45739839.8989322</v>
      </c>
      <c r="AL40" s="6" t="n">
        <v>1225026.75155411</v>
      </c>
      <c r="AM40" s="6" t="n">
        <v>1425136.347543833</v>
      </c>
      <c r="AN40" s="6" t="n">
        <v>827366515.0555577</v>
      </c>
      <c r="AO40" s="6" t="n">
        <v>799256761.8995724</v>
      </c>
      <c r="AP40" s="6" t="n">
        <v>43860692.11470869</v>
      </c>
      <c r="AQ40" s="6" t="n">
        <v>41843850.7403468</v>
      </c>
      <c r="AR40" s="6" t="n">
        <v>4715662.061088815</v>
      </c>
      <c r="AS40" s="6" t="n">
        <v>5321125.506129239</v>
      </c>
      <c r="AT40" s="6" t="n">
        <v>772439562.7388467</v>
      </c>
      <c r="AU40" s="6" t="n">
        <v>737076938.2312162</v>
      </c>
      <c r="AV40" s="6" t="n">
        <v>44088216.6004219</v>
      </c>
      <c r="AW40" s="6" t="n">
        <v>42167103.07997519</v>
      </c>
      <c r="AX40" s="6" t="n">
        <v>4488137.575375609</v>
      </c>
      <c r="AY40" s="6" t="n">
        <v>4997873.166500852</v>
      </c>
      <c r="AZ40" s="6" t="n">
        <v>777016149.4853343</v>
      </c>
      <c r="BA40" s="6" t="n">
        <v>743266409.198076</v>
      </c>
      <c r="BB40" s="6" t="n">
        <v>-2818726.38366475</v>
      </c>
      <c r="BC40" s="7" t="n">
        <v>-0.06035936283370226</v>
      </c>
      <c r="BD40" s="6" t="n">
        <v>-2876194.560057774</v>
      </c>
      <c r="BE40" s="7" t="n">
        <v>-0.06429347757390065</v>
      </c>
      <c r="BF40" s="6" t="n">
        <v>-2835836.301860116</v>
      </c>
      <c r="BG40" s="7" t="n">
        <v>-0.06072574949911048</v>
      </c>
      <c r="BH40" s="6" t="n">
        <v>-2804139.449728779</v>
      </c>
      <c r="BI40" s="7" t="n">
        <v>-0.06268278207911149</v>
      </c>
      <c r="BJ40" s="6" t="n">
        <v>-393102.2609268576</v>
      </c>
      <c r="BK40" s="11" t="n">
        <v>-0.008417774117963114</v>
      </c>
      <c r="BL40" s="6" t="n">
        <v>-35659.51777752489</v>
      </c>
      <c r="BM40" s="11" t="n">
        <v>-0.0007971207644865844</v>
      </c>
      <c r="BN40" s="6" t="n">
        <v>652252.8924147561</v>
      </c>
      <c r="BO40" s="11" t="n">
        <v>0.01396714814916087</v>
      </c>
      <c r="BP40" s="6" t="n">
        <v>1004437.979634888</v>
      </c>
      <c r="BQ40" s="7" t="n">
        <v>0.02245286588565573</v>
      </c>
      <c r="BR40" s="6" t="n">
        <v>652252.8924147561</v>
      </c>
      <c r="BS40" s="11" t="n">
        <v>0.01396714814916087</v>
      </c>
      <c r="BT40" s="6" t="n">
        <v>1004437.979634888</v>
      </c>
      <c r="BU40" s="7" t="n">
        <v>0.02245286588565573</v>
      </c>
      <c r="BV40" s="6" t="n">
        <v>-2838382.41711995</v>
      </c>
      <c r="BW40" s="7" t="n">
        <v>-0.06078027124896012</v>
      </c>
      <c r="BX40" s="6" t="n">
        <v>-2891551.178950518</v>
      </c>
      <c r="BY40" s="7" t="n">
        <v>-0.06463675422357618</v>
      </c>
      <c r="BZ40" s="6" t="n">
        <v>-2610857.931406744</v>
      </c>
      <c r="CA40" s="7" t="n">
        <v>-0.05590813003429573</v>
      </c>
      <c r="CB40" s="6" t="n">
        <v>-2568298.839322127</v>
      </c>
      <c r="CC40" s="7" t="n">
        <v>-0.05741088107256395</v>
      </c>
    </row>
    <row r="41">
      <c r="A41" t="inlineStr">
        <is>
          <t>Vida</t>
        </is>
      </c>
      <c r="B41" s="8" t="n">
        <v>2024</v>
      </c>
      <c r="C41" s="9" t="n">
        <v>54189019.13742035</v>
      </c>
      <c r="D41" s="9" t="n">
        <v>50971475.03299837</v>
      </c>
      <c r="E41" s="9" t="n">
        <v>52641314.64952071</v>
      </c>
      <c r="F41" s="9" t="n">
        <v>51126596.06859334</v>
      </c>
      <c r="G41" s="9" t="n">
        <v>1547704.487899639</v>
      </c>
      <c r="H41" s="9" t="n">
        <v>-155121.0355949663</v>
      </c>
      <c r="I41" s="9" t="n">
        <v>1008525771.614852</v>
      </c>
      <c r="J41" s="9" t="n">
        <v>990884969.9646809</v>
      </c>
      <c r="K41" s="9" t="n">
        <v>967088048.4221497</v>
      </c>
      <c r="L41" s="9" t="n">
        <v>52558749.32358158</v>
      </c>
      <c r="M41" s="9" t="n">
        <v>51587135.93237798</v>
      </c>
      <c r="N41" s="9" t="n">
        <v>1630269.813838765</v>
      </c>
      <c r="O41" s="9" t="n">
        <v>-615660.8993796036</v>
      </c>
      <c r="P41" s="9" t="n">
        <v>986295522.7904063</v>
      </c>
      <c r="Q41" s="9" t="n">
        <v>974138859.36287</v>
      </c>
      <c r="R41" s="9" t="n">
        <v>52468404.53796382</v>
      </c>
      <c r="S41" s="9" t="n">
        <v>51305172.8488628</v>
      </c>
      <c r="T41" s="9" t="n">
        <v>1720614.599456534</v>
      </c>
      <c r="U41" s="9" t="n">
        <v>-333697.8158644214</v>
      </c>
      <c r="V41" s="9" t="n">
        <v>982872862.2020849</v>
      </c>
      <c r="W41" s="9" t="n">
        <v>966637968.602551</v>
      </c>
      <c r="X41" s="9" t="n">
        <v>53454481.44254635</v>
      </c>
      <c r="Y41" s="9" t="n">
        <v>51088133.28593406</v>
      </c>
      <c r="Z41" s="9" t="n">
        <v>734537.6948739979</v>
      </c>
      <c r="AA41" s="9" t="n">
        <v>-116658.2529356852</v>
      </c>
      <c r="AB41" s="9" t="n">
        <v>983876810.4570684</v>
      </c>
      <c r="AC41" s="9" t="n">
        <v>942277725.8939848</v>
      </c>
      <c r="AD41" s="9" t="n">
        <v>52883959.66544226</v>
      </c>
      <c r="AE41" s="9" t="n">
        <v>50443390.4061413</v>
      </c>
      <c r="AF41" s="9" t="n">
        <v>1305059.471978091</v>
      </c>
      <c r="AG41" s="9" t="n">
        <v>528084.6268570675</v>
      </c>
      <c r="AH41" s="9" t="n">
        <v>988480526.6073295</v>
      </c>
      <c r="AI41" s="9" t="n">
        <v>945028405.0315297</v>
      </c>
      <c r="AJ41" s="9" t="n">
        <v>52883959.66544226</v>
      </c>
      <c r="AK41" s="9" t="n">
        <v>50443390.4061413</v>
      </c>
      <c r="AL41" s="9" t="n">
        <v>1305059.471978091</v>
      </c>
      <c r="AM41" s="9" t="n">
        <v>528084.6268570675</v>
      </c>
      <c r="AN41" s="9" t="n">
        <v>988480526.6073295</v>
      </c>
      <c r="AO41" s="9" t="n">
        <v>945028405.0315297</v>
      </c>
      <c r="AP41" s="9" t="n">
        <v>52112272.21252575</v>
      </c>
      <c r="AQ41" s="9" t="n">
        <v>51182938.34719177</v>
      </c>
      <c r="AR41" s="9" t="n">
        <v>2076746.924894605</v>
      </c>
      <c r="AS41" s="9" t="n">
        <v>-211463.3141934015</v>
      </c>
      <c r="AT41" s="9" t="n">
        <v>977784307.1871989</v>
      </c>
      <c r="AU41" s="9" t="n">
        <v>966491997.5245037</v>
      </c>
      <c r="AV41" s="9" t="n">
        <v>52821568.95347312</v>
      </c>
      <c r="AW41" s="9" t="n">
        <v>51562351.22082455</v>
      </c>
      <c r="AX41" s="9" t="n">
        <v>1367450.183947232</v>
      </c>
      <c r="AY41" s="9" t="n">
        <v>-590876.187826179</v>
      </c>
      <c r="AZ41" s="9" t="n">
        <v>989290971.9405642</v>
      </c>
      <c r="BA41" s="9" t="n">
        <v>971040443.8990359</v>
      </c>
      <c r="BB41" s="9" t="n">
        <v>-82565.32593912631</v>
      </c>
      <c r="BC41" s="10" t="n">
        <v>-0.001568451063367925</v>
      </c>
      <c r="BD41" s="9" t="n">
        <v>460539.863784641</v>
      </c>
      <c r="BE41" s="10" t="n">
        <v>0.009007833479990799</v>
      </c>
      <c r="BF41" s="9" t="n">
        <v>-172910.1115568951</v>
      </c>
      <c r="BG41" s="10" t="n">
        <v>-0.003284684524087382</v>
      </c>
      <c r="BH41" s="9" t="n">
        <v>178576.7802694589</v>
      </c>
      <c r="BI41" s="10" t="n">
        <v>0.003492835314713181</v>
      </c>
      <c r="BJ41" s="9" t="n">
        <v>813166.7930256426</v>
      </c>
      <c r="BK41" s="10" t="n">
        <v>0.01544731164940704</v>
      </c>
      <c r="BL41" s="9" t="n">
        <v>-38462.78265927732</v>
      </c>
      <c r="BM41" s="10" t="n">
        <v>-0.0007523047810121023</v>
      </c>
      <c r="BN41" s="9" t="n">
        <v>242645.015921548</v>
      </c>
      <c r="BO41" s="10" t="n">
        <v>0.004609402662852328</v>
      </c>
      <c r="BP41" s="9" t="n">
        <v>-683205.6624520347</v>
      </c>
      <c r="BQ41" s="10" t="n">
        <v>-0.01336301876102646</v>
      </c>
      <c r="BR41" s="9" t="n">
        <v>242645.015921548</v>
      </c>
      <c r="BS41" s="10" t="n">
        <v>0.004609402662852328</v>
      </c>
      <c r="BT41" s="9" t="n">
        <v>-683205.6624520347</v>
      </c>
      <c r="BU41" s="10" t="n">
        <v>-0.01336301876102646</v>
      </c>
      <c r="BV41" s="9" t="n">
        <v>-529042.4369949624</v>
      </c>
      <c r="BW41" s="10" t="n">
        <v>-0.0100499472803303</v>
      </c>
      <c r="BX41" s="9" t="n">
        <v>56342.27859843522</v>
      </c>
      <c r="BY41" s="10" t="n">
        <v>0.001102015055390043</v>
      </c>
      <c r="BZ41" s="9" t="n">
        <v>180254.3039524108</v>
      </c>
      <c r="CA41" s="10" t="n">
        <v>0.003424198372561959</v>
      </c>
      <c r="CB41" s="9" t="n">
        <v>435755.1522312164</v>
      </c>
      <c r="CC41" s="10" t="n">
        <v>0.008523062079990444</v>
      </c>
    </row>
    <row r="42">
      <c r="A42" s="4" t="inlineStr">
        <is>
          <t>Vida</t>
        </is>
      </c>
      <c r="B42" s="5" t="n">
        <v>2025</v>
      </c>
      <c r="C42" s="6" t="n">
        <v>84605629.39626956</v>
      </c>
      <c r="D42" s="6" t="n">
        <v>58399539.10802925</v>
      </c>
      <c r="E42" s="6" t="n">
        <v>61818635.0694303</v>
      </c>
      <c r="F42" s="6" t="n">
        <v>49129435.30292298</v>
      </c>
      <c r="G42" s="6" t="n">
        <v>22786994.32683926</v>
      </c>
      <c r="H42" s="6" t="n">
        <v>9270103.805106275</v>
      </c>
      <c r="I42" s="6" t="n">
        <v>1600021091.698267</v>
      </c>
      <c r="J42" s="6" t="n">
        <v>1168050946.353546</v>
      </c>
      <c r="K42" s="6" t="n">
        <v>928034672.7862688</v>
      </c>
      <c r="L42" s="6" t="n">
        <v>63357396.81848121</v>
      </c>
      <c r="M42" s="6" t="n">
        <v>51747164.12460032</v>
      </c>
      <c r="N42" s="6" t="n">
        <v>21248232.57778835</v>
      </c>
      <c r="O42" s="6" t="n">
        <v>6652374.983428933</v>
      </c>
      <c r="P42" s="6" t="n">
        <v>1204130040.741797</v>
      </c>
      <c r="Q42" s="6" t="n">
        <v>983730224.5069181</v>
      </c>
      <c r="R42" s="6" t="n">
        <v>64336681.22542731</v>
      </c>
      <c r="S42" s="6" t="n">
        <v>51772515.78531385</v>
      </c>
      <c r="T42" s="6" t="n">
        <v>20268948.17084225</v>
      </c>
      <c r="U42" s="6" t="n">
        <v>6627023.322715398</v>
      </c>
      <c r="V42" s="6" t="n">
        <v>1222410191.266674</v>
      </c>
      <c r="W42" s="6" t="n">
        <v>983928323.1262107</v>
      </c>
      <c r="X42" s="6" t="n">
        <v>64105297.38504682</v>
      </c>
      <c r="Y42" s="6" t="n">
        <v>48034905.40556502</v>
      </c>
      <c r="Z42" s="6" t="n">
        <v>20500332.01122274</v>
      </c>
      <c r="AA42" s="6" t="n">
        <v>10364633.70246422</v>
      </c>
      <c r="AB42" s="6" t="n">
        <v>1225078319.453082</v>
      </c>
      <c r="AC42" s="6" t="n">
        <v>917557892.8099099</v>
      </c>
      <c r="AD42" s="6" t="n">
        <v>75648167.80871089</v>
      </c>
      <c r="AE42" s="6" t="n">
        <v>55030193.99627025</v>
      </c>
      <c r="AF42" s="6" t="n">
        <v>8957461.587558674</v>
      </c>
      <c r="AG42" s="6" t="n">
        <v>3369345.111759005</v>
      </c>
      <c r="AH42" s="6" t="n">
        <v>1430388378.173548</v>
      </c>
      <c r="AI42" s="6" t="n">
        <v>1040665113.398862</v>
      </c>
      <c r="AJ42" s="6" t="n">
        <v>75648167.80871089</v>
      </c>
      <c r="AK42" s="6" t="n">
        <v>55030193.99627025</v>
      </c>
      <c r="AL42" s="6" t="n">
        <v>8957461.587558674</v>
      </c>
      <c r="AM42" s="6" t="n">
        <v>3369345.111759005</v>
      </c>
      <c r="AN42" s="6" t="n">
        <v>1430388378.173548</v>
      </c>
      <c r="AO42" s="6" t="n">
        <v>1040665113.398862</v>
      </c>
      <c r="AP42" s="6" t="n">
        <v>64127469.46439195</v>
      </c>
      <c r="AQ42" s="6" t="n">
        <v>52326568.90831147</v>
      </c>
      <c r="AR42" s="6" t="n">
        <v>20478159.93187761</v>
      </c>
      <c r="AS42" s="6" t="n">
        <v>6072970.199717779</v>
      </c>
      <c r="AT42" s="6" t="n">
        <v>1218288639.092161</v>
      </c>
      <c r="AU42" s="6" t="n">
        <v>994445726.344174</v>
      </c>
      <c r="AV42" s="6" t="n">
        <v>65621472.72447918</v>
      </c>
      <c r="AW42" s="6" t="n">
        <v>52315609.21544389</v>
      </c>
      <c r="AX42" s="6" t="n">
        <v>18984156.67179038</v>
      </c>
      <c r="AY42" s="6" t="n">
        <v>6083929.892585367</v>
      </c>
      <c r="AZ42" s="6" t="n">
        <v>1246557745.117923</v>
      </c>
      <c r="BA42" s="6" t="n">
        <v>994118238.4715906</v>
      </c>
      <c r="BB42" s="6" t="n">
        <v>1538761.749050908</v>
      </c>
      <c r="BC42" s="7" t="n">
        <v>0.02489155167083</v>
      </c>
      <c r="BD42" s="6" t="n">
        <v>2617728.821677342</v>
      </c>
      <c r="BE42" s="7" t="n">
        <v>0.05328229004744126</v>
      </c>
      <c r="BF42" s="6" t="n">
        <v>2518046.155997008</v>
      </c>
      <c r="BG42" s="7" t="n">
        <v>0.0407328009291845</v>
      </c>
      <c r="BH42" s="6" t="n">
        <v>2643080.482390873</v>
      </c>
      <c r="BI42" s="7" t="n">
        <v>0.05379830779845381</v>
      </c>
      <c r="BJ42" s="6" t="n">
        <v>2286662.315616518</v>
      </c>
      <c r="BK42" s="7" t="n">
        <v>0.03698985448398046</v>
      </c>
      <c r="BL42" s="6" t="n">
        <v>-1094529.897357956</v>
      </c>
      <c r="BM42" s="7" t="n">
        <v>-0.0222784953787742</v>
      </c>
      <c r="BN42" s="6" t="n">
        <v>13829532.73928059</v>
      </c>
      <c r="BO42" s="7" t="n">
        <v>0.2237113893528746</v>
      </c>
      <c r="BP42" s="6" t="n">
        <v>5900758.693347268</v>
      </c>
      <c r="BQ42" s="7" t="n">
        <v>0.1201063813773613</v>
      </c>
      <c r="BR42" s="6" t="n">
        <v>13829532.73928059</v>
      </c>
      <c r="BS42" s="7" t="n">
        <v>0.2237113893528746</v>
      </c>
      <c r="BT42" s="6" t="n">
        <v>5900758.693347268</v>
      </c>
      <c r="BU42" s="7" t="n">
        <v>0.1201063813773613</v>
      </c>
      <c r="BV42" s="6" t="n">
        <v>2308834.394961655</v>
      </c>
      <c r="BW42" s="7" t="n">
        <v>0.03734851784366536</v>
      </c>
      <c r="BX42" s="6" t="n">
        <v>3197133.605388492</v>
      </c>
      <c r="BY42" s="7" t="n">
        <v>0.06507572467860784</v>
      </c>
      <c r="BZ42" s="6" t="n">
        <v>3802837.655048884</v>
      </c>
      <c r="CA42" s="7" t="n">
        <v>0.0615160404427857</v>
      </c>
      <c r="CB42" s="6" t="n">
        <v>3186173.912520908</v>
      </c>
      <c r="CC42" s="7" t="n">
        <v>0.06485264674579609</v>
      </c>
    </row>
    <row r="43">
      <c r="A43" t="inlineStr">
        <is>
          <t>Vida</t>
        </is>
      </c>
      <c r="B43" s="8" t="n">
        <v>2026</v>
      </c>
      <c r="C43" s="9" t="n">
        <v>74149562.68691963</v>
      </c>
      <c r="D43" s="9" t="n">
        <v>51182176.84660309</v>
      </c>
      <c r="E43" s="9" t="n">
        <v>43820727.00610282</v>
      </c>
      <c r="F43" s="9" t="n">
        <v>43670776.12578341</v>
      </c>
      <c r="G43" s="9" t="n">
        <v>30328835.68081681</v>
      </c>
      <c r="H43" s="9" t="n">
        <v>7511400.720819671</v>
      </c>
      <c r="I43" s="9" t="n">
        <v>1295909325.339975</v>
      </c>
      <c r="J43" s="9" t="n">
        <v>764320772.2654598</v>
      </c>
      <c r="K43" s="9" t="n">
        <v>763504791.8450075</v>
      </c>
      <c r="L43" s="9" t="n">
        <v>46973576.90262906</v>
      </c>
      <c r="M43" s="9" t="n">
        <v>45917975.01619079</v>
      </c>
      <c r="N43" s="9" t="n">
        <v>27175985.78429057</v>
      </c>
      <c r="O43" s="9" t="n">
        <v>5264201.830412298</v>
      </c>
      <c r="P43" s="9" t="n">
        <v>822660730.8907316</v>
      </c>
      <c r="Q43" s="9" t="n">
        <v>805107902.8562222</v>
      </c>
      <c r="R43" s="9" t="n">
        <v>47271415.01682201</v>
      </c>
      <c r="S43" s="9" t="n">
        <v>45539566.50932696</v>
      </c>
      <c r="T43" s="9" t="n">
        <v>26878147.67009762</v>
      </c>
      <c r="U43" s="9" t="n">
        <v>5642610.337276123</v>
      </c>
      <c r="V43" s="9" t="n">
        <v>827934722.3489484</v>
      </c>
      <c r="W43" s="9" t="n">
        <v>798417270.0541474</v>
      </c>
      <c r="X43" s="9" t="n">
        <v>65258529.89358467</v>
      </c>
      <c r="Y43" s="9" t="n">
        <v>51828222.88181899</v>
      </c>
      <c r="Z43" s="9" t="n">
        <v>8891032.793334957</v>
      </c>
      <c r="AA43" s="9" t="n">
        <v>-646046.0352159031</v>
      </c>
      <c r="AB43" s="9" t="n">
        <v>1143194746.835548</v>
      </c>
      <c r="AC43" s="9" t="n">
        <v>907958509.9911944</v>
      </c>
      <c r="AD43" s="9" t="n">
        <v>54801734.91764404</v>
      </c>
      <c r="AE43" s="9" t="n">
        <v>44908019.78695877</v>
      </c>
      <c r="AF43" s="9" t="n">
        <v>19347827.76927559</v>
      </c>
      <c r="AG43" s="9" t="n">
        <v>6274157.059644315</v>
      </c>
      <c r="AH43" s="9" t="n">
        <v>960128574.8465765</v>
      </c>
      <c r="AI43" s="9" t="n">
        <v>786672539.127251</v>
      </c>
      <c r="AJ43" s="9" t="n">
        <v>54801734.91764404</v>
      </c>
      <c r="AK43" s="9" t="n">
        <v>44908019.78695877</v>
      </c>
      <c r="AL43" s="9" t="n">
        <v>19347827.76927559</v>
      </c>
      <c r="AM43" s="9" t="n">
        <v>6274157.059644315</v>
      </c>
      <c r="AN43" s="9" t="n">
        <v>960128574.8465765</v>
      </c>
      <c r="AO43" s="9" t="n">
        <v>786672539.127251</v>
      </c>
      <c r="AP43" s="9" t="n">
        <v>46399402.29588987</v>
      </c>
      <c r="AQ43" s="9" t="n">
        <v>45583399.79776865</v>
      </c>
      <c r="AR43" s="9" t="n">
        <v>27750160.39102976</v>
      </c>
      <c r="AS43" s="9" t="n">
        <v>5598777.048834436</v>
      </c>
      <c r="AT43" s="9" t="n">
        <v>812726057.1933564</v>
      </c>
      <c r="AU43" s="9" t="n">
        <v>799283306.018137</v>
      </c>
      <c r="AV43" s="9" t="n">
        <v>50021328.98916128</v>
      </c>
      <c r="AW43" s="9" t="n">
        <v>46464308.37443695</v>
      </c>
      <c r="AX43" s="9" t="n">
        <v>24128233.69775835</v>
      </c>
      <c r="AY43" s="9" t="n">
        <v>4717868.472166136</v>
      </c>
      <c r="AZ43" s="9" t="n">
        <v>875778957.0410235</v>
      </c>
      <c r="BA43" s="9" t="n">
        <v>814370071.8388196</v>
      </c>
      <c r="BB43" s="9" t="n">
        <v>3152849.89652624</v>
      </c>
      <c r="BC43" s="12" t="n">
        <v>0.0719488267752187</v>
      </c>
      <c r="BD43" s="9" t="n">
        <v>2247198.890407376</v>
      </c>
      <c r="BE43" s="12" t="n">
        <v>0.05145772733543474</v>
      </c>
      <c r="BF43" s="9" t="n">
        <v>3450688.010719195</v>
      </c>
      <c r="BG43" s="12" t="n">
        <v>0.07874556737131781</v>
      </c>
      <c r="BH43" s="9" t="n">
        <v>1868790.383543551</v>
      </c>
      <c r="BI43" s="12" t="n">
        <v>0.04279269913044227</v>
      </c>
      <c r="BJ43" s="9" t="n">
        <v>21437802.88748185</v>
      </c>
      <c r="BK43" s="12" t="n">
        <v>0.4892160480244031</v>
      </c>
      <c r="BL43" s="9" t="n">
        <v>8157446.756035581</v>
      </c>
      <c r="BM43" s="12" t="n">
        <v>0.186794178618213</v>
      </c>
      <c r="BN43" s="9" t="n">
        <v>10981007.91154122</v>
      </c>
      <c r="BO43" s="12" t="n">
        <v>0.2505893594602372</v>
      </c>
      <c r="BP43" s="9" t="n">
        <v>1237243.661175355</v>
      </c>
      <c r="BQ43" s="12" t="n">
        <v>0.02833115806350145</v>
      </c>
      <c r="BR43" s="9" t="n">
        <v>10981007.91154122</v>
      </c>
      <c r="BS43" s="12" t="n">
        <v>0.2505893594602372</v>
      </c>
      <c r="BT43" s="9" t="n">
        <v>1237243.661175355</v>
      </c>
      <c r="BU43" s="12" t="n">
        <v>0.02833115806350145</v>
      </c>
      <c r="BV43" s="9" t="n">
        <v>2578675.289787054</v>
      </c>
      <c r="BW43" s="12" t="n">
        <v>0.05884601799116495</v>
      </c>
      <c r="BX43" s="9" t="n">
        <v>1912623.671985239</v>
      </c>
      <c r="BY43" s="12" t="n">
        <v>0.04379642043632052</v>
      </c>
      <c r="BZ43" s="9" t="n">
        <v>6200601.98305846</v>
      </c>
      <c r="CA43" s="12" t="n">
        <v>0.1414992951211174</v>
      </c>
      <c r="CB43" s="9" t="n">
        <v>2793532.248653539</v>
      </c>
      <c r="CC43" s="12" t="n">
        <v>0.06396800094890517</v>
      </c>
    </row>
    <row r="44">
      <c r="A44" s="4" t="inlineStr">
        <is>
          <t>TOTAL</t>
        </is>
      </c>
      <c r="B44" s="5" t="n">
        <v>2023</v>
      </c>
      <c r="C44" s="6" t="n">
        <v>647793878.404929</v>
      </c>
      <c r="D44" s="6" t="n">
        <v>513725340.1110823</v>
      </c>
      <c r="E44" s="6" t="n">
        <v>599937431.777704</v>
      </c>
      <c r="F44" s="6" t="n">
        <v>475982479.6867163</v>
      </c>
      <c r="G44" s="6" t="n">
        <v>47856446.62722495</v>
      </c>
      <c r="H44" s="6" t="n">
        <v>37742860.424366</v>
      </c>
      <c r="I44" s="6" t="n">
        <v>11375608011.54939</v>
      </c>
      <c r="J44" s="6" t="n">
        <v>10550833300.26336</v>
      </c>
      <c r="K44" s="6" t="n">
        <v>8370284578.547653</v>
      </c>
      <c r="L44" s="6" t="n">
        <v>586536325.268177</v>
      </c>
      <c r="M44" s="6" t="n">
        <v>464690684.7814394</v>
      </c>
      <c r="N44" s="6" t="n">
        <v>61257553.13675191</v>
      </c>
      <c r="O44" s="6" t="n">
        <v>49034655.32964293</v>
      </c>
      <c r="P44" s="6" t="n">
        <v>10323432590.85343</v>
      </c>
      <c r="Q44" s="6" t="n">
        <v>8179169021.6582</v>
      </c>
      <c r="R44" s="6" t="n">
        <v>592719259.6081907</v>
      </c>
      <c r="S44" s="6" t="n">
        <v>469437484.5294005</v>
      </c>
      <c r="T44" s="6" t="n">
        <v>55074618.79673829</v>
      </c>
      <c r="U44" s="6" t="n">
        <v>44287855.58168183</v>
      </c>
      <c r="V44" s="6" t="n">
        <v>10430426011.8135</v>
      </c>
      <c r="W44" s="6" t="n">
        <v>8261253603.944392</v>
      </c>
      <c r="X44" s="6" t="n">
        <v>632129452.9784166</v>
      </c>
      <c r="Y44" s="6" t="n">
        <v>501497095.9898949</v>
      </c>
      <c r="Z44" s="6" t="n">
        <v>15664425.42651247</v>
      </c>
      <c r="AA44" s="6" t="n">
        <v>12228244.12118742</v>
      </c>
      <c r="AB44" s="6" t="n">
        <v>11139822547.53955</v>
      </c>
      <c r="AC44" s="6" t="n">
        <v>8838051246.803036</v>
      </c>
      <c r="AD44" s="6" t="n">
        <v>639065795.986122</v>
      </c>
      <c r="AE44" s="6" t="n">
        <v>506707666.0649036</v>
      </c>
      <c r="AF44" s="6" t="n">
        <v>8728082.418807041</v>
      </c>
      <c r="AG44" s="6" t="n">
        <v>7017674.046178719</v>
      </c>
      <c r="AH44" s="6" t="n">
        <v>11232141505.74209</v>
      </c>
      <c r="AI44" s="6" t="n">
        <v>8905636780.222584</v>
      </c>
      <c r="AJ44" s="6" t="n">
        <v>639687616.6125038</v>
      </c>
      <c r="AK44" s="6" t="n">
        <v>507143177.4515445</v>
      </c>
      <c r="AL44" s="6" t="n">
        <v>8106261.792425215</v>
      </c>
      <c r="AM44" s="6" t="n">
        <v>6582162.659537828</v>
      </c>
      <c r="AN44" s="6" t="n">
        <v>11242432616.96117</v>
      </c>
      <c r="AO44" s="6" t="n">
        <v>8912663823.892096</v>
      </c>
      <c r="AP44" s="6" t="n">
        <v>588221535.845282</v>
      </c>
      <c r="AQ44" s="6" t="n">
        <v>466334722.1665044</v>
      </c>
      <c r="AR44" s="6" t="n">
        <v>59572342.55964698</v>
      </c>
      <c r="AS44" s="6" t="n">
        <v>47390617.94457789</v>
      </c>
      <c r="AT44" s="6" t="n">
        <v>10354519335.69539</v>
      </c>
      <c r="AU44" s="6" t="n">
        <v>8209502374.956145</v>
      </c>
      <c r="AV44" s="6" t="n">
        <v>586015383.9088495</v>
      </c>
      <c r="AW44" s="6" t="n">
        <v>464397146.5754007</v>
      </c>
      <c r="AX44" s="6" t="n">
        <v>61778494.49607952</v>
      </c>
      <c r="AY44" s="6" t="n">
        <v>49328193.53568161</v>
      </c>
      <c r="AZ44" s="6" t="n">
        <v>10313138910.97925</v>
      </c>
      <c r="BA44" s="6" t="n">
        <v>8172811099.963447</v>
      </c>
      <c r="BB44" s="6" t="n">
        <v>-13401106.50952697</v>
      </c>
      <c r="BC44" s="7" t="n">
        <v>-0.02233750687937156</v>
      </c>
      <c r="BD44" s="6" t="n">
        <v>-11291794.90527695</v>
      </c>
      <c r="BE44" s="7" t="n">
        <v>-0.02372313139069536</v>
      </c>
      <c r="BF44" s="6" t="n">
        <v>-7218172.169513345</v>
      </c>
      <c r="BG44" s="11" t="n">
        <v>-0.01203154160280485</v>
      </c>
      <c r="BH44" s="6" t="n">
        <v>-6544995.15731585</v>
      </c>
      <c r="BI44" s="11" t="n">
        <v>-0.01375049594603494</v>
      </c>
      <c r="BJ44" s="6" t="n">
        <v>32192021.20071256</v>
      </c>
      <c r="BK44" s="7" t="n">
        <v>0.05365896424452598</v>
      </c>
      <c r="BL44" s="6" t="n">
        <v>25514616.30317855</v>
      </c>
      <c r="BM44" s="7" t="n">
        <v>0.05360410811753374</v>
      </c>
      <c r="BN44" s="6" t="n">
        <v>39128364.20841801</v>
      </c>
      <c r="BO44" s="7" t="n">
        <v>0.06522074159046026</v>
      </c>
      <c r="BP44" s="6" t="n">
        <v>30725186.3781873</v>
      </c>
      <c r="BQ44" s="7" t="n">
        <v>0.06455108683498204</v>
      </c>
      <c r="BR44" s="6" t="n">
        <v>39750184.83479977</v>
      </c>
      <c r="BS44" s="7" t="n">
        <v>0.0662572173851764</v>
      </c>
      <c r="BT44" s="6" t="n">
        <v>31160697.76482815</v>
      </c>
      <c r="BU44" s="7" t="n">
        <v>0.06546606040066347</v>
      </c>
      <c r="BV44" s="6" t="n">
        <v>-11715895.93242204</v>
      </c>
      <c r="BW44" s="11" t="n">
        <v>-0.01952852966301185</v>
      </c>
      <c r="BX44" s="6" t="n">
        <v>-9647757.520211875</v>
      </c>
      <c r="BY44" s="7" t="n">
        <v>-0.02026914420581587</v>
      </c>
      <c r="BZ44" s="6" t="n">
        <v>-13922047.86885452</v>
      </c>
      <c r="CA44" s="7" t="n">
        <v>-0.02320583302762326</v>
      </c>
      <c r="CB44" s="6" t="n">
        <v>-11585333.11131561</v>
      </c>
      <c r="CC44" s="7" t="n">
        <v>-0.02433983099323505</v>
      </c>
    </row>
    <row r="45">
      <c r="A45" t="inlineStr">
        <is>
          <t>TOTAL</t>
        </is>
      </c>
      <c r="B45" s="8" t="n">
        <v>2024</v>
      </c>
      <c r="C45" s="9" t="n">
        <v>795077840.21733</v>
      </c>
      <c r="D45" s="9" t="n">
        <v>611698761.106678</v>
      </c>
      <c r="E45" s="9" t="n">
        <v>730276465.9539369</v>
      </c>
      <c r="F45" s="9" t="n">
        <v>564694223.9004399</v>
      </c>
      <c r="G45" s="9" t="n">
        <v>64801374.26339313</v>
      </c>
      <c r="H45" s="9" t="n">
        <v>47004537.20623811</v>
      </c>
      <c r="I45" s="9" t="n">
        <v>14862287622.83878</v>
      </c>
      <c r="J45" s="9" t="n">
        <v>13625523913.39193</v>
      </c>
      <c r="K45" s="9" t="n">
        <v>10547606653.96036</v>
      </c>
      <c r="L45" s="9" t="n">
        <v>740550825.1506343</v>
      </c>
      <c r="M45" s="9" t="n">
        <v>574507433.2883152</v>
      </c>
      <c r="N45" s="9" t="n">
        <v>54527015.06669577</v>
      </c>
      <c r="O45" s="9" t="n">
        <v>37191327.81836273</v>
      </c>
      <c r="P45" s="9" t="n">
        <v>13806668617.3006</v>
      </c>
      <c r="Q45" s="9" t="n">
        <v>10724590788.72521</v>
      </c>
      <c r="R45" s="9" t="n">
        <v>749413857.6284199</v>
      </c>
      <c r="S45" s="9" t="n">
        <v>581068327.7828863</v>
      </c>
      <c r="T45" s="9" t="n">
        <v>45663982.5889101</v>
      </c>
      <c r="U45" s="9" t="n">
        <v>30630433.32379166</v>
      </c>
      <c r="V45" s="9" t="n">
        <v>13974339470.46996</v>
      </c>
      <c r="W45" s="9" t="n">
        <v>10847728207.04392</v>
      </c>
      <c r="X45" s="9" t="n">
        <v>778767676.3127198</v>
      </c>
      <c r="Y45" s="9" t="n">
        <v>597469798.8948307</v>
      </c>
      <c r="Z45" s="9" t="n">
        <v>16310163.90461021</v>
      </c>
      <c r="AA45" s="9" t="n">
        <v>14228962.21184728</v>
      </c>
      <c r="AB45" s="9" t="n">
        <v>14420985029.86986</v>
      </c>
      <c r="AC45" s="9" t="n">
        <v>11060198756.57601</v>
      </c>
      <c r="AD45" s="9" t="n">
        <v>791235247.4771756</v>
      </c>
      <c r="AE45" s="9" t="n">
        <v>609410537.378535</v>
      </c>
      <c r="AF45" s="9" t="n">
        <v>3842592.740154444</v>
      </c>
      <c r="AG45" s="9" t="n">
        <v>2288223.728142969</v>
      </c>
      <c r="AH45" s="9" t="n">
        <v>14811566369.33614</v>
      </c>
      <c r="AI45" s="9" t="n">
        <v>11414285711.77667</v>
      </c>
      <c r="AJ45" s="9" t="n">
        <v>792466446.7843132</v>
      </c>
      <c r="AK45" s="9" t="n">
        <v>610189079.0042989</v>
      </c>
      <c r="AL45" s="9" t="n">
        <v>2611393.433016837</v>
      </c>
      <c r="AM45" s="9" t="n">
        <v>1509682.102379072</v>
      </c>
      <c r="AN45" s="9" t="n">
        <v>14833784662.30755</v>
      </c>
      <c r="AO45" s="9" t="n">
        <v>11428171984.71539</v>
      </c>
      <c r="AP45" s="9" t="n">
        <v>744372960.7744069</v>
      </c>
      <c r="AQ45" s="9" t="n">
        <v>577804555.4521767</v>
      </c>
      <c r="AR45" s="9" t="n">
        <v>50704879.44292314</v>
      </c>
      <c r="AS45" s="9" t="n">
        <v>33894205.65450124</v>
      </c>
      <c r="AT45" s="9" t="n">
        <v>13875562078.23223</v>
      </c>
      <c r="AU45" s="9" t="n">
        <v>10783711557.69317</v>
      </c>
      <c r="AV45" s="9" t="n">
        <v>740481989.6421918</v>
      </c>
      <c r="AW45" s="9" t="n">
        <v>574310483.1255584</v>
      </c>
      <c r="AX45" s="9" t="n">
        <v>54595850.57513829</v>
      </c>
      <c r="AY45" s="9" t="n">
        <v>37388277.98111956</v>
      </c>
      <c r="AZ45" s="9" t="n">
        <v>13800780530.92773</v>
      </c>
      <c r="BA45" s="9" t="n">
        <v>10715897600.79383</v>
      </c>
      <c r="BB45" s="9" t="n">
        <v>10274359.19669735</v>
      </c>
      <c r="BC45" s="10" t="n">
        <v>0.01406913638285781</v>
      </c>
      <c r="BD45" s="9" t="n">
        <v>9813209.387875319</v>
      </c>
      <c r="BE45" s="10" t="n">
        <v>0.01737791706119074</v>
      </c>
      <c r="BF45" s="9" t="n">
        <v>19137391.67448294</v>
      </c>
      <c r="BG45" s="12" t="n">
        <v>0.02620568040554939</v>
      </c>
      <c r="BH45" s="9" t="n">
        <v>16374103.88244641</v>
      </c>
      <c r="BI45" s="12" t="n">
        <v>0.02899640759444583</v>
      </c>
      <c r="BJ45" s="9" t="n">
        <v>48491210.35878289</v>
      </c>
      <c r="BK45" s="12" t="n">
        <v>0.06640116807740801</v>
      </c>
      <c r="BL45" s="9" t="n">
        <v>32775574.99439085</v>
      </c>
      <c r="BM45" s="12" t="n">
        <v>0.0580412789916715</v>
      </c>
      <c r="BN45" s="9" t="n">
        <v>60958781.52323866</v>
      </c>
      <c r="BO45" s="12" t="n">
        <v>0.08347356701904687</v>
      </c>
      <c r="BP45" s="9" t="n">
        <v>44716313.47809517</v>
      </c>
      <c r="BQ45" s="12" t="n">
        <v>0.07918677327568879</v>
      </c>
      <c r="BR45" s="9" t="n">
        <v>62189980.83037627</v>
      </c>
      <c r="BS45" s="12" t="n">
        <v>0.08515950291392654</v>
      </c>
      <c r="BT45" s="9" t="n">
        <v>45494855.10385907</v>
      </c>
      <c r="BU45" s="12" t="n">
        <v>0.08056546920139948</v>
      </c>
      <c r="BV45" s="9" t="n">
        <v>14096494.82046998</v>
      </c>
      <c r="BW45" s="10" t="n">
        <v>0.01930295645232956</v>
      </c>
      <c r="BX45" s="9" t="n">
        <v>13110331.55173683</v>
      </c>
      <c r="BY45" s="12" t="n">
        <v>0.0232166914355552</v>
      </c>
      <c r="BZ45" s="9" t="n">
        <v>10205523.68825483</v>
      </c>
      <c r="CA45" s="10" t="n">
        <v>0.01397487686382401</v>
      </c>
      <c r="CB45" s="9" t="n">
        <v>9616259.225118518</v>
      </c>
      <c r="CC45" s="10" t="n">
        <v>0.01702914394749315</v>
      </c>
    </row>
    <row r="46">
      <c r="A46" s="4" t="inlineStr">
        <is>
          <t>TOTAL</t>
        </is>
      </c>
      <c r="B46" s="5" t="n">
        <v>2025</v>
      </c>
      <c r="C46" s="6" t="n">
        <v>1013681786.31473</v>
      </c>
      <c r="D46" s="6" t="n">
        <v>716788614.9827055</v>
      </c>
      <c r="E46" s="6" t="n">
        <v>962221309.4167328</v>
      </c>
      <c r="F46" s="6" t="n">
        <v>695221565.6376227</v>
      </c>
      <c r="G46" s="6" t="n">
        <v>51460476.89799699</v>
      </c>
      <c r="H46" s="6" t="n">
        <v>21567049.3450827</v>
      </c>
      <c r="I46" s="6" t="n">
        <v>19368061007.60625</v>
      </c>
      <c r="J46" s="6" t="n">
        <v>18375244408.48093</v>
      </c>
      <c r="K46" s="6" t="n">
        <v>13277901620.17355</v>
      </c>
      <c r="L46" s="6" t="n">
        <v>966184467.1515241</v>
      </c>
      <c r="M46" s="6" t="n">
        <v>698844337.3455305</v>
      </c>
      <c r="N46" s="6" t="n">
        <v>47497319.16320577</v>
      </c>
      <c r="O46" s="6" t="n">
        <v>17944277.63717491</v>
      </c>
      <c r="P46" s="6" t="n">
        <v>18479749474.05746</v>
      </c>
      <c r="Q46" s="6" t="n">
        <v>13371853353.72483</v>
      </c>
      <c r="R46" s="6" t="n">
        <v>972273351.9755968</v>
      </c>
      <c r="S46" s="6" t="n">
        <v>701823702.6835191</v>
      </c>
      <c r="T46" s="6" t="n">
        <v>41408434.33913299</v>
      </c>
      <c r="U46" s="6" t="n">
        <v>14964912.29918627</v>
      </c>
      <c r="V46" s="6" t="n">
        <v>18596570970.33222</v>
      </c>
      <c r="W46" s="6" t="n">
        <v>13428682803.31816</v>
      </c>
      <c r="X46" s="6" t="n">
        <v>979790818.3677624</v>
      </c>
      <c r="Y46" s="6" t="n">
        <v>701249614.5490285</v>
      </c>
      <c r="Z46" s="6" t="n">
        <v>33890967.9469674</v>
      </c>
      <c r="AA46" s="6" t="n">
        <v>15539000.43367698</v>
      </c>
      <c r="AB46" s="6" t="n">
        <v>18802028138.7971</v>
      </c>
      <c r="AC46" s="6" t="n">
        <v>13461305795.34298</v>
      </c>
      <c r="AD46" s="6" t="n">
        <v>998301476.7347473</v>
      </c>
      <c r="AE46" s="6" t="n">
        <v>710137971.4773022</v>
      </c>
      <c r="AF46" s="6" t="n">
        <v>15380309.5799825</v>
      </c>
      <c r="AG46" s="6" t="n">
        <v>6650643.505403302</v>
      </c>
      <c r="AH46" s="6" t="n">
        <v>19060400495.31724</v>
      </c>
      <c r="AI46" s="6" t="n">
        <v>13559061837.10839</v>
      </c>
      <c r="AJ46" s="6" t="n">
        <v>999601067.4837011</v>
      </c>
      <c r="AK46" s="6" t="n">
        <v>711019445.9306327</v>
      </c>
      <c r="AL46" s="6" t="n">
        <v>14080718.83102867</v>
      </c>
      <c r="AM46" s="6" t="n">
        <v>5769169.05207278</v>
      </c>
      <c r="AN46" s="6" t="n">
        <v>19084539396.28634</v>
      </c>
      <c r="AO46" s="6" t="n">
        <v>13575087910.20851</v>
      </c>
      <c r="AP46" s="6" t="n">
        <v>964374604.647787</v>
      </c>
      <c r="AQ46" s="6" t="n">
        <v>697087990.5149378</v>
      </c>
      <c r="AR46" s="6" t="n">
        <v>49307181.66694283</v>
      </c>
      <c r="AS46" s="6" t="n">
        <v>19700624.4677677</v>
      </c>
      <c r="AT46" s="6" t="n">
        <v>18445750622.30525</v>
      </c>
      <c r="AU46" s="6" t="n">
        <v>13339042229.70597</v>
      </c>
      <c r="AV46" s="6" t="n">
        <v>969363613.2590379</v>
      </c>
      <c r="AW46" s="6" t="n">
        <v>700528899.5120372</v>
      </c>
      <c r="AX46" s="6" t="n">
        <v>44318173.05569191</v>
      </c>
      <c r="AY46" s="6" t="n">
        <v>16259715.47066827</v>
      </c>
      <c r="AZ46" s="6" t="n">
        <v>18538689760.31364</v>
      </c>
      <c r="BA46" s="6" t="n">
        <v>13402583942.9882</v>
      </c>
      <c r="BB46" s="6" t="n">
        <v>3963157.734791279</v>
      </c>
      <c r="BC46" s="11" t="n">
        <v>0.004118759058863096</v>
      </c>
      <c r="BD46" s="6" t="n">
        <v>3622771.707907796</v>
      </c>
      <c r="BE46" s="11" t="n">
        <v>0.005210959911154611</v>
      </c>
      <c r="BF46" s="6" t="n">
        <v>10052042.558864</v>
      </c>
      <c r="BG46" s="11" t="n">
        <v>0.01044670541016933</v>
      </c>
      <c r="BH46" s="6" t="n">
        <v>6602137.045896411</v>
      </c>
      <c r="BI46" s="11" t="n">
        <v>0.009496450300475445</v>
      </c>
      <c r="BJ46" s="6" t="n">
        <v>17569508.95102966</v>
      </c>
      <c r="BK46" s="11" t="n">
        <v>0.01825932223604539</v>
      </c>
      <c r="BL46" s="6" t="n">
        <v>6028048.911405802</v>
      </c>
      <c r="BM46" s="11" t="n">
        <v>0.008670687460446044</v>
      </c>
      <c r="BN46" s="6" t="n">
        <v>36080167.3180145</v>
      </c>
      <c r="BO46" s="7" t="n">
        <v>0.03749674525487814</v>
      </c>
      <c r="BP46" s="6" t="n">
        <v>14916405.83967948</v>
      </c>
      <c r="BQ46" s="7" t="n">
        <v>0.02145561440689616</v>
      </c>
      <c r="BR46" s="6" t="n">
        <v>37379758.06696832</v>
      </c>
      <c r="BS46" s="7" t="n">
        <v>0.03884736047846073</v>
      </c>
      <c r="BT46" s="6" t="n">
        <v>15797880.29301</v>
      </c>
      <c r="BU46" s="7" t="n">
        <v>0.02272351876559089</v>
      </c>
      <c r="BV46" s="6" t="n">
        <v>2153295.231054187</v>
      </c>
      <c r="BW46" s="11" t="n">
        <v>0.00223783781338146</v>
      </c>
      <c r="BX46" s="6" t="n">
        <v>1866424.877315044</v>
      </c>
      <c r="BY46" s="11" t="n">
        <v>0.002684647556356012</v>
      </c>
      <c r="BZ46" s="6" t="n">
        <v>7142303.842305064</v>
      </c>
      <c r="CA46" s="11" t="n">
        <v>0.007422724660540407</v>
      </c>
      <c r="CB46" s="6" t="n">
        <v>5307333.874414444</v>
      </c>
      <c r="CC46" s="11" t="n">
        <v>0.00763401789693739</v>
      </c>
    </row>
    <row r="47">
      <c r="A47" t="inlineStr">
        <is>
          <t>TOTAL</t>
        </is>
      </c>
      <c r="B47" s="8" t="n">
        <v>2026</v>
      </c>
      <c r="C47" s="9" t="n">
        <v>481490001.6153615</v>
      </c>
      <c r="D47" s="9" t="n">
        <v>339048577.602546</v>
      </c>
      <c r="E47" s="9" t="n">
        <v>445627606.412671</v>
      </c>
      <c r="F47" s="9" t="n">
        <v>337304345.4009084</v>
      </c>
      <c r="G47" s="9" t="n">
        <v>35862395.20269049</v>
      </c>
      <c r="H47" s="9" t="n">
        <v>1744232.201637694</v>
      </c>
      <c r="I47" s="9" t="n">
        <v>8408312560.353046</v>
      </c>
      <c r="J47" s="9" t="n">
        <v>7782201412.711169</v>
      </c>
      <c r="K47" s="9" t="n">
        <v>5892188053.2989</v>
      </c>
      <c r="L47" s="9" t="n">
        <v>447793016.0275046</v>
      </c>
      <c r="M47" s="9" t="n">
        <v>339305628.3251823</v>
      </c>
      <c r="N47" s="9" t="n">
        <v>33696985.5878569</v>
      </c>
      <c r="O47" s="9" t="n">
        <v>-257050.7226362312</v>
      </c>
      <c r="P47" s="9" t="n">
        <v>7827230194.506352</v>
      </c>
      <c r="Q47" s="9" t="n">
        <v>5932039569.906524</v>
      </c>
      <c r="R47" s="9" t="n">
        <v>450022316.2918597</v>
      </c>
      <c r="S47" s="9" t="n">
        <v>339036723.5875602</v>
      </c>
      <c r="T47" s="9" t="n">
        <v>31467685.32350181</v>
      </c>
      <c r="U47" s="9" t="n">
        <v>11854.01498578209</v>
      </c>
      <c r="V47" s="9" t="n">
        <v>7865762759.433172</v>
      </c>
      <c r="W47" s="9" t="n">
        <v>5926997633.435028</v>
      </c>
      <c r="X47" s="9" t="n">
        <v>517206848.143179</v>
      </c>
      <c r="Y47" s="9" t="n">
        <v>376351722.799837</v>
      </c>
      <c r="Z47" s="9" t="n">
        <v>-35716846.52781747</v>
      </c>
      <c r="AA47" s="9" t="n">
        <v>-37303145.19729095</v>
      </c>
      <c r="AB47" s="9" t="n">
        <v>9035264098.387836</v>
      </c>
      <c r="AC47" s="9" t="n">
        <v>6575087198.679389</v>
      </c>
      <c r="AD47" s="9" t="n">
        <v>457252439.9635935</v>
      </c>
      <c r="AE47" s="9" t="n">
        <v>330645964.3074415</v>
      </c>
      <c r="AF47" s="9" t="n">
        <v>24237561.65176797</v>
      </c>
      <c r="AG47" s="9" t="n">
        <v>8402613.295104574</v>
      </c>
      <c r="AH47" s="9" t="n">
        <v>7989331150.763044</v>
      </c>
      <c r="AI47" s="9" t="n">
        <v>5777949631.270683</v>
      </c>
      <c r="AJ47" s="9" t="n">
        <v>457070563.3014966</v>
      </c>
      <c r="AK47" s="9" t="n">
        <v>330114487.9110448</v>
      </c>
      <c r="AL47" s="9" t="n">
        <v>24419438.31386495</v>
      </c>
      <c r="AM47" s="9" t="n">
        <v>8934089.691501211</v>
      </c>
      <c r="AN47" s="9" t="n">
        <v>7986060449.47508</v>
      </c>
      <c r="AO47" s="9" t="n">
        <v>5768618266.174819</v>
      </c>
      <c r="AP47" s="9" t="n">
        <v>445190235.9525448</v>
      </c>
      <c r="AQ47" s="9" t="n">
        <v>337636920.0995544</v>
      </c>
      <c r="AR47" s="9" t="n">
        <v>36299765.6628167</v>
      </c>
      <c r="AS47" s="9" t="n">
        <v>1411657.502991648</v>
      </c>
      <c r="AT47" s="9" t="n">
        <v>7781188263.960304</v>
      </c>
      <c r="AU47" s="9" t="n">
        <v>5902287144.88954</v>
      </c>
      <c r="AV47" s="9" t="n">
        <v>451049125.064928</v>
      </c>
      <c r="AW47" s="9" t="n">
        <v>339924912.341463</v>
      </c>
      <c r="AX47" s="9" t="n">
        <v>30440876.55043352</v>
      </c>
      <c r="AY47" s="9" t="n">
        <v>-876334.738916954</v>
      </c>
      <c r="AZ47" s="9" t="n">
        <v>7883880455.170377</v>
      </c>
      <c r="BA47" s="9" t="n">
        <v>5942435016.255485</v>
      </c>
      <c r="BB47" s="9" t="n">
        <v>2165409.614833593</v>
      </c>
      <c r="BC47" s="10" t="n">
        <v>0.004859235791663068</v>
      </c>
      <c r="BD47" s="9" t="n">
        <v>2001282.924273908</v>
      </c>
      <c r="BE47" s="10" t="n">
        <v>0.005933166742620087</v>
      </c>
      <c r="BF47" s="9" t="n">
        <v>4394709.879188657</v>
      </c>
      <c r="BG47" s="10" t="n">
        <v>0.009861843871312944</v>
      </c>
      <c r="BH47" s="9" t="n">
        <v>1732378.186651886</v>
      </c>
      <c r="BI47" s="10" t="n">
        <v>0.005135949804005164</v>
      </c>
      <c r="BJ47" s="9" t="n">
        <v>71579241.73050797</v>
      </c>
      <c r="BK47" s="12" t="n">
        <v>0.1606256899268992</v>
      </c>
      <c r="BL47" s="9" t="n">
        <v>39047377.39892864</v>
      </c>
      <c r="BM47" s="12" t="n">
        <v>0.1157630428760657</v>
      </c>
      <c r="BN47" s="9" t="n">
        <v>11624833.55092251</v>
      </c>
      <c r="BO47" s="12" t="n">
        <v>0.02608643042674829</v>
      </c>
      <c r="BP47" s="9" t="n">
        <v>-6658381.093466878</v>
      </c>
      <c r="BQ47" s="10" t="n">
        <v>-0.01973998018185314</v>
      </c>
      <c r="BR47" s="9" t="n">
        <v>11442956.88882554</v>
      </c>
      <c r="BS47" s="12" t="n">
        <v>0.02567829444172462</v>
      </c>
      <c r="BT47" s="9" t="n">
        <v>-7189857.489863515</v>
      </c>
      <c r="BU47" s="12" t="n">
        <v>-0.02131563849649757</v>
      </c>
      <c r="BV47" s="9" t="n">
        <v>-437370.4601262212</v>
      </c>
      <c r="BW47" s="10" t="n">
        <v>-0.0009814707478449992</v>
      </c>
      <c r="BX47" s="9" t="n">
        <v>332574.698646009</v>
      </c>
      <c r="BY47" s="10" t="n">
        <v>0.0009859781031006942</v>
      </c>
      <c r="BZ47" s="9" t="n">
        <v>5421518.652256966</v>
      </c>
      <c r="CA47" s="10" t="n">
        <v>0.01216602960463001</v>
      </c>
      <c r="CB47" s="9" t="n">
        <v>2620566.940554619</v>
      </c>
      <c r="CC47" s="10" t="n">
        <v>0.007769146695812362</v>
      </c>
    </row>
  </sheetData>
  <mergeCells count="2">
    <mergeCell ref="A2:CC2"/>
    <mergeCell ref="A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AJUSTE DE LA PRIMA NO DEVENGADA (≡ RRC) POR VARIANTE · 202301–202605</t>
        </is>
      </c>
    </row>
    <row r="2" ht="30" customHeight="1">
      <c r="A2" s="2" t="inlineStr">
        <is>
          <t>ratio = Σ PND modelo / Σ PND real · MAPE = error absoluto medio mensual · R² sobre la serie mensual</t>
        </is>
      </c>
    </row>
    <row r="3" ht="32" customHeight="1">
      <c r="A3" s="3" t="inlineStr">
        <is>
          <t>Grupo</t>
        </is>
      </c>
      <c r="B3" s="3" t="inlineStr">
        <is>
          <t>Variante</t>
        </is>
      </c>
      <c r="C3" s="3" t="inlineStr">
        <is>
          <t>ratio</t>
        </is>
      </c>
      <c r="D3" s="3" t="inlineStr">
        <is>
          <t>MAPE</t>
        </is>
      </c>
      <c r="E3" s="3" t="inlineStr">
        <is>
          <t>R2</t>
        </is>
      </c>
      <c r="F3" s="3" t="inlineStr">
        <is>
          <t>PND_real_prom</t>
        </is>
      </c>
      <c r="G3" s="3" t="inlineStr">
        <is>
          <t>PND_mod_prom</t>
        </is>
      </c>
    </row>
    <row r="4">
      <c r="A4" s="4" t="inlineStr">
        <is>
          <t>Agro</t>
        </is>
      </c>
      <c r="B4" s="4" t="inlineStr">
        <is>
          <t>NT_reg_m</t>
        </is>
      </c>
      <c r="C4" s="11" t="n">
        <v>1.18550210071257</v>
      </c>
      <c r="D4" s="11" t="n">
        <v>0.1814682147102039</v>
      </c>
      <c r="E4" s="11" t="n">
        <v>0.5528339012462506</v>
      </c>
      <c r="F4" s="6" t="n">
        <v>7519859.596419869</v>
      </c>
      <c r="G4" s="6" t="n">
        <v>8914809.348619334</v>
      </c>
    </row>
    <row r="5">
      <c r="A5" t="inlineStr">
        <is>
          <t>Agro</t>
        </is>
      </c>
      <c r="B5" t="inlineStr">
        <is>
          <t>NT_reg_t</t>
        </is>
      </c>
      <c r="C5" s="10" t="n">
        <v>1.008466174966923</v>
      </c>
      <c r="D5" s="10" t="n">
        <v>0.08338396099229001</v>
      </c>
      <c r="E5" s="10" t="n">
        <v>0.9150247639056293</v>
      </c>
      <c r="F5" s="9" t="n">
        <v>7519859.596419869</v>
      </c>
      <c r="G5" s="9" t="n">
        <v>7583524.043489853</v>
      </c>
    </row>
    <row r="6">
      <c r="A6" s="4" t="inlineStr">
        <is>
          <t>Agro</t>
        </is>
      </c>
      <c r="B6" s="4" t="inlineStr">
        <is>
          <t>NT_reg_susc</t>
        </is>
      </c>
      <c r="C6" s="11" t="n">
        <v>0.08118788536047518</v>
      </c>
      <c r="D6" s="11" t="n">
        <v>0.9141256186783174</v>
      </c>
      <c r="E6" s="11" t="n">
        <v>-5.023271963939578</v>
      </c>
      <c r="F6" s="6" t="n">
        <v>7519859.596419869</v>
      </c>
      <c r="G6" s="6" t="n">
        <v>610521.4988410055</v>
      </c>
    </row>
    <row r="7">
      <c r="A7" t="inlineStr">
        <is>
          <t>Agro</t>
        </is>
      </c>
      <c r="B7" t="inlineStr">
        <is>
          <t>MEC_pub</t>
        </is>
      </c>
      <c r="C7" s="10" t="n">
        <v>0.1786850378592942</v>
      </c>
      <c r="D7" s="10" t="n">
        <v>0.8033516775176905</v>
      </c>
      <c r="E7" s="10" t="n">
        <v>-4.023097389403214</v>
      </c>
      <c r="F7" s="9" t="n">
        <v>7519859.596419869</v>
      </c>
      <c r="G7" s="9" t="n">
        <v>1343686.396682861</v>
      </c>
    </row>
    <row r="8">
      <c r="A8" s="4" t="inlineStr">
        <is>
          <t>Agro</t>
        </is>
      </c>
      <c r="B8" s="4" t="inlineStr">
        <is>
          <t>MEC_prop</t>
        </is>
      </c>
      <c r="C8" s="11" t="n">
        <v>0.1182122999112448</v>
      </c>
      <c r="D8" s="11" t="n">
        <v>0.8667612766104131</v>
      </c>
      <c r="E8" s="11" t="n">
        <v>-4.720311985072293</v>
      </c>
      <c r="F8" s="6" t="n">
        <v>7519859.596419869</v>
      </c>
      <c r="G8" s="6" t="n">
        <v>888939.8979024376</v>
      </c>
    </row>
    <row r="9">
      <c r="A9" t="inlineStr">
        <is>
          <t>Agro</t>
        </is>
      </c>
      <c r="B9" t="inlineStr">
        <is>
          <t>MEC_reg</t>
        </is>
      </c>
      <c r="C9" s="10" t="n">
        <v>1.281808464279895</v>
      </c>
      <c r="D9" s="10" t="n">
        <v>0.2741818286745173</v>
      </c>
      <c r="E9" s="10" t="n">
        <v>0.2750292510603793</v>
      </c>
      <c r="F9" s="9" t="n">
        <v>7519859.596419869</v>
      </c>
      <c r="G9" s="9" t="n">
        <v>9639019.680887386</v>
      </c>
    </row>
    <row r="10">
      <c r="A10" s="4" t="inlineStr">
        <is>
          <t>Agro</t>
        </is>
      </c>
      <c r="B10" s="4" t="inlineStr">
        <is>
          <t>CAL</t>
        </is>
      </c>
      <c r="C10" s="11" t="n">
        <v>0.9684051428062685</v>
      </c>
      <c r="D10" s="11" t="n">
        <v>0.08469928839726801</v>
      </c>
      <c r="E10" s="11" t="n">
        <v>0.9236951384952484</v>
      </c>
      <c r="F10" s="6" t="n">
        <v>7519859.596419869</v>
      </c>
      <c r="G10" s="6" t="n">
        <v>7282270.706354073</v>
      </c>
    </row>
    <row r="11">
      <c r="A11" t="inlineStr">
        <is>
          <t>Autos</t>
        </is>
      </c>
      <c r="B11" t="inlineStr">
        <is>
          <t>NT_reg_m</t>
        </is>
      </c>
      <c r="C11" s="10" t="n">
        <v>1.082440392959462</v>
      </c>
      <c r="D11" s="10" t="n">
        <v>0.1752696116637626</v>
      </c>
      <c r="E11" s="10" t="n">
        <v>0.447478337415033</v>
      </c>
      <c r="F11" s="9" t="n">
        <v>10260758.76956852</v>
      </c>
      <c r="G11" s="9" t="n">
        <v>11106659.75459399</v>
      </c>
    </row>
    <row r="12">
      <c r="A12" s="4" t="inlineStr">
        <is>
          <t>Autos</t>
        </is>
      </c>
      <c r="B12" s="4" t="inlineStr">
        <is>
          <t>NT_reg_t</t>
        </is>
      </c>
      <c r="C12" s="11" t="n">
        <v>0.980218836072502</v>
      </c>
      <c r="D12" s="11" t="n">
        <v>0.1593274871521286</v>
      </c>
      <c r="E12" s="11" t="n">
        <v>0.6047863019715778</v>
      </c>
      <c r="F12" s="6" t="n">
        <v>10260758.76956852</v>
      </c>
      <c r="G12" s="6" t="n">
        <v>10057789.01832717</v>
      </c>
    </row>
    <row r="13">
      <c r="A13" t="inlineStr">
        <is>
          <t>Autos</t>
        </is>
      </c>
      <c r="B13" t="inlineStr">
        <is>
          <t>NT_reg_susc</t>
        </is>
      </c>
      <c r="C13" s="10" t="n">
        <v>0.4627889001143993</v>
      </c>
      <c r="D13" s="10" t="n">
        <v>0.4256038279599321</v>
      </c>
      <c r="E13" s="10" t="n">
        <v>-1.369362002481932</v>
      </c>
      <c r="F13" s="9" t="n">
        <v>10260758.76956852</v>
      </c>
      <c r="G13" s="9" t="n">
        <v>4748565.265307792</v>
      </c>
    </row>
    <row r="14">
      <c r="A14" s="4" t="inlineStr">
        <is>
          <t>Autos</t>
        </is>
      </c>
      <c r="B14" s="4" t="inlineStr">
        <is>
          <t>MEC_pub</t>
        </is>
      </c>
      <c r="C14" s="11" t="n">
        <v>0.4459917117126259</v>
      </c>
      <c r="D14" s="11" t="n">
        <v>0.4727118768776232</v>
      </c>
      <c r="E14" s="11" t="n">
        <v>-1.301155041082679</v>
      </c>
      <c r="F14" s="6" t="n">
        <v>10260758.76956852</v>
      </c>
      <c r="G14" s="6" t="n">
        <v>4576213.367110201</v>
      </c>
    </row>
    <row r="15">
      <c r="A15" t="inlineStr">
        <is>
          <t>Autos</t>
        </is>
      </c>
      <c r="B15" t="inlineStr">
        <is>
          <t>MEC_prop</t>
        </is>
      </c>
      <c r="C15" s="10" t="n">
        <v>0.4044954921320172</v>
      </c>
      <c r="D15" s="10" t="n">
        <v>0.5170388778291488</v>
      </c>
      <c r="E15" s="10" t="n">
        <v>-1.596170948558059</v>
      </c>
      <c r="F15" s="9" t="n">
        <v>10260758.76956852</v>
      </c>
      <c r="G15" s="9" t="n">
        <v>4150430.668144529</v>
      </c>
    </row>
    <row r="16">
      <c r="A16" s="4" t="inlineStr">
        <is>
          <t>Autos</t>
        </is>
      </c>
      <c r="B16" s="4" t="inlineStr">
        <is>
          <t>MEC_reg</t>
        </is>
      </c>
      <c r="C16" s="11" t="n">
        <v>1.225631417779169</v>
      </c>
      <c r="D16" s="11" t="n">
        <v>0.3628513386232148</v>
      </c>
      <c r="E16" s="11" t="n">
        <v>0.06071647780957179</v>
      </c>
      <c r="F16" s="6" t="n">
        <v>10260758.76956852</v>
      </c>
      <c r="G16" s="6" t="n">
        <v>12575908.31823631</v>
      </c>
    </row>
    <row r="17">
      <c r="A17" t="inlineStr">
        <is>
          <t>Autos</t>
        </is>
      </c>
      <c r="B17" t="inlineStr">
        <is>
          <t>CAL</t>
        </is>
      </c>
      <c r="C17" s="10" t="n">
        <v>0.9211682540412454</v>
      </c>
      <c r="D17" s="10" t="n">
        <v>0.1595261000982457</v>
      </c>
      <c r="E17" s="10" t="n">
        <v>0.6274880956945152</v>
      </c>
      <c r="F17" s="9" t="n">
        <v>10260758.76956852</v>
      </c>
      <c r="G17" s="9" t="n">
        <v>9451885.24090183</v>
      </c>
    </row>
    <row r="18">
      <c r="A18" s="4" t="inlineStr">
        <is>
          <t>AyE</t>
        </is>
      </c>
      <c r="B18" s="4" t="inlineStr">
        <is>
          <t>NT_reg_m</t>
        </is>
      </c>
      <c r="C18" s="11" t="n">
        <v>1.100225553657386</v>
      </c>
      <c r="D18" s="11" t="n">
        <v>0.1739676109126579</v>
      </c>
      <c r="E18" s="11" t="n">
        <v>0.7646086736849353</v>
      </c>
      <c r="F18" s="6" t="n">
        <v>15669066.06689206</v>
      </c>
      <c r="G18" s="6" t="n">
        <v>17239506.88874048</v>
      </c>
    </row>
    <row r="19">
      <c r="A19" t="inlineStr">
        <is>
          <t>AyE</t>
        </is>
      </c>
      <c r="B19" t="inlineStr">
        <is>
          <t>NT_reg_t</t>
        </is>
      </c>
      <c r="C19" s="10" t="n">
        <v>0.9852600599684493</v>
      </c>
      <c r="D19" s="10" t="n">
        <v>0.2041347081779536</v>
      </c>
      <c r="E19" s="10" t="n">
        <v>0.7408187453548898</v>
      </c>
      <c r="F19" s="9" t="n">
        <v>15669066.06689206</v>
      </c>
      <c r="G19" s="9" t="n">
        <v>15438104.97271567</v>
      </c>
    </row>
    <row r="20">
      <c r="A20" s="4" t="inlineStr">
        <is>
          <t>AyE</t>
        </is>
      </c>
      <c r="B20" s="4" t="inlineStr">
        <is>
          <t>NT_reg_susc</t>
        </is>
      </c>
      <c r="C20" s="11" t="n">
        <v>0.5529715031026742</v>
      </c>
      <c r="D20" s="11" t="n">
        <v>0.4580845692648816</v>
      </c>
      <c r="E20" s="11" t="n">
        <v>-0.2792447228984458</v>
      </c>
      <c r="F20" s="6" t="n">
        <v>15669066.06689206</v>
      </c>
      <c r="G20" s="6" t="n">
        <v>8664547.015224412</v>
      </c>
    </row>
    <row r="21">
      <c r="A21" t="inlineStr">
        <is>
          <t>AyE</t>
        </is>
      </c>
      <c r="B21" t="inlineStr">
        <is>
          <t>MEC_pub</t>
        </is>
      </c>
      <c r="C21" s="10" t="n">
        <v>0.3500792900777568</v>
      </c>
      <c r="D21" s="10" t="n">
        <v>0.6249059046994883</v>
      </c>
      <c r="E21" s="10" t="n">
        <v>-1.536936542062252</v>
      </c>
      <c r="F21" s="9" t="n">
        <v>15669066.06689206</v>
      </c>
      <c r="G21" s="9" t="n">
        <v>5485415.524879042</v>
      </c>
    </row>
    <row r="22">
      <c r="A22" s="4" t="inlineStr">
        <is>
          <t>AyE</t>
        </is>
      </c>
      <c r="B22" s="4" t="inlineStr">
        <is>
          <t>MEC_prop</t>
        </is>
      </c>
      <c r="C22" s="11" t="n">
        <v>0.26667698578164</v>
      </c>
      <c r="D22" s="11" t="n">
        <v>0.7129901565973503</v>
      </c>
      <c r="E22" s="11" t="n">
        <v>-2.192802585186312</v>
      </c>
      <c r="F22" s="6" t="n">
        <v>15669066.06689206</v>
      </c>
      <c r="G22" s="6" t="n">
        <v>4178579.308732151</v>
      </c>
    </row>
    <row r="23">
      <c r="A23" t="inlineStr">
        <is>
          <t>AyE</t>
        </is>
      </c>
      <c r="B23" t="inlineStr">
        <is>
          <t>MEC_reg</t>
        </is>
      </c>
      <c r="C23" s="10" t="n">
        <v>1.168993911346226</v>
      </c>
      <c r="D23" s="10" t="n">
        <v>0.261650622985787</v>
      </c>
      <c r="E23" s="10" t="n">
        <v>0.7069403623883739</v>
      </c>
      <c r="F23" s="9" t="n">
        <v>15669066.06689206</v>
      </c>
      <c r="G23" s="9" t="n">
        <v>18317042.82867857</v>
      </c>
    </row>
    <row r="24">
      <c r="A24" s="4" t="inlineStr">
        <is>
          <t>AyE</t>
        </is>
      </c>
      <c r="B24" s="4" t="inlineStr">
        <is>
          <t>CAL</t>
        </is>
      </c>
      <c r="C24" s="11" t="n">
        <v>1.018351507423802</v>
      </c>
      <c r="D24" s="11" t="n">
        <v>0.1713207986242627</v>
      </c>
      <c r="E24" s="11" t="n">
        <v>0.8041679270924196</v>
      </c>
      <c r="F24" s="6" t="n">
        <v>15669066.06689206</v>
      </c>
      <c r="G24" s="6" t="n">
        <v>15956617.04914268</v>
      </c>
    </row>
    <row r="25">
      <c r="A25" t="inlineStr">
        <is>
          <t>CAT</t>
        </is>
      </c>
      <c r="B25" t="inlineStr">
        <is>
          <t>NT_reg_m</t>
        </is>
      </c>
      <c r="C25" s="10" t="n">
        <v>0.9504574838894473</v>
      </c>
      <c r="D25" s="10" t="n">
        <v>0.06671786385411517</v>
      </c>
      <c r="E25" s="10" t="n">
        <v>0.8496695372360914</v>
      </c>
      <c r="F25" s="9" t="n">
        <v>128979174.9712445</v>
      </c>
      <c r="G25" s="9" t="n">
        <v>122589222.1173059</v>
      </c>
    </row>
    <row r="26">
      <c r="A26" s="4" t="inlineStr">
        <is>
          <t>CAT</t>
        </is>
      </c>
      <c r="B26" s="4" t="inlineStr">
        <is>
          <t>NT_reg_t</t>
        </is>
      </c>
      <c r="C26" s="11" t="n">
        <v>0.8422459315313813</v>
      </c>
      <c r="D26" s="11" t="n">
        <v>0.1539336109712872</v>
      </c>
      <c r="E26" s="11" t="n">
        <v>0.2760180021123724</v>
      </c>
      <c r="F26" s="6" t="n">
        <v>128979174.9712445</v>
      </c>
      <c r="G26" s="6" t="n">
        <v>108632185.3718049</v>
      </c>
    </row>
    <row r="27">
      <c r="A27" t="inlineStr">
        <is>
          <t>CAT</t>
        </is>
      </c>
      <c r="B27" t="inlineStr">
        <is>
          <t>NT_reg_susc</t>
        </is>
      </c>
      <c r="C27" s="10" t="n">
        <v>0.3110333881841639</v>
      </c>
      <c r="D27" s="10" t="n">
        <v>0.6812052124837412</v>
      </c>
      <c r="E27" s="10" t="n">
        <v>-10.969125677952</v>
      </c>
      <c r="F27" s="9" t="n">
        <v>128979174.9712445</v>
      </c>
      <c r="G27" s="9" t="n">
        <v>40116829.7965043</v>
      </c>
    </row>
    <row r="28">
      <c r="A28" s="4" t="inlineStr">
        <is>
          <t>CAT</t>
        </is>
      </c>
      <c r="B28" s="4" t="inlineStr">
        <is>
          <t>MEC_pub</t>
        </is>
      </c>
      <c r="C28" s="11" t="n">
        <v>0.2525426116757649</v>
      </c>
      <c r="D28" s="11" t="n">
        <v>0.7403502696022435</v>
      </c>
      <c r="E28" s="11" t="n">
        <v>-13.09678559071021</v>
      </c>
      <c r="F28" s="6" t="n">
        <v>128979174.9712445</v>
      </c>
      <c r="G28" s="6" t="n">
        <v>32572737.69902354</v>
      </c>
    </row>
    <row r="29">
      <c r="A29" t="inlineStr">
        <is>
          <t>CAT</t>
        </is>
      </c>
      <c r="B29" t="inlineStr">
        <is>
          <t>MEC_prop</t>
        </is>
      </c>
      <c r="C29" s="10" t="n">
        <v>0.2216547456947855</v>
      </c>
      <c r="D29" s="10" t="n">
        <v>0.7716110281668491</v>
      </c>
      <c r="E29" s="10" t="n">
        <v>-14.26003750146221</v>
      </c>
      <c r="F29" s="9" t="n">
        <v>128979174.9712445</v>
      </c>
      <c r="G29" s="9" t="n">
        <v>28588846.22817445</v>
      </c>
    </row>
    <row r="30">
      <c r="A30" s="4" t="inlineStr">
        <is>
          <t>CAT</t>
        </is>
      </c>
      <c r="B30" s="4" t="inlineStr">
        <is>
          <t>MEC_reg</t>
        </is>
      </c>
      <c r="C30" s="11" t="n">
        <v>0.9602645807816311</v>
      </c>
      <c r="D30" s="11" t="n">
        <v>0.0629181978518334</v>
      </c>
      <c r="E30" s="11" t="n">
        <v>0.8667721488031478</v>
      </c>
      <c r="F30" s="6" t="n">
        <v>128979174.9712445</v>
      </c>
      <c r="G30" s="6" t="n">
        <v>123854133.3833228</v>
      </c>
    </row>
    <row r="31">
      <c r="A31" t="inlineStr">
        <is>
          <t>CAT</t>
        </is>
      </c>
      <c r="B31" t="inlineStr">
        <is>
          <t>CAL</t>
        </is>
      </c>
      <c r="C31" s="10" t="n">
        <v>1.003224159240276</v>
      </c>
      <c r="D31" s="10" t="n">
        <v>0.05198352424558141</v>
      </c>
      <c r="E31" s="10" t="n">
        <v>0.9212839392003808</v>
      </c>
      <c r="F31" s="9" t="n">
        <v>128979174.9712445</v>
      </c>
      <c r="G31" s="9" t="n">
        <v>129395024.3700312</v>
      </c>
    </row>
    <row r="32">
      <c r="A32" s="4" t="inlineStr">
        <is>
          <t>Credito</t>
        </is>
      </c>
      <c r="B32" s="4" t="inlineStr">
        <is>
          <t>NT_reg_m</t>
        </is>
      </c>
      <c r="C32" s="11" t="n">
        <v>0.866448289156118</v>
      </c>
      <c r="D32" s="11" t="n">
        <v>0.1306464566479016</v>
      </c>
      <c r="E32" s="11" t="n">
        <v>0.5862041281400279</v>
      </c>
      <c r="F32" s="6" t="n">
        <v>3222399.28023628</v>
      </c>
      <c r="G32" s="6" t="n">
        <v>2792042.343338631</v>
      </c>
    </row>
    <row r="33">
      <c r="A33" t="inlineStr">
        <is>
          <t>Credito</t>
        </is>
      </c>
      <c r="B33" t="inlineStr">
        <is>
          <t>NT_reg_t</t>
        </is>
      </c>
      <c r="C33" s="10" t="n">
        <v>0.7396933468349619</v>
      </c>
      <c r="D33" s="10" t="n">
        <v>0.2582743391072346</v>
      </c>
      <c r="E33" s="10" t="n">
        <v>-0.1877135109156891</v>
      </c>
      <c r="F33" s="9" t="n">
        <v>3222399.28023628</v>
      </c>
      <c r="G33" s="9" t="n">
        <v>2383587.308436546</v>
      </c>
    </row>
    <row r="34">
      <c r="A34" s="4" t="inlineStr">
        <is>
          <t>Credito</t>
        </is>
      </c>
      <c r="B34" s="4" t="inlineStr">
        <is>
          <t>NT_reg_susc</t>
        </is>
      </c>
      <c r="C34" s="11" t="n">
        <v>0.02231342800289218</v>
      </c>
      <c r="D34" s="11" t="n">
        <v>0.9780599116496771</v>
      </c>
      <c r="E34" s="11" t="n">
        <v>-14.48760884183487</v>
      </c>
      <c r="F34" s="6" t="n">
        <v>3222399.28023628</v>
      </c>
      <c r="G34" s="6" t="n">
        <v>71902.77433612381</v>
      </c>
    </row>
    <row r="35">
      <c r="A35" t="inlineStr">
        <is>
          <t>Credito</t>
        </is>
      </c>
      <c r="B35" t="inlineStr">
        <is>
          <t>MEC_pub</t>
        </is>
      </c>
      <c r="C35" s="10" t="n">
        <v>0.07112206557230125</v>
      </c>
      <c r="D35" s="10" t="n">
        <v>0.9278273511010355</v>
      </c>
      <c r="E35" s="10" t="n">
        <v>-13.02709031678637</v>
      </c>
      <c r="F35" s="9" t="n">
        <v>3222399.28023628</v>
      </c>
      <c r="G35" s="9" t="n">
        <v>229183.692909101</v>
      </c>
    </row>
    <row r="36">
      <c r="A36" s="4" t="inlineStr">
        <is>
          <t>Credito</t>
        </is>
      </c>
      <c r="B36" s="4" t="inlineStr">
        <is>
          <t>MEC_prop</t>
        </is>
      </c>
      <c r="C36" s="11" t="n">
        <v>0.04525901680772164</v>
      </c>
      <c r="D36" s="11" t="n">
        <v>0.9536720815959827</v>
      </c>
      <c r="E36" s="11" t="n">
        <v>-13.81656567865761</v>
      </c>
      <c r="F36" s="6" t="n">
        <v>3222399.28023628</v>
      </c>
      <c r="G36" s="6" t="n">
        <v>145842.6231854039</v>
      </c>
    </row>
    <row r="37">
      <c r="A37" t="inlineStr">
        <is>
          <t>Credito</t>
        </is>
      </c>
      <c r="B37" t="inlineStr">
        <is>
          <t>MEC_reg</t>
        </is>
      </c>
      <c r="C37" s="10" t="n">
        <v>0.8936104846892535</v>
      </c>
      <c r="D37" s="10" t="n">
        <v>0.1062934329621965</v>
      </c>
      <c r="E37" s="10" t="n">
        <v>0.6785348439826331</v>
      </c>
      <c r="F37" s="9" t="n">
        <v>3222399.28023628</v>
      </c>
      <c r="G37" s="9" t="n">
        <v>2879569.782674244</v>
      </c>
    </row>
    <row r="38">
      <c r="A38" s="4" t="inlineStr">
        <is>
          <t>Credito</t>
        </is>
      </c>
      <c r="B38" s="4" t="inlineStr">
        <is>
          <t>CAL</t>
        </is>
      </c>
      <c r="C38" s="11" t="n">
        <v>0.9952886086713763</v>
      </c>
      <c r="D38" s="11" t="n">
        <v>0.08659423930793457</v>
      </c>
      <c r="E38" s="11" t="n">
        <v>0.8470571410652115</v>
      </c>
      <c r="F38" s="6" t="n">
        <v>3222399.28023628</v>
      </c>
      <c r="G38" s="6" t="n">
        <v>3207217.296210011</v>
      </c>
    </row>
    <row r="39">
      <c r="A39" t="inlineStr">
        <is>
          <t>Diversos</t>
        </is>
      </c>
      <c r="B39" t="inlineStr">
        <is>
          <t>NT_reg_m</t>
        </is>
      </c>
      <c r="C39" s="10" t="n">
        <v>1.006016207285961</v>
      </c>
      <c r="D39" s="10" t="n">
        <v>0.050686321157163</v>
      </c>
      <c r="E39" s="10" t="n">
        <v>0.8551379360352932</v>
      </c>
      <c r="F39" s="9" t="n">
        <v>33358736.45364012</v>
      </c>
      <c r="G39" s="9" t="n">
        <v>33559429.52694298</v>
      </c>
    </row>
    <row r="40">
      <c r="A40" s="4" t="inlineStr">
        <is>
          <t>Diversos</t>
        </is>
      </c>
      <c r="B40" s="4" t="inlineStr">
        <is>
          <t>NT_reg_t</t>
        </is>
      </c>
      <c r="C40" s="11" t="n">
        <v>0.8587314046871536</v>
      </c>
      <c r="D40" s="11" t="n">
        <v>0.1367305616733898</v>
      </c>
      <c r="E40" s="11" t="n">
        <v>0.06154322266972989</v>
      </c>
      <c r="F40" s="6" t="n">
        <v>33358736.45364012</v>
      </c>
      <c r="G40" s="6" t="n">
        <v>28646194.61342294</v>
      </c>
    </row>
    <row r="41">
      <c r="A41" t="inlineStr">
        <is>
          <t>Diversos</t>
        </is>
      </c>
      <c r="B41" t="inlineStr">
        <is>
          <t>NT_reg_susc</t>
        </is>
      </c>
      <c r="C41" s="10" t="n">
        <v>0.210735878271548</v>
      </c>
      <c r="D41" s="10" t="n">
        <v>0.788488471855966</v>
      </c>
      <c r="E41" s="10" t="n">
        <v>-23.48179050448248</v>
      </c>
      <c r="F41" s="9" t="n">
        <v>33358736.45364012</v>
      </c>
      <c r="G41" s="9" t="n">
        <v>7029882.624586958</v>
      </c>
    </row>
    <row r="42">
      <c r="A42" s="4" t="inlineStr">
        <is>
          <t>Diversos</t>
        </is>
      </c>
      <c r="B42" s="4" t="inlineStr">
        <is>
          <t>MEC_pub</t>
        </is>
      </c>
      <c r="C42" s="11" t="n">
        <v>0.1172261665857118</v>
      </c>
      <c r="D42" s="11" t="n">
        <v>0.8817743882194493</v>
      </c>
      <c r="E42" s="11" t="n">
        <v>-29.48462992814923</v>
      </c>
      <c r="F42" s="6" t="n">
        <v>33358736.45364012</v>
      </c>
      <c r="G42" s="6" t="n">
        <v>3910516.796603273</v>
      </c>
    </row>
    <row r="43">
      <c r="A43" t="inlineStr">
        <is>
          <t>Diversos</t>
        </is>
      </c>
      <c r="B43" t="inlineStr">
        <is>
          <t>MEC_prop</t>
        </is>
      </c>
      <c r="C43" s="10" t="n">
        <v>0.08328911041464106</v>
      </c>
      <c r="D43" s="10" t="n">
        <v>0.9160024856993263</v>
      </c>
      <c r="E43" s="10" t="n">
        <v>-31.85322543844001</v>
      </c>
      <c r="F43" s="9" t="n">
        <v>33358736.45364012</v>
      </c>
      <c r="G43" s="9" t="n">
        <v>2778419.483780144</v>
      </c>
    </row>
    <row r="44">
      <c r="A44" s="4" t="inlineStr">
        <is>
          <t>Diversos</t>
        </is>
      </c>
      <c r="B44" s="4" t="inlineStr">
        <is>
          <t>MEC_reg</t>
        </is>
      </c>
      <c r="C44" s="11" t="n">
        <v>1.010595955922038</v>
      </c>
      <c r="D44" s="11" t="n">
        <v>0.04984561091180322</v>
      </c>
      <c r="E44" s="11" t="n">
        <v>0.8729117300646398</v>
      </c>
      <c r="F44" s="6" t="n">
        <v>33358736.45364012</v>
      </c>
      <c r="G44" s="6" t="n">
        <v>33712204.15471777</v>
      </c>
    </row>
    <row r="45">
      <c r="A45" t="inlineStr">
        <is>
          <t>Diversos</t>
        </is>
      </c>
      <c r="B45" t="inlineStr">
        <is>
          <t>CAL</t>
        </is>
      </c>
      <c r="C45" s="10" t="n">
        <v>1.006016207285961</v>
      </c>
      <c r="D45" s="10" t="n">
        <v>0.050686321157163</v>
      </c>
      <c r="E45" s="10" t="n">
        <v>0.8551379360352932</v>
      </c>
      <c r="F45" s="9" t="n">
        <v>33358736.45364012</v>
      </c>
      <c r="G45" s="9" t="n">
        <v>33559429.52694298</v>
      </c>
    </row>
    <row r="46">
      <c r="A46" s="4" t="inlineStr">
        <is>
          <t>Incendio</t>
        </is>
      </c>
      <c r="B46" s="4" t="inlineStr">
        <is>
          <t>NT_reg_m</t>
        </is>
      </c>
      <c r="C46" s="11" t="n">
        <v>0.9969765053998528</v>
      </c>
      <c r="D46" s="11" t="n">
        <v>0.02365130252276092</v>
      </c>
      <c r="E46" s="11" t="n">
        <v>0.9820008720249376</v>
      </c>
      <c r="F46" s="6" t="n">
        <v>126512826.8820744</v>
      </c>
      <c r="G46" s="6" t="n">
        <v>126130316.0331471</v>
      </c>
    </row>
    <row r="47">
      <c r="A47" t="inlineStr">
        <is>
          <t>Incendio</t>
        </is>
      </c>
      <c r="B47" t="inlineStr">
        <is>
          <t>NT_reg_t</t>
        </is>
      </c>
      <c r="C47" s="10" t="n">
        <v>0.8678725976111196</v>
      </c>
      <c r="D47" s="10" t="n">
        <v>0.1309818573290129</v>
      </c>
      <c r="E47" s="10" t="n">
        <v>0.6559496814180537</v>
      </c>
      <c r="F47" s="9" t="n">
        <v>126512826.8820744</v>
      </c>
      <c r="G47" s="9" t="n">
        <v>109797015.6972718</v>
      </c>
    </row>
    <row r="48">
      <c r="A48" s="4" t="inlineStr">
        <is>
          <t>Incendio</t>
        </is>
      </c>
      <c r="B48" s="4" t="inlineStr">
        <is>
          <t>NT_reg_susc</t>
        </is>
      </c>
      <c r="C48" s="11" t="n">
        <v>0.2405997863075656</v>
      </c>
      <c r="D48" s="11" t="n">
        <v>0.7562575718077429</v>
      </c>
      <c r="E48" s="11" t="n">
        <v>-9.873173365092725</v>
      </c>
      <c r="F48" s="6" t="n">
        <v>126512826.8820744</v>
      </c>
      <c r="G48" s="6" t="n">
        <v>30438959.11299315</v>
      </c>
    </row>
    <row r="49">
      <c r="A49" t="inlineStr">
        <is>
          <t>Incendio</t>
        </is>
      </c>
      <c r="B49" t="inlineStr">
        <is>
          <t>MEC_pub</t>
        </is>
      </c>
      <c r="C49" s="10" t="n">
        <v>0.1638344224329102</v>
      </c>
      <c r="D49" s="10" t="n">
        <v>0.8342547793329084</v>
      </c>
      <c r="E49" s="10" t="n">
        <v>-12.07441006197281</v>
      </c>
      <c r="F49" s="9" t="n">
        <v>126512826.8820744</v>
      </c>
      <c r="G49" s="9" t="n">
        <v>20727155.92257942</v>
      </c>
    </row>
    <row r="50">
      <c r="A50" s="4" t="inlineStr">
        <is>
          <t>Incendio</t>
        </is>
      </c>
      <c r="B50" s="4" t="inlineStr">
        <is>
          <t>MEC_prop</t>
        </is>
      </c>
      <c r="C50" s="11" t="n">
        <v>0.1443134623254423</v>
      </c>
      <c r="D50" s="11" t="n">
        <v>0.8538312504043382</v>
      </c>
      <c r="E50" s="11" t="n">
        <v>-12.68936777408237</v>
      </c>
      <c r="F50" s="6" t="n">
        <v>126512826.8820744</v>
      </c>
      <c r="G50" s="6" t="n">
        <v>18257504.07593145</v>
      </c>
    </row>
    <row r="51">
      <c r="A51" t="inlineStr">
        <is>
          <t>Incendio</t>
        </is>
      </c>
      <c r="B51" t="inlineStr">
        <is>
          <t>MEC_reg</t>
        </is>
      </c>
      <c r="C51" s="10" t="n">
        <v>0.9985026168519868</v>
      </c>
      <c r="D51" s="10" t="n">
        <v>0.02402437996448106</v>
      </c>
      <c r="E51" s="10" t="n">
        <v>0.9811651442530243</v>
      </c>
      <c r="F51" s="9" t="n">
        <v>126512826.8820744</v>
      </c>
      <c r="G51" s="9" t="n">
        <v>126323388.7070937</v>
      </c>
    </row>
    <row r="52">
      <c r="A52" s="4" t="inlineStr">
        <is>
          <t>Incendio</t>
        </is>
      </c>
      <c r="B52" s="4" t="inlineStr">
        <is>
          <t>CAL</t>
        </is>
      </c>
      <c r="C52" s="11" t="n">
        <v>0.9969765053998528</v>
      </c>
      <c r="D52" s="11" t="n">
        <v>0.02365130252276092</v>
      </c>
      <c r="E52" s="11" t="n">
        <v>0.9820008720249376</v>
      </c>
      <c r="F52" s="6" t="n">
        <v>126512826.8820744</v>
      </c>
      <c r="G52" s="6" t="n">
        <v>126130316.0331471</v>
      </c>
    </row>
    <row r="53">
      <c r="A53" t="inlineStr">
        <is>
          <t>MyT</t>
        </is>
      </c>
      <c r="B53" t="inlineStr">
        <is>
          <t>NT_reg_m</t>
        </is>
      </c>
      <c r="C53" s="10" t="n">
        <v>0.9872054586241642</v>
      </c>
      <c r="D53" s="10" t="n">
        <v>0.04743613191230976</v>
      </c>
      <c r="E53" s="10" t="n">
        <v>0.969413277185568</v>
      </c>
      <c r="F53" s="9" t="n">
        <v>41927580.5163786</v>
      </c>
      <c r="G53" s="9" t="n">
        <v>41391136.3526731</v>
      </c>
    </row>
    <row r="54">
      <c r="A54" s="4" t="inlineStr">
        <is>
          <t>MyT</t>
        </is>
      </c>
      <c r="B54" s="4" t="inlineStr">
        <is>
          <t>NT_reg_t</t>
        </is>
      </c>
      <c r="C54" s="11" t="n">
        <v>0.8463802756070927</v>
      </c>
      <c r="D54" s="11" t="n">
        <v>0.1412402389295221</v>
      </c>
      <c r="E54" s="11" t="n">
        <v>0.7552475505165657</v>
      </c>
      <c r="F54" s="6" t="n">
        <v>41927580.5163786</v>
      </c>
      <c r="G54" s="6" t="n">
        <v>35486677.15299109</v>
      </c>
    </row>
    <row r="55">
      <c r="A55" t="inlineStr">
        <is>
          <t>MyT</t>
        </is>
      </c>
      <c r="B55" t="inlineStr">
        <is>
          <t>NT_reg_susc</t>
        </is>
      </c>
      <c r="C55" s="10" t="n">
        <v>0.2969431126668635</v>
      </c>
      <c r="D55" s="10" t="n">
        <v>0.7001049679803483</v>
      </c>
      <c r="E55" s="10" t="n">
        <v>-3.200141728236447</v>
      </c>
      <c r="F55" s="9" t="n">
        <v>41927580.5163786</v>
      </c>
      <c r="G55" s="9" t="n">
        <v>12450106.265124</v>
      </c>
    </row>
    <row r="56">
      <c r="A56" s="4" t="inlineStr">
        <is>
          <t>MyT</t>
        </is>
      </c>
      <c r="B56" s="4" t="inlineStr">
        <is>
          <t>MEC_pub</t>
        </is>
      </c>
      <c r="C56" s="11" t="n">
        <v>0.1451399646555647</v>
      </c>
      <c r="D56" s="11" t="n">
        <v>0.8488372703372047</v>
      </c>
      <c r="E56" s="11" t="n">
        <v>-5.06647655126633</v>
      </c>
      <c r="F56" s="6" t="n">
        <v>41927580.5163786</v>
      </c>
      <c r="G56" s="6" t="n">
        <v>6085367.554240533</v>
      </c>
    </row>
    <row r="57">
      <c r="A57" t="inlineStr">
        <is>
          <t>MyT</t>
        </is>
      </c>
      <c r="B57" t="inlineStr">
        <is>
          <t>MEC_prop</t>
        </is>
      </c>
      <c r="C57" s="10" t="n">
        <v>0.1487930641634014</v>
      </c>
      <c r="D57" s="10" t="n">
        <v>0.8450960408503926</v>
      </c>
      <c r="E57" s="10" t="n">
        <v>-5.016413939862684</v>
      </c>
      <c r="F57" s="9" t="n">
        <v>41927580.5163786</v>
      </c>
      <c r="G57" s="9" t="n">
        <v>6238533.1779897</v>
      </c>
    </row>
    <row r="58">
      <c r="A58" s="4" t="inlineStr">
        <is>
          <t>MyT</t>
        </is>
      </c>
      <c r="B58" s="4" t="inlineStr">
        <is>
          <t>MEC_reg</t>
        </is>
      </c>
      <c r="C58" s="11" t="n">
        <v>0.9974495444756305</v>
      </c>
      <c r="D58" s="11" t="n">
        <v>0.05938357650028325</v>
      </c>
      <c r="E58" s="11" t="n">
        <v>0.9670712238798526</v>
      </c>
      <c r="F58" s="6" t="n">
        <v>41927580.5163786</v>
      </c>
      <c r="G58" s="6" t="n">
        <v>41820646.08702715</v>
      </c>
    </row>
    <row r="59">
      <c r="A59" t="inlineStr">
        <is>
          <t>MyT</t>
        </is>
      </c>
      <c r="B59" t="inlineStr">
        <is>
          <t>CAL</t>
        </is>
      </c>
      <c r="C59" s="10" t="n">
        <v>1.00514990983116</v>
      </c>
      <c r="D59" s="10" t="n">
        <v>0.05150388914530628</v>
      </c>
      <c r="E59" s="10" t="n">
        <v>0.9732754856812094</v>
      </c>
      <c r="F59" s="9" t="n">
        <v>41927580.5163786</v>
      </c>
      <c r="G59" s="9" t="n">
        <v>42143503.77547666</v>
      </c>
    </row>
    <row r="60">
      <c r="A60" s="4" t="inlineStr">
        <is>
          <t>RC</t>
        </is>
      </c>
      <c r="B60" s="4" t="inlineStr">
        <is>
          <t>NT_reg_m</t>
        </is>
      </c>
      <c r="C60" s="11" t="n">
        <v>0.989480131709223</v>
      </c>
      <c r="D60" s="11" t="n">
        <v>0.09784144962708995</v>
      </c>
      <c r="E60" s="11" t="n">
        <v>0.8092337621796277</v>
      </c>
      <c r="F60" s="6" t="n">
        <v>13203840.85665919</v>
      </c>
      <c r="G60" s="6" t="n">
        <v>13064938.18991476</v>
      </c>
    </row>
    <row r="61">
      <c r="A61" t="inlineStr">
        <is>
          <t>RC</t>
        </is>
      </c>
      <c r="B61" t="inlineStr">
        <is>
          <t>NT_reg_t</t>
        </is>
      </c>
      <c r="C61" s="10" t="n">
        <v>0.8573000127698227</v>
      </c>
      <c r="D61" s="10" t="n">
        <v>0.1479211098387976</v>
      </c>
      <c r="E61" s="10" t="n">
        <v>0.580272949892801</v>
      </c>
      <c r="F61" s="9" t="n">
        <v>13203840.85665919</v>
      </c>
      <c r="G61" s="9" t="n">
        <v>11319652.93502463</v>
      </c>
    </row>
    <row r="62">
      <c r="A62" s="4" t="inlineStr">
        <is>
          <t>RC</t>
        </is>
      </c>
      <c r="B62" s="4" t="inlineStr">
        <is>
          <t>NT_reg_susc</t>
        </is>
      </c>
      <c r="C62" s="11" t="n">
        <v>0.2239835383489597</v>
      </c>
      <c r="D62" s="11" t="n">
        <v>0.7782319126826653</v>
      </c>
      <c r="E62" s="11" t="n">
        <v>-7.245168514662055</v>
      </c>
      <c r="F62" s="6" t="n">
        <v>13203840.85665919</v>
      </c>
      <c r="G62" s="6" t="n">
        <v>2957442.994871085</v>
      </c>
    </row>
    <row r="63">
      <c r="A63" t="inlineStr">
        <is>
          <t>RC</t>
        </is>
      </c>
      <c r="B63" t="inlineStr">
        <is>
          <t>MEC_pub</t>
        </is>
      </c>
      <c r="C63" s="10" t="n">
        <v>0.1453536571676917</v>
      </c>
      <c r="D63" s="10" t="n">
        <v>0.8572289569802651</v>
      </c>
      <c r="E63" s="10" t="n">
        <v>-8.77036044870203</v>
      </c>
      <c r="F63" s="9" t="n">
        <v>13203840.85665919</v>
      </c>
      <c r="G63" s="9" t="n">
        <v>1919226.557175601</v>
      </c>
    </row>
    <row r="64">
      <c r="A64" s="4" t="inlineStr">
        <is>
          <t>RC</t>
        </is>
      </c>
      <c r="B64" s="4" t="inlineStr">
        <is>
          <t>MEC_prop</t>
        </is>
      </c>
      <c r="C64" s="11" t="n">
        <v>0.1144470703584973</v>
      </c>
      <c r="D64" s="11" t="n">
        <v>0.8879499682372233</v>
      </c>
      <c r="E64" s="11" t="n">
        <v>-9.496739119633867</v>
      </c>
      <c r="F64" s="6" t="n">
        <v>13203840.85665919</v>
      </c>
      <c r="G64" s="6" t="n">
        <v>1511140.903524476</v>
      </c>
    </row>
    <row r="65">
      <c r="A65" t="inlineStr">
        <is>
          <t>RC</t>
        </is>
      </c>
      <c r="B65" t="inlineStr">
        <is>
          <t>MEC_reg</t>
        </is>
      </c>
      <c r="C65" s="10" t="n">
        <v>0.9882629724767431</v>
      </c>
      <c r="D65" s="10" t="n">
        <v>0.09224579101746933</v>
      </c>
      <c r="E65" s="10" t="n">
        <v>0.830984334463862</v>
      </c>
      <c r="F65" s="9" t="n">
        <v>13203840.85665919</v>
      </c>
      <c r="G65" s="9" t="n">
        <v>13048867.01311188</v>
      </c>
    </row>
    <row r="66">
      <c r="A66" s="4" t="inlineStr">
        <is>
          <t>RC</t>
        </is>
      </c>
      <c r="B66" s="4" t="inlineStr">
        <is>
          <t>CAL</t>
        </is>
      </c>
      <c r="C66" s="11" t="n">
        <v>0.989480131709223</v>
      </c>
      <c r="D66" s="11" t="n">
        <v>0.09784144962708995</v>
      </c>
      <c r="E66" s="11" t="n">
        <v>0.8092337621796277</v>
      </c>
      <c r="F66" s="6" t="n">
        <v>13203840.85665919</v>
      </c>
      <c r="G66" s="6" t="n">
        <v>13064938.18991476</v>
      </c>
    </row>
    <row r="67">
      <c r="A67" t="inlineStr">
        <is>
          <t>Vida</t>
        </is>
      </c>
      <c r="B67" t="inlineStr">
        <is>
          <t>NT_reg_m</t>
        </is>
      </c>
      <c r="C67" s="10" t="n">
        <v>1.160686962319971</v>
      </c>
      <c r="D67" s="10" t="n">
        <v>0.1874650541322993</v>
      </c>
      <c r="E67" s="10" t="n">
        <v>0.8685243279164634</v>
      </c>
      <c r="F67" s="9" t="n">
        <v>27127101.62704553</v>
      </c>
      <c r="G67" s="9" t="n">
        <v>31486073.18404061</v>
      </c>
    </row>
    <row r="68">
      <c r="A68" s="4" t="inlineStr">
        <is>
          <t>Vida</t>
        </is>
      </c>
      <c r="B68" s="4" t="inlineStr">
        <is>
          <t>NT_reg_t</t>
        </is>
      </c>
      <c r="C68" s="11" t="n">
        <v>1.065365487696604</v>
      </c>
      <c r="D68" s="11" t="n">
        <v>0.1123277082481119</v>
      </c>
      <c r="E68" s="11" t="n">
        <v>0.9563685580778686</v>
      </c>
      <c r="F68" s="6" t="n">
        <v>27127101.62704553</v>
      </c>
      <c r="G68" s="6" t="n">
        <v>28900277.85469271</v>
      </c>
    </row>
    <row r="69">
      <c r="A69" t="inlineStr">
        <is>
          <t>Vida</t>
        </is>
      </c>
      <c r="B69" t="inlineStr">
        <is>
          <t>NT_reg_susc</t>
        </is>
      </c>
      <c r="C69" s="10" t="n">
        <v>0.4301742527016266</v>
      </c>
      <c r="D69" s="10" t="n">
        <v>0.6068384797778255</v>
      </c>
      <c r="E69" s="10" t="n">
        <v>-0.4533773250335722</v>
      </c>
      <c r="F69" s="9" t="n">
        <v>27127101.62704553</v>
      </c>
      <c r="G69" s="9" t="n">
        <v>11669380.67037539</v>
      </c>
    </row>
    <row r="70">
      <c r="A70" s="4" t="inlineStr">
        <is>
          <t>Vida</t>
        </is>
      </c>
      <c r="B70" s="4" t="inlineStr">
        <is>
          <t>MEC_pub</t>
        </is>
      </c>
      <c r="C70" s="11" t="n">
        <v>0.4229431935884212</v>
      </c>
      <c r="D70" s="11" t="n">
        <v>0.5816355186275645</v>
      </c>
      <c r="E70" s="11" t="n">
        <v>-0.5862996039045043</v>
      </c>
      <c r="F70" s="6" t="n">
        <v>27127101.62704553</v>
      </c>
      <c r="G70" s="6" t="n">
        <v>11473222.99494029</v>
      </c>
    </row>
    <row r="71">
      <c r="A71" t="inlineStr">
        <is>
          <t>Vida</t>
        </is>
      </c>
      <c r="B71" t="inlineStr">
        <is>
          <t>MEC_prop</t>
        </is>
      </c>
      <c r="C71" s="10" t="n">
        <v>0.4229431935884212</v>
      </c>
      <c r="D71" s="10" t="n">
        <v>0.5816355186275645</v>
      </c>
      <c r="E71" s="10" t="n">
        <v>-0.5862996039045043</v>
      </c>
      <c r="F71" s="9" t="n">
        <v>27127101.62704553</v>
      </c>
      <c r="G71" s="9" t="n">
        <v>11473222.99494029</v>
      </c>
    </row>
    <row r="72">
      <c r="A72" s="4" t="inlineStr">
        <is>
          <t>Vida</t>
        </is>
      </c>
      <c r="B72" s="4" t="inlineStr">
        <is>
          <t>MEC_reg</t>
        </is>
      </c>
      <c r="C72" s="11" t="n">
        <v>1.167570024105725</v>
      </c>
      <c r="D72" s="11" t="n">
        <v>0.1985453499225211</v>
      </c>
      <c r="E72" s="11" t="n">
        <v>0.8650553513806278</v>
      </c>
      <c r="F72" s="6" t="n">
        <v>27127101.62704553</v>
      </c>
      <c r="G72" s="6" t="n">
        <v>31672790.70060799</v>
      </c>
    </row>
    <row r="73">
      <c r="A73" t="inlineStr">
        <is>
          <t>Vida</t>
        </is>
      </c>
      <c r="B73" t="inlineStr">
        <is>
          <t>CAL</t>
        </is>
      </c>
      <c r="C73" s="10" t="n">
        <v>1.016124888022157</v>
      </c>
      <c r="D73" s="10" t="n">
        <v>0.1008191080290666</v>
      </c>
      <c r="E73" s="10" t="n">
        <v>0.9593737583046322</v>
      </c>
      <c r="F73" s="9" t="n">
        <v>27127101.62704553</v>
      </c>
      <c r="G73" s="9" t="n">
        <v>27564523.1031473</v>
      </c>
    </row>
    <row r="74">
      <c r="A74" s="4" t="inlineStr">
        <is>
          <t>TOTAL</t>
        </is>
      </c>
      <c r="B74" s="4" t="inlineStr">
        <is>
          <t>NT_reg_m</t>
        </is>
      </c>
      <c r="C74" s="11" t="n">
        <v>0.9926122933792749</v>
      </c>
      <c r="D74" s="11" t="n">
        <v>0.03028934361512249</v>
      </c>
      <c r="E74" s="11" t="n">
        <v>0.9817373723298962</v>
      </c>
      <c r="F74" s="6" t="n">
        <v>396985666.0749335</v>
      </c>
      <c r="G74" s="6" t="n">
        <v>394052852.4413388</v>
      </c>
    </row>
    <row r="75">
      <c r="A75" t="inlineStr">
        <is>
          <t>TOTAL</t>
        </is>
      </c>
      <c r="B75" t="inlineStr">
        <is>
          <t>NT_reg_t</t>
        </is>
      </c>
      <c r="C75" s="10" t="n">
        <v>0.8711901974064478</v>
      </c>
      <c r="D75" s="10" t="n">
        <v>0.1280190770038703</v>
      </c>
      <c r="E75" s="10" t="n">
        <v>0.6949905017595341</v>
      </c>
      <c r="F75" s="9" t="n">
        <v>396985666.0749335</v>
      </c>
      <c r="G75" s="9" t="n">
        <v>345850020.7953514</v>
      </c>
    </row>
    <row r="76">
      <c r="A76" s="4" t="inlineStr">
        <is>
          <t>TOTAL</t>
        </is>
      </c>
      <c r="B76" s="4" t="inlineStr">
        <is>
          <t>NT_reg_susc</t>
        </is>
      </c>
      <c r="C76" s="11" t="n">
        <v>0.2936195591684788</v>
      </c>
      <c r="D76" s="11" t="n">
        <v>0.7051665119783576</v>
      </c>
      <c r="E76" s="11" t="n">
        <v>-7.660682218091919</v>
      </c>
      <c r="F76" s="6" t="n">
        <v>396985666.0749335</v>
      </c>
      <c r="G76" s="6" t="n">
        <v>116562756.2691269</v>
      </c>
    </row>
    <row r="77">
      <c r="A77" t="inlineStr">
        <is>
          <t>TOTAL</t>
        </is>
      </c>
      <c r="B77" t="inlineStr">
        <is>
          <t>MEC_pub</t>
        </is>
      </c>
      <c r="C77" s="10" t="n">
        <v>0.2179315301309671</v>
      </c>
      <c r="D77" s="10" t="n">
        <v>0.7795690179780151</v>
      </c>
      <c r="E77" s="10" t="n">
        <v>-9.619120622704598</v>
      </c>
      <c r="F77" s="9" t="n">
        <v>396985666.0749335</v>
      </c>
      <c r="G77" s="9" t="n">
        <v>86515693.64777139</v>
      </c>
    </row>
    <row r="78">
      <c r="A78" s="4" t="inlineStr">
        <is>
          <t>TOTAL</t>
        </is>
      </c>
      <c r="B78" s="4" t="inlineStr">
        <is>
          <t>MEC_prop</t>
        </is>
      </c>
      <c r="C78" s="11" t="n">
        <v>0.1936053309791247</v>
      </c>
      <c r="D78" s="11" t="n">
        <v>0.8039433969220036</v>
      </c>
      <c r="E78" s="11" t="n">
        <v>-10.28622754582074</v>
      </c>
      <c r="F78" s="6" t="n">
        <v>396985666.0749335</v>
      </c>
      <c r="G78" s="6" t="n">
        <v>76858541.27440576</v>
      </c>
    </row>
    <row r="79">
      <c r="A79" t="inlineStr">
        <is>
          <t>TOTAL</t>
        </is>
      </c>
      <c r="B79" t="inlineStr">
        <is>
          <t>MEC_reg</t>
        </is>
      </c>
      <c r="C79" s="10" t="n">
        <v>1.007371241948285</v>
      </c>
      <c r="D79" s="10" t="n">
        <v>0.03020808252188482</v>
      </c>
      <c r="E79" s="10" t="n">
        <v>0.9817109005195011</v>
      </c>
      <c r="F79" s="9" t="n">
        <v>396985666.0749335</v>
      </c>
      <c r="G79" s="9" t="n">
        <v>399911943.469573</v>
      </c>
    </row>
    <row r="80">
      <c r="A80" s="4" t="inlineStr">
        <is>
          <t>TOTAL</t>
        </is>
      </c>
      <c r="B80" s="4" t="inlineStr">
        <is>
          <t>CAL</t>
        </is>
      </c>
      <c r="C80" s="11" t="n">
        <v>0.988969877908804</v>
      </c>
      <c r="D80" s="11" t="n">
        <v>0.03127473586446074</v>
      </c>
      <c r="E80" s="11" t="n">
        <v>0.9798066884899574</v>
      </c>
      <c r="F80" s="6" t="n">
        <v>396985666.0749335</v>
      </c>
      <c r="G80" s="6" t="n">
        <v>392606865.7096722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CALIBRACIÓN δ POR RAMO · FND = max(0, NT(k_registro) − δ) para proporcional/facultativo</t>
        </is>
      </c>
    </row>
    <row r="2" ht="30" customHeight="1">
      <c r="A2" s="2" t="inlineStr">
        <is>
          <t>δ es el desplazamiento de la regla M4 del MEC (frecuencia de cuentas): δ = (t−1)/2·30/365 → t = 1 + 2δ·365/30 meses equivalentes</t>
        </is>
      </c>
    </row>
    <row r="3" ht="32" customHeight="1">
      <c r="A3" s="3" t="inlineStr">
        <is>
          <t>Grupo</t>
        </is>
      </c>
      <c r="B3" s="3" t="inlineStr">
        <is>
          <t>delta</t>
        </is>
      </c>
      <c r="C3" s="3" t="inlineStr">
        <is>
          <t>meses_equiv_cuentas</t>
        </is>
      </c>
      <c r="D3" s="3" t="inlineStr">
        <is>
          <t>ratio</t>
        </is>
      </c>
      <c r="E3" s="3" t="inlineStr">
        <is>
          <t>MAPE</t>
        </is>
      </c>
      <c r="F3" s="3" t="inlineStr">
        <is>
          <t>R2</t>
        </is>
      </c>
      <c r="G3" s="3" t="inlineStr">
        <is>
          <t>PND_real_prom</t>
        </is>
      </c>
      <c r="H3" s="3" t="inlineStr">
        <is>
          <t>ventana_desde</t>
        </is>
      </c>
    </row>
    <row r="4">
      <c r="A4" s="4" t="inlineStr">
        <is>
          <t>Agro</t>
        </is>
      </c>
      <c r="B4" s="19" t="n">
        <v>0.095</v>
      </c>
      <c r="C4" s="6" t="n">
        <v>3.311666666666667</v>
      </c>
      <c r="D4" s="11" t="n">
        <v>0.9684051428062688</v>
      </c>
      <c r="E4" s="11" t="n">
        <v>0.08469928839726808</v>
      </c>
      <c r="F4" s="11" t="n">
        <v>0.9236951384952484</v>
      </c>
      <c r="G4" s="6" t="n">
        <v>7519859.596419869</v>
      </c>
      <c r="H4" s="6" t="n">
        <v>202301</v>
      </c>
    </row>
    <row r="5">
      <c r="A5" t="inlineStr">
        <is>
          <t>Autos</t>
        </is>
      </c>
      <c r="B5" s="20" t="n">
        <v>0.13</v>
      </c>
      <c r="C5" s="9" t="n">
        <v>4.163333333333334</v>
      </c>
      <c r="D5" s="10" t="n">
        <v>0.9211682540412455</v>
      </c>
      <c r="E5" s="10" t="n">
        <v>0.1595261000982454</v>
      </c>
      <c r="F5" s="10" t="n">
        <v>0.6274880956945155</v>
      </c>
      <c r="G5" s="9" t="n">
        <v>10260758.76956852</v>
      </c>
      <c r="H5" s="9" t="n">
        <v>202301</v>
      </c>
    </row>
    <row r="6">
      <c r="A6" s="4" t="inlineStr">
        <is>
          <t>AyE</t>
        </is>
      </c>
      <c r="B6" s="19" t="n">
        <v>0.045</v>
      </c>
      <c r="C6" s="6" t="n">
        <v>2.095</v>
      </c>
      <c r="D6" s="11" t="n">
        <v>1.018351507423802</v>
      </c>
      <c r="E6" s="11" t="n">
        <v>0.1713207986242627</v>
      </c>
      <c r="F6" s="11" t="n">
        <v>0.8041679270924196</v>
      </c>
      <c r="G6" s="6" t="n">
        <v>15669066.06689206</v>
      </c>
      <c r="H6" s="6" t="n">
        <v>202301</v>
      </c>
    </row>
    <row r="7">
      <c r="A7" t="inlineStr">
        <is>
          <t>CAT</t>
        </is>
      </c>
      <c r="B7" s="20" t="n">
        <v>-0.035</v>
      </c>
      <c r="C7" s="9" t="n">
        <v>0.1483333333333333</v>
      </c>
      <c r="D7" s="10" t="n">
        <v>1.003224159240276</v>
      </c>
      <c r="E7" s="10" t="n">
        <v>0.05198352424558116</v>
      </c>
      <c r="F7" s="10" t="n">
        <v>0.9212839392003805</v>
      </c>
      <c r="G7" s="9" t="n">
        <v>128979174.9712445</v>
      </c>
      <c r="H7" s="9" t="n">
        <v>202401</v>
      </c>
    </row>
    <row r="8">
      <c r="A8" s="4" t="inlineStr">
        <is>
          <t>Credito</t>
        </is>
      </c>
      <c r="B8" s="19" t="n">
        <v>-0.08500000000000001</v>
      </c>
      <c r="C8" s="6" t="n">
        <v>-1.068333333333333</v>
      </c>
      <c r="D8" s="11" t="n">
        <v>0.9952886086713763</v>
      </c>
      <c r="E8" s="11" t="n">
        <v>0.08659423930793453</v>
      </c>
      <c r="F8" s="11" t="n">
        <v>0.8470571410652115</v>
      </c>
      <c r="G8" s="6" t="n">
        <v>3222399.28023628</v>
      </c>
      <c r="H8" s="6" t="n">
        <v>202301</v>
      </c>
    </row>
    <row r="9">
      <c r="A9" t="inlineStr">
        <is>
          <t>Diversos</t>
        </is>
      </c>
      <c r="B9" s="20" t="n">
        <v>0</v>
      </c>
      <c r="C9" s="9" t="n">
        <v>1</v>
      </c>
      <c r="D9" s="10" t="n">
        <v>1.006016207285961</v>
      </c>
      <c r="E9" s="10" t="n">
        <v>0.05068632115716291</v>
      </c>
      <c r="F9" s="10" t="n">
        <v>0.8551379360352935</v>
      </c>
      <c r="G9" s="9" t="n">
        <v>33358736.45364012</v>
      </c>
      <c r="H9" s="9" t="n">
        <v>202301</v>
      </c>
    </row>
    <row r="10">
      <c r="A10" s="4" t="inlineStr">
        <is>
          <t>Incendio</t>
        </is>
      </c>
      <c r="B10" s="19" t="n">
        <v>0</v>
      </c>
      <c r="C10" s="6" t="n">
        <v>1</v>
      </c>
      <c r="D10" s="11" t="n">
        <v>0.9969765053998528</v>
      </c>
      <c r="E10" s="11" t="n">
        <v>0.02365130252276089</v>
      </c>
      <c r="F10" s="11" t="n">
        <v>0.9820008720249377</v>
      </c>
      <c r="G10" s="6" t="n">
        <v>126512826.8820744</v>
      </c>
      <c r="H10" s="6" t="n">
        <v>202301</v>
      </c>
    </row>
    <row r="11">
      <c r="A11" t="inlineStr">
        <is>
          <t>MyT</t>
        </is>
      </c>
      <c r="B11" s="20" t="n">
        <v>-0.01</v>
      </c>
      <c r="C11" s="9" t="n">
        <v>0.7566666666666667</v>
      </c>
      <c r="D11" s="10" t="n">
        <v>1.00514990983116</v>
      </c>
      <c r="E11" s="10" t="n">
        <v>0.05150388914530621</v>
      </c>
      <c r="F11" s="10" t="n">
        <v>0.9732754856812094</v>
      </c>
      <c r="G11" s="9" t="n">
        <v>41927580.5163786</v>
      </c>
      <c r="H11" s="9" t="n">
        <v>202301</v>
      </c>
    </row>
    <row r="12">
      <c r="A12" s="4" t="inlineStr">
        <is>
          <t>RC</t>
        </is>
      </c>
      <c r="B12" s="19" t="n">
        <v>0</v>
      </c>
      <c r="C12" s="6" t="n">
        <v>1</v>
      </c>
      <c r="D12" s="11" t="n">
        <v>0.9894801317092231</v>
      </c>
      <c r="E12" s="11" t="n">
        <v>0.09784144962709003</v>
      </c>
      <c r="F12" s="11" t="n">
        <v>0.8092337621796275</v>
      </c>
      <c r="G12" s="6" t="n">
        <v>13203840.85665919</v>
      </c>
      <c r="H12" s="6" t="n">
        <v>202301</v>
      </c>
    </row>
    <row r="13">
      <c r="A13" t="inlineStr">
        <is>
          <t>Vida</t>
        </is>
      </c>
      <c r="B13" s="20" t="n">
        <v>0.07000000000000001</v>
      </c>
      <c r="C13" s="9" t="n">
        <v>2.703333333333333</v>
      </c>
      <c r="D13" s="10" t="n">
        <v>1.016124888022157</v>
      </c>
      <c r="E13" s="10" t="n">
        <v>0.1008191080290666</v>
      </c>
      <c r="F13" s="10" t="n">
        <v>0.9593737583046322</v>
      </c>
      <c r="G13" s="9" t="n">
        <v>27127101.62704553</v>
      </c>
      <c r="H13" s="9" t="n">
        <v>202301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TABLA FND CALIBRADA · % NO DEVENGADO POR ANTIGÜEDAD DE REGISTRO (k=0 mes de registro)</t>
        </is>
      </c>
    </row>
    <row r="2" ht="30" customHeight="1">
      <c r="A2" s="2" t="inlineStr">
        <is>
          <t>Se aplica a proporcional y facultativo; el no proporcional sigue con prorrata exacta por fechas de vigencia.</t>
        </is>
      </c>
    </row>
    <row r="3" ht="32" customHeight="1">
      <c r="A3" s="3" t="inlineStr">
        <is>
          <t>Vector</t>
        </is>
      </c>
      <c r="B3" s="3" t="inlineStr">
        <is>
          <t>k=0</t>
        </is>
      </c>
      <c r="C3" s="3" t="inlineStr">
        <is>
          <t>k=1</t>
        </is>
      </c>
      <c r="D3" s="3" t="inlineStr">
        <is>
          <t>k=2</t>
        </is>
      </c>
      <c r="E3" s="3" t="inlineStr">
        <is>
          <t>k=3</t>
        </is>
      </c>
      <c r="F3" s="3" t="inlineStr">
        <is>
          <t>k=4</t>
        </is>
      </c>
      <c r="G3" s="3" t="inlineStr">
        <is>
          <t>k=5</t>
        </is>
      </c>
      <c r="H3" s="3" t="inlineStr">
        <is>
          <t>k=6</t>
        </is>
      </c>
      <c r="I3" s="3" t="inlineStr">
        <is>
          <t>k=7</t>
        </is>
      </c>
      <c r="J3" s="3" t="inlineStr">
        <is>
          <t>k=8</t>
        </is>
      </c>
      <c r="K3" s="3" t="inlineStr">
        <is>
          <t>k=9</t>
        </is>
      </c>
      <c r="L3" s="3" t="inlineStr">
        <is>
          <t>k=10</t>
        </is>
      </c>
      <c r="M3" s="3" t="inlineStr">
        <is>
          <t>k=11</t>
        </is>
      </c>
    </row>
    <row r="4">
      <c r="A4" s="4" t="inlineStr">
        <is>
          <t>NT mensual (referencia)</t>
        </is>
      </c>
      <c r="B4" s="11" t="n">
        <v>0.95890411</v>
      </c>
      <c r="C4" s="11" t="n">
        <v>0.876712329</v>
      </c>
      <c r="D4" s="11" t="n">
        <v>0.791780822</v>
      </c>
      <c r="E4" s="11" t="n">
        <v>0.706849315</v>
      </c>
      <c r="F4" s="11" t="n">
        <v>0.624657534</v>
      </c>
      <c r="G4" s="11" t="n">
        <v>0.5397260270000001</v>
      </c>
      <c r="H4" s="11" t="n">
        <v>0.457534247</v>
      </c>
      <c r="I4" s="11" t="n">
        <v>0.37260274</v>
      </c>
      <c r="J4" s="11" t="n">
        <v>0.295890411</v>
      </c>
      <c r="K4" s="11" t="n">
        <v>0.210958904</v>
      </c>
      <c r="L4" s="11" t="n">
        <v>0.126027397</v>
      </c>
      <c r="M4" s="11" t="n">
        <v>0.043835616</v>
      </c>
    </row>
    <row r="5">
      <c r="A5" t="inlineStr">
        <is>
          <t>NT trimestral (referencia)</t>
        </is>
      </c>
      <c r="B5" s="10" t="n">
        <v>0.8767123291780822</v>
      </c>
      <c r="C5" s="10" t="n">
        <v>0.7945205481780822</v>
      </c>
      <c r="D5" s="10" t="n">
        <v>0.7095890411780822</v>
      </c>
      <c r="E5" s="10" t="n">
        <v>0.6246575341780822</v>
      </c>
      <c r="F5" s="10" t="n">
        <v>0.5424657531780822</v>
      </c>
      <c r="G5" s="10" t="n">
        <v>0.4575342461780822</v>
      </c>
      <c r="H5" s="10" t="n">
        <v>0.3753424661780822</v>
      </c>
      <c r="I5" s="10" t="n">
        <v>0.2904109591780822</v>
      </c>
      <c r="J5" s="10" t="n">
        <v>0.2136986301780822</v>
      </c>
      <c r="K5" s="10" t="n">
        <v>0.1287671231780822</v>
      </c>
      <c r="L5" s="10" t="n">
        <v>0.04383561617808221</v>
      </c>
      <c r="M5" s="10" t="n">
        <v>0</v>
      </c>
    </row>
    <row r="6">
      <c r="A6" s="4" t="inlineStr">
        <is>
          <t>Agro (ramo 80) δ=+0.095</t>
        </is>
      </c>
      <c r="B6" s="11" t="n">
        <v>0.86390411</v>
      </c>
      <c r="C6" s="11" t="n">
        <v>0.781712329</v>
      </c>
      <c r="D6" s="11" t="n">
        <v>0.696780822</v>
      </c>
      <c r="E6" s="11" t="n">
        <v>0.6118493150000001</v>
      </c>
      <c r="F6" s="11" t="n">
        <v>0.529657534</v>
      </c>
      <c r="G6" s="11" t="n">
        <v>0.4447260270000001</v>
      </c>
      <c r="H6" s="11" t="n">
        <v>0.362534247</v>
      </c>
      <c r="I6" s="11" t="n">
        <v>0.27760274</v>
      </c>
      <c r="J6" s="11" t="n">
        <v>0.200890411</v>
      </c>
      <c r="K6" s="11" t="n">
        <v>0.115958904</v>
      </c>
      <c r="L6" s="11" t="n">
        <v>0.03102739700000001</v>
      </c>
      <c r="M6" s="11" t="n">
        <v>0</v>
      </c>
    </row>
    <row r="7">
      <c r="A7" t="inlineStr">
        <is>
          <t>Autos (ramo 90) δ=+0.130</t>
        </is>
      </c>
      <c r="B7" s="10" t="n">
        <v>0.82890411</v>
      </c>
      <c r="C7" s="10" t="n">
        <v>0.746712329</v>
      </c>
      <c r="D7" s="10" t="n">
        <v>0.661780822</v>
      </c>
      <c r="E7" s="10" t="n">
        <v>0.576849315</v>
      </c>
      <c r="F7" s="10" t="n">
        <v>0.494657534</v>
      </c>
      <c r="G7" s="10" t="n">
        <v>0.409726027</v>
      </c>
      <c r="H7" s="10" t="n">
        <v>0.327534247</v>
      </c>
      <c r="I7" s="10" t="n">
        <v>0.24260274</v>
      </c>
      <c r="J7" s="10" t="n">
        <v>0.165890411</v>
      </c>
      <c r="K7" s="10" t="n">
        <v>0.080958904</v>
      </c>
      <c r="L7" s="10" t="n">
        <v>0</v>
      </c>
      <c r="M7" s="10" t="n">
        <v>0</v>
      </c>
    </row>
    <row r="8">
      <c r="A8" s="4" t="inlineStr">
        <is>
          <t>AyE (ramo 30) δ=+0.045</t>
        </is>
      </c>
      <c r="B8" s="11" t="n">
        <v>0.9139041099999999</v>
      </c>
      <c r="C8" s="11" t="n">
        <v>0.8317123289999999</v>
      </c>
      <c r="D8" s="11" t="n">
        <v>0.746780822</v>
      </c>
      <c r="E8" s="11" t="n">
        <v>0.661849315</v>
      </c>
      <c r="F8" s="11" t="n">
        <v>0.579657534</v>
      </c>
      <c r="G8" s="11" t="n">
        <v>0.4947260270000001</v>
      </c>
      <c r="H8" s="11" t="n">
        <v>0.412534247</v>
      </c>
      <c r="I8" s="11" t="n">
        <v>0.32760274</v>
      </c>
      <c r="J8" s="11" t="n">
        <v>0.250890411</v>
      </c>
      <c r="K8" s="11" t="n">
        <v>0.165958904</v>
      </c>
      <c r="L8" s="11" t="n">
        <v>0.08102739700000001</v>
      </c>
      <c r="M8" s="11" t="n">
        <v>0</v>
      </c>
    </row>
    <row r="9">
      <c r="A9" t="inlineStr">
        <is>
          <t>CAT (ramo 70) δ=-0.035</t>
        </is>
      </c>
      <c r="B9" s="10" t="n">
        <v>0.99390411</v>
      </c>
      <c r="C9" s="10" t="n">
        <v>0.911712329</v>
      </c>
      <c r="D9" s="10" t="n">
        <v>0.826780822</v>
      </c>
      <c r="E9" s="10" t="n">
        <v>0.7418493150000001</v>
      </c>
      <c r="F9" s="10" t="n">
        <v>0.659657534</v>
      </c>
      <c r="G9" s="10" t="n">
        <v>0.5747260270000001</v>
      </c>
      <c r="H9" s="10" t="n">
        <v>0.492534247</v>
      </c>
      <c r="I9" s="10" t="n">
        <v>0.40760274</v>
      </c>
      <c r="J9" s="10" t="n">
        <v>0.3308904110000001</v>
      </c>
      <c r="K9" s="10" t="n">
        <v>0.245958904</v>
      </c>
      <c r="L9" s="10" t="n">
        <v>0.161027397</v>
      </c>
      <c r="M9" s="10" t="n">
        <v>0.078835616</v>
      </c>
    </row>
    <row r="10">
      <c r="A10" s="4" t="inlineStr">
        <is>
          <t>Credito (ramo 100) δ=-0.085</t>
        </is>
      </c>
      <c r="B10" s="11" t="n">
        <v>1</v>
      </c>
      <c r="C10" s="11" t="n">
        <v>0.9617123289999999</v>
      </c>
      <c r="D10" s="11" t="n">
        <v>0.876780822</v>
      </c>
      <c r="E10" s="11" t="n">
        <v>0.791849315</v>
      </c>
      <c r="F10" s="11" t="n">
        <v>0.709657534</v>
      </c>
      <c r="G10" s="11" t="n">
        <v>0.624726027</v>
      </c>
      <c r="H10" s="11" t="n">
        <v>0.542534247</v>
      </c>
      <c r="I10" s="11" t="n">
        <v>0.45760274</v>
      </c>
      <c r="J10" s="11" t="n">
        <v>0.380890411</v>
      </c>
      <c r="K10" s="11" t="n">
        <v>0.295958904</v>
      </c>
      <c r="L10" s="11" t="n">
        <v>0.211027397</v>
      </c>
      <c r="M10" s="11" t="n">
        <v>0.128835616</v>
      </c>
    </row>
    <row r="11">
      <c r="A11" t="inlineStr">
        <is>
          <t>Diversos (ramo 110) δ=+0.000</t>
        </is>
      </c>
      <c r="B11" s="10" t="n">
        <v>0.95890411</v>
      </c>
      <c r="C11" s="10" t="n">
        <v>0.876712329</v>
      </c>
      <c r="D11" s="10" t="n">
        <v>0.791780822</v>
      </c>
      <c r="E11" s="10" t="n">
        <v>0.706849315</v>
      </c>
      <c r="F11" s="10" t="n">
        <v>0.624657534</v>
      </c>
      <c r="G11" s="10" t="n">
        <v>0.5397260270000001</v>
      </c>
      <c r="H11" s="10" t="n">
        <v>0.457534247</v>
      </c>
      <c r="I11" s="10" t="n">
        <v>0.37260274</v>
      </c>
      <c r="J11" s="10" t="n">
        <v>0.295890411</v>
      </c>
      <c r="K11" s="10" t="n">
        <v>0.210958904</v>
      </c>
      <c r="L11" s="10" t="n">
        <v>0.126027397</v>
      </c>
      <c r="M11" s="10" t="n">
        <v>0.043835616</v>
      </c>
    </row>
    <row r="12">
      <c r="A12" s="4" t="inlineStr">
        <is>
          <t>Incendio (ramo 60) δ=+0.000</t>
        </is>
      </c>
      <c r="B12" s="11" t="n">
        <v>0.95890411</v>
      </c>
      <c r="C12" s="11" t="n">
        <v>0.876712329</v>
      </c>
      <c r="D12" s="11" t="n">
        <v>0.791780822</v>
      </c>
      <c r="E12" s="11" t="n">
        <v>0.706849315</v>
      </c>
      <c r="F12" s="11" t="n">
        <v>0.624657534</v>
      </c>
      <c r="G12" s="11" t="n">
        <v>0.5397260270000001</v>
      </c>
      <c r="H12" s="11" t="n">
        <v>0.457534247</v>
      </c>
      <c r="I12" s="11" t="n">
        <v>0.37260274</v>
      </c>
      <c r="J12" s="11" t="n">
        <v>0.295890411</v>
      </c>
      <c r="K12" s="11" t="n">
        <v>0.210958904</v>
      </c>
      <c r="L12" s="11" t="n">
        <v>0.126027397</v>
      </c>
      <c r="M12" s="11" t="n">
        <v>0.043835616</v>
      </c>
    </row>
    <row r="13">
      <c r="A13" t="inlineStr">
        <is>
          <t>MyT (ramo 50) δ=-0.010</t>
        </is>
      </c>
      <c r="B13" s="10" t="n">
        <v>0.96890411</v>
      </c>
      <c r="C13" s="10" t="n">
        <v>0.886712329</v>
      </c>
      <c r="D13" s="10" t="n">
        <v>0.801780822</v>
      </c>
      <c r="E13" s="10" t="n">
        <v>0.716849315</v>
      </c>
      <c r="F13" s="10" t="n">
        <v>0.634657534</v>
      </c>
      <c r="G13" s="10" t="n">
        <v>0.5497260270000001</v>
      </c>
      <c r="H13" s="10" t="n">
        <v>0.467534247</v>
      </c>
      <c r="I13" s="10" t="n">
        <v>0.38260274</v>
      </c>
      <c r="J13" s="10" t="n">
        <v>0.305890411</v>
      </c>
      <c r="K13" s="10" t="n">
        <v>0.220958904</v>
      </c>
      <c r="L13" s="10" t="n">
        <v>0.136027397</v>
      </c>
      <c r="M13" s="10" t="n">
        <v>0.053835616</v>
      </c>
    </row>
    <row r="14">
      <c r="A14" s="4" t="inlineStr">
        <is>
          <t>RC (ramo 40) δ=+0.000</t>
        </is>
      </c>
      <c r="B14" s="11" t="n">
        <v>0.95890411</v>
      </c>
      <c r="C14" s="11" t="n">
        <v>0.876712329</v>
      </c>
      <c r="D14" s="11" t="n">
        <v>0.791780822</v>
      </c>
      <c r="E14" s="11" t="n">
        <v>0.706849315</v>
      </c>
      <c r="F14" s="11" t="n">
        <v>0.624657534</v>
      </c>
      <c r="G14" s="11" t="n">
        <v>0.5397260270000001</v>
      </c>
      <c r="H14" s="11" t="n">
        <v>0.457534247</v>
      </c>
      <c r="I14" s="11" t="n">
        <v>0.37260274</v>
      </c>
      <c r="J14" s="11" t="n">
        <v>0.295890411</v>
      </c>
      <c r="K14" s="11" t="n">
        <v>0.210958904</v>
      </c>
      <c r="L14" s="11" t="n">
        <v>0.126027397</v>
      </c>
      <c r="M14" s="11" t="n">
        <v>0.043835616</v>
      </c>
    </row>
    <row r="15">
      <c r="A15" t="inlineStr">
        <is>
          <t>Vida (ramo 10) δ=+0.070</t>
        </is>
      </c>
      <c r="B15" s="10" t="n">
        <v>0.8889041099999999</v>
      </c>
      <c r="C15" s="10" t="n">
        <v>0.806712329</v>
      </c>
      <c r="D15" s="10" t="n">
        <v>0.7217808219999999</v>
      </c>
      <c r="E15" s="10" t="n">
        <v>0.6368493150000001</v>
      </c>
      <c r="F15" s="10" t="n">
        <v>0.554657534</v>
      </c>
      <c r="G15" s="10" t="n">
        <v>0.469726027</v>
      </c>
      <c r="H15" s="10" t="n">
        <v>0.387534247</v>
      </c>
      <c r="I15" s="10" t="n">
        <v>0.30260274</v>
      </c>
      <c r="J15" s="10" t="n">
        <v>0.225890411</v>
      </c>
      <c r="K15" s="10" t="n">
        <v>0.140958904</v>
      </c>
      <c r="L15" s="10" t="n">
        <v>0.05602739700000001</v>
      </c>
      <c r="M15" s="10" t="n">
        <v>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DETALLE MENSUAL POR RAMO (USD) · AZUL = PND real vs PND calibrado · ÁMBAR = fórmulas Excel vivas</t>
        </is>
      </c>
    </row>
    <row r="2" ht="30" customHeight="1">
      <c r="A2" s="2" t="inlineStr">
        <is>
          <t>Cada fila es un ramo en un mes contable. Las columnas ámbar son fórmulas que se pueden auditar celda por celda; las azules son las dos series que se comparan. Los Δ se calculan contra el mes anterior del mismo ramo (vacío en el primer mes). Las columnas al final (PND_*, PD_*) son las demás variantes, como valores. Ver hoja Formulas.</t>
        </is>
      </c>
    </row>
    <row r="3" ht="40" customHeight="1">
      <c r="A3" s="3" t="inlineStr">
        <is>
          <t>Grupo</t>
        </is>
      </c>
      <c r="B3" s="3" t="inlineStr">
        <is>
          <t>Mes contable
(AAAAMM)</t>
        </is>
      </c>
      <c r="C3" s="3" t="inlineStr">
        <is>
          <t>Año contable</t>
        </is>
      </c>
      <c r="D3" s="3" t="inlineStr">
        <is>
          <t>PE</t>
        </is>
      </c>
      <c r="E3" s="3" t="inlineStr">
        <is>
          <t>ces</t>
        </is>
      </c>
      <c r="F3" s="21" t="inlineStr">
        <is>
          <t>PR
(fórmula)</t>
        </is>
      </c>
      <c r="G3" s="3" t="inlineStr">
        <is>
          <t>IS_eff</t>
        </is>
      </c>
      <c r="H3" s="3" t="inlineStr">
        <is>
          <t>g</t>
        </is>
      </c>
      <c r="I3" s="3" t="inlineStr">
        <is>
          <t>mr</t>
        </is>
      </c>
      <c r="J3" s="3" t="inlineStr">
        <is>
          <t>c</t>
        </is>
      </c>
      <c r="K3" s="3" t="inlineStr">
        <is>
          <t>BEL_real</t>
        </is>
      </c>
      <c r="L3" s="17" t="inlineStr">
        <is>
          <t>PND_real</t>
        </is>
      </c>
      <c r="M3" s="17" t="inlineStr">
        <is>
          <t>PND_CAL</t>
        </is>
      </c>
      <c r="N3" s="21" t="inlineStr">
        <is>
          <t>ratio_CAL_real
(fórmula)</t>
        </is>
      </c>
      <c r="O3" s="3" t="inlineStr">
        <is>
          <t>BRUTO_real</t>
        </is>
      </c>
      <c r="P3" s="21" t="inlineStr">
        <is>
          <t>BRUTO_CAL
(fórmula)</t>
        </is>
      </c>
      <c r="Q3" s="3" t="inlineStr">
        <is>
          <t>NETO_real</t>
        </is>
      </c>
      <c r="R3" s="21" t="inlineStr">
        <is>
          <t>NETO_CAL
(fórmula)</t>
        </is>
      </c>
      <c r="S3" s="21" t="inlineStr">
        <is>
          <t>dBRUTO_real
(fórmula)</t>
        </is>
      </c>
      <c r="T3" s="21" t="inlineStr">
        <is>
          <t>dBRUTO_CAL
(fórmula)</t>
        </is>
      </c>
      <c r="U3" s="21" t="inlineStr">
        <is>
          <t>dNETO_real
(fórmula)</t>
        </is>
      </c>
      <c r="V3" s="21" t="inlineStr">
        <is>
          <t>dNETO_CAL
(fórmula)</t>
        </is>
      </c>
      <c r="W3" s="21" t="inlineStr">
        <is>
          <t>PD_tom_real
(fórmula)</t>
        </is>
      </c>
      <c r="X3" s="21" t="inlineStr">
        <is>
          <t>PD_tom_CAL
(fórmula)</t>
        </is>
      </c>
      <c r="Y3" s="21" t="inlineStr">
        <is>
          <t>PD_ret_real
(fórmula)</t>
        </is>
      </c>
      <c r="Z3" s="21" t="inlineStr">
        <is>
          <t>PD_ret_CAL
(fórmula)</t>
        </is>
      </c>
      <c r="AA3" s="3" t="inlineStr">
        <is>
          <t>PND_NT_reg_m</t>
        </is>
      </c>
      <c r="AB3" s="3" t="inlineStr">
        <is>
          <t>PND_NT_reg_t</t>
        </is>
      </c>
      <c r="AC3" s="3" t="inlineStr">
        <is>
          <t>PND_NT_reg_susc</t>
        </is>
      </c>
      <c r="AD3" s="3" t="inlineStr">
        <is>
          <t>PND_MEC_pub</t>
        </is>
      </c>
      <c r="AE3" s="3" t="inlineStr">
        <is>
          <t>PND_MEC_prop</t>
        </is>
      </c>
      <c r="AF3" s="3" t="inlineStr">
        <is>
          <t>PND_MEC_reg</t>
        </is>
      </c>
      <c r="AG3" s="3" t="inlineStr">
        <is>
          <t>PD_tom_NT_reg_m</t>
        </is>
      </c>
      <c r="AH3" s="3" t="inlineStr">
        <is>
          <t>PD_tom_NT_reg_t</t>
        </is>
      </c>
      <c r="AI3" s="3" t="inlineStr">
        <is>
          <t>PD_tom_NT_reg_susc</t>
        </is>
      </c>
      <c r="AJ3" s="3" t="inlineStr">
        <is>
          <t>PD_tom_MEC_pub</t>
        </is>
      </c>
      <c r="AK3" s="3" t="inlineStr">
        <is>
          <t>PD_tom_MEC_prop</t>
        </is>
      </c>
      <c r="AL3" s="3" t="inlineStr">
        <is>
          <t>PD_tom_MEC_reg</t>
        </is>
      </c>
      <c r="AM3" s="3" t="inlineStr">
        <is>
          <t>PD_ret_NT_reg_m</t>
        </is>
      </c>
      <c r="AN3" s="3" t="inlineStr">
        <is>
          <t>PD_ret_NT_reg_t</t>
        </is>
      </c>
      <c r="AO3" s="3" t="inlineStr">
        <is>
          <t>PD_ret_NT_reg_susc</t>
        </is>
      </c>
      <c r="AP3" s="3" t="inlineStr">
        <is>
          <t>PD_ret_MEC_pub</t>
        </is>
      </c>
      <c r="AQ3" s="3" t="inlineStr">
        <is>
          <t>PD_ret_MEC_prop</t>
        </is>
      </c>
      <c r="AR3" s="3" t="inlineStr">
        <is>
          <t>PD_ret_MEC_reg</t>
        </is>
      </c>
    </row>
    <row r="4">
      <c r="A4" s="4" t="inlineStr">
        <is>
          <t>Agro</t>
        </is>
      </c>
      <c r="B4" s="5" t="n">
        <v>202201</v>
      </c>
      <c r="C4" s="5" t="n">
        <v>2022</v>
      </c>
      <c r="D4" s="6" t="n">
        <v>890385.3380577683</v>
      </c>
      <c r="E4" s="11" t="n">
        <v>0.05016107296886727</v>
      </c>
      <c r="F4" s="22">
        <f>D4*(1-E4)</f>
        <v/>
      </c>
      <c r="G4" s="11" t="n">
        <v>0.8112</v>
      </c>
      <c r="H4" s="11" t="n">
        <v>0.1670364891372625</v>
      </c>
      <c r="I4" s="11" t="n">
        <v>0.05744499665132378</v>
      </c>
      <c r="J4" s="11" t="n">
        <v>0.09406278040454026</v>
      </c>
      <c r="K4" s="6" t="n">
        <v>10780787.32377968</v>
      </c>
      <c r="L4" s="18" t="n">
        <v>13289925.20189803</v>
      </c>
      <c r="M4" s="18" t="n">
        <v>9656071.892883684</v>
      </c>
      <c r="N4" s="23">
        <f>IF(L4=0,"",M4/L4)</f>
        <v/>
      </c>
      <c r="O4" s="6" t="n">
        <v>13200874.4801925</v>
      </c>
      <c r="P4" s="22">
        <f>M4*G4*(1+H4+I4)</f>
        <v/>
      </c>
      <c r="Q4" s="6" t="n">
        <v>12186803.64956776</v>
      </c>
      <c r="R4" s="22">
        <f>P4-M4*G4*J4</f>
        <v/>
      </c>
      <c r="S4" s="22">
        <f>IF(A4=A3,O4-O3,"")</f>
        <v/>
      </c>
      <c r="T4" s="22">
        <f>IF(A4=A3,P4-P3,"")</f>
        <v/>
      </c>
      <c r="U4" s="22">
        <f>IF(A4=A3,Q4-Q3,"")</f>
        <v/>
      </c>
      <c r="V4" s="22">
        <f>IF(A4=A3,R4-R3,"")</f>
        <v/>
      </c>
      <c r="W4" s="22">
        <f>IF(S4="","",D4-S4)</f>
        <v/>
      </c>
      <c r="X4" s="22">
        <f>IF(T4="","",D4-T4)</f>
        <v/>
      </c>
      <c r="Y4" s="22">
        <f>IF(U4="","",F4-U4)</f>
        <v/>
      </c>
      <c r="Z4" s="22">
        <f>IF(V4="","",F4-V4)</f>
        <v/>
      </c>
      <c r="AA4" s="6" t="n">
        <v>11600362.48676666</v>
      </c>
      <c r="AB4" s="6" t="n">
        <v>10007818.53816796</v>
      </c>
      <c r="AC4" s="6" t="n">
        <v>6694361.456034645</v>
      </c>
      <c r="AD4" s="6" t="n">
        <v>2122009.592777527</v>
      </c>
      <c r="AE4" s="6" t="n">
        <v>1488067.500684426</v>
      </c>
      <c r="AF4" s="6" t="n">
        <v>12375386.75573521</v>
      </c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t="inlineStr">
        <is>
          <t>Agro</t>
        </is>
      </c>
      <c r="B5" s="8" t="n">
        <v>202202</v>
      </c>
      <c r="C5" s="8" t="n">
        <v>2022</v>
      </c>
      <c r="D5" s="9" t="n">
        <v>568489.584921447</v>
      </c>
      <c r="E5" s="10" t="n">
        <v>0.05016107296886727</v>
      </c>
      <c r="F5" s="22">
        <f>D5*(1-E5)</f>
        <v/>
      </c>
      <c r="G5" s="10" t="n">
        <v>0.8112000000000001</v>
      </c>
      <c r="H5" s="10" t="n">
        <v>0.1670364891705597</v>
      </c>
      <c r="I5" s="10" t="n">
        <v>0.05376635464452137</v>
      </c>
      <c r="J5" s="10" t="n">
        <v>0.09199121180923649</v>
      </c>
      <c r="K5" s="9" t="n">
        <v>9792269.01253338</v>
      </c>
      <c r="L5" s="18" t="n">
        <v>12071337.54010525</v>
      </c>
      <c r="M5" s="18" t="n">
        <v>8421296.601028461</v>
      </c>
      <c r="N5" s="23">
        <f>IF(L5=0,"",M5/L5)</f>
        <v/>
      </c>
      <c r="O5" s="9" t="n">
        <v>11954429.85790305</v>
      </c>
      <c r="P5" s="22">
        <f>M5*G5*(1+H5+I5)</f>
        <v/>
      </c>
      <c r="Q5" s="9" t="n">
        <v>11053627.16507807</v>
      </c>
      <c r="R5" s="22">
        <f>P5-M5*G5*J5</f>
        <v/>
      </c>
      <c r="S5" s="22">
        <f>IF(A5=A4,O5-O4,"")</f>
        <v/>
      </c>
      <c r="T5" s="22">
        <f>IF(A5=A4,P5-P4,"")</f>
        <v/>
      </c>
      <c r="U5" s="22">
        <f>IF(A5=A4,Q5-Q4,"")</f>
        <v/>
      </c>
      <c r="V5" s="22">
        <f>IF(A5=A4,R5-R4,"")</f>
        <v/>
      </c>
      <c r="W5" s="22">
        <f>IF(S5="","",D5-S5)</f>
        <v/>
      </c>
      <c r="X5" s="22">
        <f>IF(T5="","",D5-T5)</f>
        <v/>
      </c>
      <c r="Y5" s="22">
        <f>IF(U5="","",F5-U5)</f>
        <v/>
      </c>
      <c r="Z5" s="22">
        <f>IF(V5="","",F5-V5)</f>
        <v/>
      </c>
      <c r="AA5" s="9" t="n">
        <v>10299424.48082482</v>
      </c>
      <c r="AB5" s="9" t="n">
        <v>8755180.908957226</v>
      </c>
      <c r="AC5" s="9" t="n">
        <v>5810700.815737313</v>
      </c>
      <c r="AD5" s="9" t="n">
        <v>1615886.417393647</v>
      </c>
      <c r="AE5" s="9" t="n">
        <v>1011520.301682594</v>
      </c>
      <c r="AF5" s="9" t="n">
        <v>10982275.0395002</v>
      </c>
      <c r="AG5" s="9" t="n">
        <v>1891445.161881018</v>
      </c>
      <c r="AH5" s="9" t="n">
        <v>1838860.228126915</v>
      </c>
      <c r="AI5" s="9" t="n">
        <v>1463568.947980605</v>
      </c>
      <c r="AJ5" s="9" t="n">
        <v>1076043.41175419</v>
      </c>
      <c r="AK5" s="9" t="n">
        <v>1044862.115103422</v>
      </c>
      <c r="AL5" s="9" t="n">
        <v>1985038.955448696</v>
      </c>
      <c r="AM5" s="9" t="n">
        <v>1746354.961033023</v>
      </c>
      <c r="AN5" s="9" t="n">
        <v>1700050.560123666</v>
      </c>
      <c r="AO5" s="9" t="n">
        <v>1357861.670128335</v>
      </c>
      <c r="AP5" s="9" t="n">
        <v>1006192.852621411</v>
      </c>
      <c r="AQ5" s="9" t="n">
        <v>978283.9241459743</v>
      </c>
      <c r="AR5" s="9" t="n">
        <v>1831768.056309168</v>
      </c>
    </row>
    <row r="6">
      <c r="A6" s="4" t="inlineStr">
        <is>
          <t>Agro</t>
        </is>
      </c>
      <c r="B6" s="5" t="n">
        <v>202203</v>
      </c>
      <c r="C6" s="5" t="n">
        <v>2022</v>
      </c>
      <c r="D6" s="6" t="n">
        <v>4054186.329125086</v>
      </c>
      <c r="E6" s="11" t="n">
        <v>0.05016107296886727</v>
      </c>
      <c r="F6" s="22">
        <f>D6*(1-E6)</f>
        <v/>
      </c>
      <c r="G6" s="11" t="n">
        <v>0.8112</v>
      </c>
      <c r="H6" s="11" t="n">
        <v>0.1670364891481943</v>
      </c>
      <c r="I6" s="11" t="n">
        <v>0.06865402112294731</v>
      </c>
      <c r="J6" s="11" t="n">
        <v>0.078776363810143</v>
      </c>
      <c r="K6" s="6" t="n">
        <v>11503944.27306685</v>
      </c>
      <c r="L6" s="18" t="n">
        <v>14181390.86916525</v>
      </c>
      <c r="M6" s="18" t="n">
        <v>10209638.32023396</v>
      </c>
      <c r="N6" s="23">
        <f>IF(L6=0,"",M6/L6)</f>
        <v/>
      </c>
      <c r="O6" s="6" t="n">
        <v>14215314.76891675</v>
      </c>
      <c r="P6" s="22">
        <f>M6*G6*(1+H6+I6)</f>
        <v/>
      </c>
      <c r="Q6" s="6" t="n">
        <v>13309075.86961002</v>
      </c>
      <c r="R6" s="22">
        <f>P6-M6*G6*J6</f>
        <v/>
      </c>
      <c r="S6" s="22">
        <f>IF(A6=A5,O6-O5,"")</f>
        <v/>
      </c>
      <c r="T6" s="22">
        <f>IF(A6=A5,P6-P5,"")</f>
        <v/>
      </c>
      <c r="U6" s="22">
        <f>IF(A6=A5,Q6-Q5,"")</f>
        <v/>
      </c>
      <c r="V6" s="22">
        <f>IF(A6=A5,R6-R5,"")</f>
        <v/>
      </c>
      <c r="W6" s="22">
        <f>IF(S6="","",D6-S6)</f>
        <v/>
      </c>
      <c r="X6" s="22">
        <f>IF(T6="","",D6-T6)</f>
        <v/>
      </c>
      <c r="Y6" s="22">
        <f>IF(U6="","",F6-U6)</f>
        <v/>
      </c>
      <c r="Z6" s="22">
        <f>IF(V6="","",F6-V6)</f>
        <v/>
      </c>
      <c r="AA6" s="6" t="n">
        <v>12271676.27628499</v>
      </c>
      <c r="AB6" s="6" t="n">
        <v>10565230.13565269</v>
      </c>
      <c r="AC6" s="6" t="n">
        <v>5052888.066658632</v>
      </c>
      <c r="AD6" s="6" t="n">
        <v>1770824.911403784</v>
      </c>
      <c r="AE6" s="6" t="n">
        <v>1123642.408009821</v>
      </c>
      <c r="AF6" s="6" t="n">
        <v>12933412.77867324</v>
      </c>
      <c r="AG6" s="6" t="n">
        <v>1952831.765117481</v>
      </c>
      <c r="AH6" s="6" t="n">
        <v>2134071.982080415</v>
      </c>
      <c r="AI6" s="6" t="n">
        <v>4743636.766273928</v>
      </c>
      <c r="AJ6" s="6" t="n">
        <v>3879362.34192238</v>
      </c>
      <c r="AK6" s="6" t="n">
        <v>3929580.00653294</v>
      </c>
      <c r="AL6" s="6" t="n">
        <v>1965749.628363295</v>
      </c>
      <c r="AM6" s="6" t="n">
        <v>1765094.35436545</v>
      </c>
      <c r="AN6" s="6" t="n">
        <v>1952523.390948359</v>
      </c>
      <c r="AO6" s="6" t="n">
        <v>4429557.58637191</v>
      </c>
      <c r="AP6" s="6" t="n">
        <v>3668578.983999064</v>
      </c>
      <c r="AQ6" s="6" t="n">
        <v>3722539.271521691</v>
      </c>
      <c r="AR6" s="6" t="n">
        <v>1769342.878661316</v>
      </c>
    </row>
    <row r="7">
      <c r="A7" t="inlineStr">
        <is>
          <t>Agro</t>
        </is>
      </c>
      <c r="B7" s="8" t="n">
        <v>202204</v>
      </c>
      <c r="C7" s="8" t="n">
        <v>2022</v>
      </c>
      <c r="D7" s="9" t="n">
        <v>6179841.828367239</v>
      </c>
      <c r="E7" s="10" t="n">
        <v>0.05016107296886727</v>
      </c>
      <c r="F7" s="22">
        <f>D7*(1-E7)</f>
        <v/>
      </c>
      <c r="G7" s="10" t="n">
        <v>0.8112</v>
      </c>
      <c r="H7" s="10" t="n">
        <v>0.1670364891620216</v>
      </c>
      <c r="I7" s="10" t="n">
        <v>0.06248679287672793</v>
      </c>
      <c r="J7" s="10" t="n">
        <v>0.05306337022739221</v>
      </c>
      <c r="K7" s="9" t="n">
        <v>14395712.10205796</v>
      </c>
      <c r="L7" s="18" t="n">
        <v>17746193.4196967</v>
      </c>
      <c r="M7" s="18" t="n">
        <v>13782656.66799652</v>
      </c>
      <c r="N7" s="23">
        <f>IF(L7=0,"",M7/L7)</f>
        <v/>
      </c>
      <c r="O7" s="9" t="n">
        <v>17699863.19100725</v>
      </c>
      <c r="P7" s="22">
        <f>M7*G7*(1+H7+I7)</f>
        <v/>
      </c>
      <c r="Q7" s="9" t="n">
        <v>16935978.1900488</v>
      </c>
      <c r="R7" s="22">
        <f>P7-M7*G7*J7</f>
        <v/>
      </c>
      <c r="S7" s="22">
        <f>IF(A7=A6,O7-O6,"")</f>
        <v/>
      </c>
      <c r="T7" s="22">
        <f>IF(A7=A6,P7-P6,"")</f>
        <v/>
      </c>
      <c r="U7" s="22">
        <f>IF(A7=A6,Q7-Q6,"")</f>
        <v/>
      </c>
      <c r="V7" s="22">
        <f>IF(A7=A6,R7-R6,"")</f>
        <v/>
      </c>
      <c r="W7" s="22">
        <f>IF(S7="","",D7-S7)</f>
        <v/>
      </c>
      <c r="X7" s="22">
        <f>IF(T7="","",D7-T7)</f>
        <v/>
      </c>
      <c r="Y7" s="22">
        <f>IF(U7="","",F7-U7)</f>
        <v/>
      </c>
      <c r="Z7" s="22">
        <f>IF(V7="","",F7-V7)</f>
        <v/>
      </c>
      <c r="AA7" s="9" t="n">
        <v>16261122.40186187</v>
      </c>
      <c r="AB7" s="9" t="n">
        <v>14183878.90946328</v>
      </c>
      <c r="AC7" s="9" t="n">
        <v>4267250.370425606</v>
      </c>
      <c r="AD7" s="9" t="n">
        <v>1595310.559243347</v>
      </c>
      <c r="AE7" s="9" t="n">
        <v>945752.6730213912</v>
      </c>
      <c r="AF7" s="9" t="n">
        <v>16661646.94944603</v>
      </c>
      <c r="AG7" s="9" t="n">
        <v>2262204.427757302</v>
      </c>
      <c r="AH7" s="9" t="n">
        <v>2623496.630298743</v>
      </c>
      <c r="AI7" s="9" t="n">
        <v>6988707.318642028</v>
      </c>
      <c r="AJ7" s="9" t="n">
        <v>6363757.144041846</v>
      </c>
      <c r="AK7" s="9" t="n">
        <v>6362888.564851695</v>
      </c>
      <c r="AL7" s="9" t="n">
        <v>2526045.00508425</v>
      </c>
      <c r="AM7" s="9" t="n">
        <v>1867975.371148449</v>
      </c>
      <c r="AN7" s="9" t="n">
        <v>2248900.302208592</v>
      </c>
      <c r="AO7" s="9" t="n">
        <v>6539506.981076944</v>
      </c>
      <c r="AP7" s="9" t="n">
        <v>6009278.09120997</v>
      </c>
      <c r="AQ7" s="9" t="n">
        <v>6021806.44249225</v>
      </c>
      <c r="AR7" s="9" t="n">
        <v>2106769.326644643</v>
      </c>
    </row>
    <row r="8">
      <c r="A8" s="4" t="inlineStr">
        <is>
          <t>Agro</t>
        </is>
      </c>
      <c r="B8" s="5" t="n">
        <v>202205</v>
      </c>
      <c r="C8" s="5" t="n">
        <v>2022</v>
      </c>
      <c r="D8" s="6" t="n">
        <v>1684403.48563816</v>
      </c>
      <c r="E8" s="11" t="n">
        <v>0.05016107296886727</v>
      </c>
      <c r="F8" s="22">
        <f>D8*(1-E8)</f>
        <v/>
      </c>
      <c r="G8" s="11" t="n">
        <v>0.8112</v>
      </c>
      <c r="H8" s="11" t="n">
        <v>0.1670364865339359</v>
      </c>
      <c r="I8" s="11" t="n">
        <v>0.06325689363925271</v>
      </c>
      <c r="J8" s="11" t="n">
        <v>0.05085654223352385</v>
      </c>
      <c r="K8" s="6" t="n">
        <v>13740406.88781082</v>
      </c>
      <c r="L8" s="18" t="n">
        <v>16938371.4100232</v>
      </c>
      <c r="M8" s="18" t="n">
        <v>13015698.6186541</v>
      </c>
      <c r="N8" s="23">
        <f>IF(L8=0,"",M8/L8)</f>
        <v/>
      </c>
      <c r="O8" s="6" t="n">
        <v>16904731.63495974</v>
      </c>
      <c r="P8" s="22">
        <f>M8*G8*(1+H8+I8)</f>
        <v/>
      </c>
      <c r="Q8" s="6" t="n">
        <v>16205942.05176398</v>
      </c>
      <c r="R8" s="22">
        <f>P8-M8*G8*J8</f>
        <v/>
      </c>
      <c r="S8" s="22">
        <f>IF(A8=A7,O8-O7,"")</f>
        <v/>
      </c>
      <c r="T8" s="22">
        <f>IF(A8=A7,P8-P7,"")</f>
        <v/>
      </c>
      <c r="U8" s="22">
        <f>IF(A8=A7,Q8-Q7,"")</f>
        <v/>
      </c>
      <c r="V8" s="22">
        <f>IF(A8=A7,R8-R7,"")</f>
        <v/>
      </c>
      <c r="W8" s="22">
        <f>IF(S8="","",D8-S8)</f>
        <v/>
      </c>
      <c r="X8" s="22">
        <f>IF(T8="","",D8-T8)</f>
        <v/>
      </c>
      <c r="Y8" s="22">
        <f>IF(U8="","",F8-U8)</f>
        <v/>
      </c>
      <c r="Z8" s="22">
        <f>IF(V8="","",F8-V8)</f>
        <v/>
      </c>
      <c r="AA8" s="6" t="n">
        <v>15478124.87258959</v>
      </c>
      <c r="AB8" s="6" t="n">
        <v>13427075.21640278</v>
      </c>
      <c r="AC8" s="6" t="n">
        <v>3642257.520658887</v>
      </c>
      <c r="AD8" s="6" t="n">
        <v>1574607.992959722</v>
      </c>
      <c r="AE8" s="6" t="n">
        <v>954160.1391337469</v>
      </c>
      <c r="AF8" s="6" t="n">
        <v>15861978.21609765</v>
      </c>
      <c r="AG8" s="6" t="n">
        <v>2455687.592171842</v>
      </c>
      <c r="AH8" s="6" t="n">
        <v>2430843.438682418</v>
      </c>
      <c r="AI8" s="6" t="n">
        <v>2305489.326656207</v>
      </c>
      <c r="AJ8" s="6" t="n">
        <v>1704068.34015795</v>
      </c>
      <c r="AK8" s="6" t="n">
        <v>1675421.901731766</v>
      </c>
      <c r="AL8" s="6" t="n">
        <v>2472075.477940448</v>
      </c>
      <c r="AM8" s="6" t="n">
        <v>2309783.360657372</v>
      </c>
      <c r="AN8" s="6" t="n">
        <v>2289738.466755982</v>
      </c>
      <c r="AO8" s="6" t="n">
        <v>2187574.727133065</v>
      </c>
      <c r="AP8" s="6" t="n">
        <v>1615866.88196206</v>
      </c>
      <c r="AQ8" s="6" t="n">
        <v>1589584.197689943</v>
      </c>
      <c r="AR8" s="6" t="n">
        <v>2324766.468203489</v>
      </c>
    </row>
    <row r="9">
      <c r="A9" t="inlineStr">
        <is>
          <t>Agro</t>
        </is>
      </c>
      <c r="B9" s="8" t="n">
        <v>202206</v>
      </c>
      <c r="C9" s="8" t="n">
        <v>2022</v>
      </c>
      <c r="D9" s="9" t="n">
        <v>2397550.306695207</v>
      </c>
      <c r="E9" s="10" t="n">
        <v>0.05016107296886727</v>
      </c>
      <c r="F9" s="22">
        <f>D9*(1-E9)</f>
        <v/>
      </c>
      <c r="G9" s="10" t="n">
        <v>0.8178114769380375</v>
      </c>
      <c r="H9" s="10" t="n">
        <v>0.04320140918274497</v>
      </c>
      <c r="I9" s="10" t="n">
        <v>0.1330088628328382</v>
      </c>
      <c r="J9" s="10" t="n">
        <v>0.0746673239883827</v>
      </c>
      <c r="K9" s="9" t="n">
        <v>9686676.470675878</v>
      </c>
      <c r="L9" s="18" t="n">
        <v>11844632.58811639</v>
      </c>
      <c r="M9" s="18" t="n">
        <v>12591998.71669682</v>
      </c>
      <c r="N9" s="23">
        <f>IF(L9=0,"",M9/L9)</f>
        <v/>
      </c>
      <c r="O9" s="9" t="n">
        <v>11393568.36650062</v>
      </c>
      <c r="P9" s="22">
        <f>M9*G9*(1+H9+I9)</f>
        <v/>
      </c>
      <c r="Q9" s="9" t="n">
        <v>10670290.15609402</v>
      </c>
      <c r="R9" s="22">
        <f>P9-M9*G9*J9</f>
        <v/>
      </c>
      <c r="S9" s="22">
        <f>IF(A9=A8,O9-O8,"")</f>
        <v/>
      </c>
      <c r="T9" s="22">
        <f>IF(A9=A8,P9-P8,"")</f>
        <v/>
      </c>
      <c r="U9" s="22">
        <f>IF(A9=A8,Q9-Q8,"")</f>
        <v/>
      </c>
      <c r="V9" s="22">
        <f>IF(A9=A8,R9-R8,"")</f>
        <v/>
      </c>
      <c r="W9" s="22">
        <f>IF(S9="","",D9-S9)</f>
        <v/>
      </c>
      <c r="X9" s="22">
        <f>IF(T9="","",D9-T9)</f>
        <v/>
      </c>
      <c r="Y9" s="22">
        <f>IF(U9="","",F9-U9)</f>
        <v/>
      </c>
      <c r="Z9" s="22">
        <f>IF(V9="","",F9-V9)</f>
        <v/>
      </c>
      <c r="AA9" s="9" t="n">
        <v>15131462.29915654</v>
      </c>
      <c r="AB9" s="9" t="n">
        <v>13017823.49352772</v>
      </c>
      <c r="AC9" s="9" t="n">
        <v>2794338.914364205</v>
      </c>
      <c r="AD9" s="9" t="n">
        <v>1471224.929686503</v>
      </c>
      <c r="AE9" s="9" t="n">
        <v>877249.635533615</v>
      </c>
      <c r="AF9" s="9" t="n">
        <v>15740647.55325922</v>
      </c>
      <c r="AG9" s="9" t="n">
        <v>3289705.586223977</v>
      </c>
      <c r="AH9" s="9" t="n">
        <v>3275877.096815732</v>
      </c>
      <c r="AI9" s="9" t="n">
        <v>3344648.641834855</v>
      </c>
      <c r="AJ9" s="9" t="n">
        <v>2553832.988369222</v>
      </c>
      <c r="AK9" s="9" t="n">
        <v>2505973.031471713</v>
      </c>
      <c r="AL9" s="9" t="n">
        <v>3086810.17366211</v>
      </c>
      <c r="AM9" s="9" t="n">
        <v>3454879.029984856</v>
      </c>
      <c r="AN9" s="9" t="n">
        <v>3396599.433738554</v>
      </c>
      <c r="AO9" s="9" t="n">
        <v>3244757.179089915</v>
      </c>
      <c r="AP9" s="9" t="n">
        <v>2458447.68883626</v>
      </c>
      <c r="AQ9" s="9" t="n">
        <v>2399913.815541849</v>
      </c>
      <c r="AR9" s="9" t="n">
        <v>3273346.977295241</v>
      </c>
    </row>
    <row r="10">
      <c r="A10" s="4" t="inlineStr">
        <is>
          <t>Agro</t>
        </is>
      </c>
      <c r="B10" s="5" t="n">
        <v>202207</v>
      </c>
      <c r="C10" s="5" t="n">
        <v>2022</v>
      </c>
      <c r="D10" s="6" t="n">
        <v>4290099.129275239</v>
      </c>
      <c r="E10" s="11" t="n">
        <v>0.05016107296886727</v>
      </c>
      <c r="F10" s="22">
        <f>D10*(1-E10)</f>
        <v/>
      </c>
      <c r="G10" s="11" t="n">
        <v>0.8413608610633763</v>
      </c>
      <c r="H10" s="11" t="n">
        <v>0.04199221959652701</v>
      </c>
      <c r="I10" s="11" t="n">
        <v>0.06037663675772122</v>
      </c>
      <c r="J10" s="11" t="n">
        <v>0.06770452031414198</v>
      </c>
      <c r="K10" s="6" t="n">
        <v>11346896.04863819</v>
      </c>
      <c r="L10" s="18" t="n">
        <v>13486360.6969988</v>
      </c>
      <c r="M10" s="18" t="n">
        <v>14165751.32283935</v>
      </c>
      <c r="N10" s="23">
        <f>IF(L10=0,"",M10/L10)</f>
        <v/>
      </c>
      <c r="O10" s="6" t="n">
        <v>12508464.82030782</v>
      </c>
      <c r="P10" s="22">
        <f>M10*G10*(1+H10+I10)</f>
        <v/>
      </c>
      <c r="Q10" s="6" t="n">
        <v>11740228.66628034</v>
      </c>
      <c r="R10" s="22">
        <f>P10-M10*G10*J10</f>
        <v/>
      </c>
      <c r="S10" s="22">
        <f>IF(A10=A9,O10-O9,"")</f>
        <v/>
      </c>
      <c r="T10" s="22">
        <f>IF(A10=A9,P10-P9,"")</f>
        <v/>
      </c>
      <c r="U10" s="22">
        <f>IF(A10=A9,Q10-Q9,"")</f>
        <v/>
      </c>
      <c r="V10" s="22">
        <f>IF(A10=A9,R10-R9,"")</f>
        <v/>
      </c>
      <c r="W10" s="22">
        <f>IF(S10="","",D10-S10)</f>
        <v/>
      </c>
      <c r="X10" s="22">
        <f>IF(T10="","",D10-T10)</f>
        <v/>
      </c>
      <c r="Y10" s="22">
        <f>IF(U10="","",F10-U10)</f>
        <v/>
      </c>
      <c r="Z10" s="22">
        <f>IF(V10="","",F10-V10)</f>
        <v/>
      </c>
      <c r="AA10" s="6" t="n">
        <v>16868547.77824639</v>
      </c>
      <c r="AB10" s="6" t="n">
        <v>14594557.87712023</v>
      </c>
      <c r="AC10" s="6" t="n">
        <v>2851946.430748053</v>
      </c>
      <c r="AD10" s="6" t="n">
        <v>1830591.771467037</v>
      </c>
      <c r="AE10" s="6" t="n">
        <v>1211772.547204885</v>
      </c>
      <c r="AF10" s="6" t="n">
        <v>17332137.2198556</v>
      </c>
      <c r="AG10" s="6" t="n">
        <v>3199919.460739291</v>
      </c>
      <c r="AH10" s="6" t="n">
        <v>3275874.615666839</v>
      </c>
      <c r="AI10" s="6" t="n">
        <v>4332872.930802513</v>
      </c>
      <c r="AJ10" s="6" t="n">
        <v>4007441.672560591</v>
      </c>
      <c r="AK10" s="6" t="n">
        <v>4010034.639894177</v>
      </c>
      <c r="AL10" s="6" t="n">
        <v>3355931.304306257</v>
      </c>
      <c r="AM10" s="6" t="n">
        <v>3021637.814841272</v>
      </c>
      <c r="AN10" s="6" t="n">
        <v>3097124.365935223</v>
      </c>
      <c r="AO10" s="6" t="n">
        <v>4109502.104930843</v>
      </c>
      <c r="AP10" s="6" t="n">
        <v>3806684.828261733</v>
      </c>
      <c r="AQ10" s="6" t="n">
        <v>3810297.803756257</v>
      </c>
      <c r="AR10" s="6" t="n">
        <v>3166858.373360702</v>
      </c>
    </row>
    <row r="11">
      <c r="A11" t="inlineStr">
        <is>
          <t>Agro</t>
        </is>
      </c>
      <c r="B11" s="8" t="n">
        <v>202208</v>
      </c>
      <c r="C11" s="8" t="n">
        <v>2022</v>
      </c>
      <c r="D11" s="9" t="n">
        <v>1478986.848922713</v>
      </c>
      <c r="E11" s="10" t="n">
        <v>0.05016107296886727</v>
      </c>
      <c r="F11" s="22">
        <f>D11*(1-E11)</f>
        <v/>
      </c>
      <c r="G11" s="10" t="n">
        <v>0.934160528276304</v>
      </c>
      <c r="H11" s="10" t="n">
        <v>0.03782070517009747</v>
      </c>
      <c r="I11" s="10" t="n">
        <v>0.05669318031511564</v>
      </c>
      <c r="J11" s="10" t="n">
        <v>0.06591327827848614</v>
      </c>
      <c r="K11" s="9" t="n">
        <v>11675382.6819969</v>
      </c>
      <c r="L11" s="18" t="n">
        <v>12498261.62484097</v>
      </c>
      <c r="M11" s="18" t="n">
        <v>13096407.86812798</v>
      </c>
      <c r="N11" s="23">
        <f>IF(L11=0,"",M11/L11)</f>
        <v/>
      </c>
      <c r="O11" s="9" t="n">
        <v>12778868.4637992</v>
      </c>
      <c r="P11" s="22">
        <f>M11*G11*(1+H11+I11)</f>
        <v/>
      </c>
      <c r="Q11" s="9" t="n">
        <v>12009305.71607292</v>
      </c>
      <c r="R11" s="22">
        <f>P11-M11*G11*J11</f>
        <v/>
      </c>
      <c r="S11" s="22">
        <f>IF(A11=A10,O11-O10,"")</f>
        <v/>
      </c>
      <c r="T11" s="22">
        <f>IF(A11=A10,P11-P10,"")</f>
        <v/>
      </c>
      <c r="U11" s="22">
        <f>IF(A11=A10,Q11-Q10,"")</f>
        <v/>
      </c>
      <c r="V11" s="22">
        <f>IF(A11=A10,R11-R10,"")</f>
        <v/>
      </c>
      <c r="W11" s="22">
        <f>IF(S11="","",D11-S11)</f>
        <v/>
      </c>
      <c r="X11" s="22">
        <f>IF(T11="","",D11-T11)</f>
        <v/>
      </c>
      <c r="Y11" s="22">
        <f>IF(U11="","",F11-U11)</f>
        <v/>
      </c>
      <c r="Z11" s="22">
        <f>IF(V11="","",F11-V11)</f>
        <v/>
      </c>
      <c r="AA11" s="9" t="n">
        <v>15653267.40339487</v>
      </c>
      <c r="AB11" s="9" t="n">
        <v>13515179.3637506</v>
      </c>
      <c r="AC11" s="9" t="n">
        <v>2567232.551749189</v>
      </c>
      <c r="AD11" s="9" t="n">
        <v>1874923.81620533</v>
      </c>
      <c r="AE11" s="9" t="n">
        <v>1275094.968889415</v>
      </c>
      <c r="AF11" s="9" t="n">
        <v>16235003.69001244</v>
      </c>
      <c r="AG11" s="9" t="n">
        <v>1119687.01041589</v>
      </c>
      <c r="AH11" s="9" t="n">
        <v>1196675.77945409</v>
      </c>
      <c r="AI11" s="9" t="n">
        <v>1499267.464588023</v>
      </c>
      <c r="AJ11" s="9" t="n">
        <v>1259823.443688084</v>
      </c>
      <c r="AK11" s="9" t="n">
        <v>1299170.801405179</v>
      </c>
      <c r="AL11" s="9" t="n">
        <v>954864.3488949805</v>
      </c>
      <c r="AM11" s="9" t="n">
        <v>1048428.36657365</v>
      </c>
      <c r="AN11" s="9" t="n">
        <v>1123302.804075911</v>
      </c>
      <c r="AO11" s="9" t="n">
        <v>1420695.516724196</v>
      </c>
      <c r="AP11" s="9" t="n">
        <v>1196803.945434376</v>
      </c>
      <c r="AQ11" s="9" t="n">
        <v>1234468.069066414</v>
      </c>
      <c r="AR11" s="9" t="n">
        <v>893017.4143702609</v>
      </c>
    </row>
    <row r="12">
      <c r="A12" s="4" t="inlineStr">
        <is>
          <t>Agro</t>
        </is>
      </c>
      <c r="B12" s="5" t="n">
        <v>202209</v>
      </c>
      <c r="C12" s="5" t="n">
        <v>2022</v>
      </c>
      <c r="D12" s="6" t="n">
        <v>3667550.654543874</v>
      </c>
      <c r="E12" s="11" t="n">
        <v>0.05016107296886727</v>
      </c>
      <c r="F12" s="22">
        <f>D12*(1-E12)</f>
        <v/>
      </c>
      <c r="G12" s="11" t="n">
        <v>0.8737596497534832</v>
      </c>
      <c r="H12" s="11" t="n">
        <v>0.04043515859022157</v>
      </c>
      <c r="I12" s="11" t="n">
        <v>0.05314215995632286</v>
      </c>
      <c r="J12" s="11" t="n">
        <v>0.06026550017168014</v>
      </c>
      <c r="K12" s="6" t="n">
        <v>11481063.55262308</v>
      </c>
      <c r="L12" s="18" t="n">
        <v>13139841.78127506</v>
      </c>
      <c r="M12" s="18" t="n">
        <v>13962925.00849392</v>
      </c>
      <c r="N12" s="23">
        <f>IF(L12=0,"",M12/L12)</f>
        <v/>
      </c>
      <c r="O12" s="6" t="n">
        <v>12555430.69394001</v>
      </c>
      <c r="P12" s="22">
        <f>M12*G12*(1+H12+I12)</f>
        <v/>
      </c>
      <c r="Q12" s="6" t="n">
        <v>11863518.65643833</v>
      </c>
      <c r="R12" s="22">
        <f>P12-M12*G12*J12</f>
        <v/>
      </c>
      <c r="S12" s="22">
        <f>IF(A12=A11,O12-O11,"")</f>
        <v/>
      </c>
      <c r="T12" s="22">
        <f>IF(A12=A11,P12-P11,"")</f>
        <v/>
      </c>
      <c r="U12" s="22">
        <f>IF(A12=A11,Q12-Q11,"")</f>
        <v/>
      </c>
      <c r="V12" s="22">
        <f>IF(A12=A11,R12-R11,"")</f>
        <v/>
      </c>
      <c r="W12" s="22">
        <f>IF(S12="","",D12-S12)</f>
        <v/>
      </c>
      <c r="X12" s="22">
        <f>IF(T12="","",D12-T12)</f>
        <v/>
      </c>
      <c r="Y12" s="22">
        <f>IF(U12="","",F12-U12)</f>
        <v/>
      </c>
      <c r="Z12" s="22">
        <f>IF(V12="","",F12-V12)</f>
        <v/>
      </c>
      <c r="AA12" s="6" t="n">
        <v>16684211.47290828</v>
      </c>
      <c r="AB12" s="6" t="n">
        <v>14410520.06490235</v>
      </c>
      <c r="AC12" s="6" t="n">
        <v>2328632.042600587</v>
      </c>
      <c r="AD12" s="6" t="n">
        <v>1742924.853919039</v>
      </c>
      <c r="AE12" s="6" t="n">
        <v>1101736.478636318</v>
      </c>
      <c r="AF12" s="6" t="n">
        <v>17269714.47021726</v>
      </c>
      <c r="AG12" s="6" t="n">
        <v>3730099.984501685</v>
      </c>
      <c r="AH12" s="6" t="n">
        <v>3716574.404924554</v>
      </c>
      <c r="AI12" s="6" t="n">
        <v>4067358.676604935</v>
      </c>
      <c r="AJ12" s="6" t="n">
        <v>3919163.574605724</v>
      </c>
      <c r="AK12" s="6" t="n">
        <v>3918538.27935167</v>
      </c>
      <c r="AL12" s="6" t="n">
        <v>3765435.211201702</v>
      </c>
      <c r="AM12" s="6" t="n">
        <v>3460853.856487402</v>
      </c>
      <c r="AN12" s="6" t="n">
        <v>3459250.970956401</v>
      </c>
      <c r="AO12" s="6" t="n">
        <v>3847936.781275662</v>
      </c>
      <c r="AP12" s="6" t="n">
        <v>3711527.695776547</v>
      </c>
      <c r="AQ12" s="6" t="n">
        <v>3714072.594921015</v>
      </c>
      <c r="AR12" s="6" t="n">
        <v>3491200.656313065</v>
      </c>
    </row>
    <row r="13">
      <c r="A13" t="inlineStr">
        <is>
          <t>Agro</t>
        </is>
      </c>
      <c r="B13" s="8" t="n">
        <v>202210</v>
      </c>
      <c r="C13" s="8" t="n">
        <v>2022</v>
      </c>
      <c r="D13" s="9" t="n">
        <v>2010693.297110089</v>
      </c>
      <c r="E13" s="10" t="n">
        <v>0.05016107296886727</v>
      </c>
      <c r="F13" s="22">
        <f>D13*(1-E13)</f>
        <v/>
      </c>
      <c r="G13" s="10" t="n">
        <v>0.8481848813749701</v>
      </c>
      <c r="H13" s="10" t="n">
        <v>0.04165437386324281</v>
      </c>
      <c r="I13" s="10" t="n">
        <v>0.04863348293728038</v>
      </c>
      <c r="J13" s="10" t="n">
        <v>0.07092525380512646</v>
      </c>
      <c r="K13" s="9" t="n">
        <v>10832193.4473481</v>
      </c>
      <c r="L13" s="18" t="n">
        <v>12771028.68161044</v>
      </c>
      <c r="M13" s="18" t="n">
        <v>13383039.24732827</v>
      </c>
      <c r="N13" s="23">
        <f>IF(L13=0,"",M13/L13)</f>
        <v/>
      </c>
      <c r="O13" s="9" t="n">
        <v>11810208.97815783</v>
      </c>
      <c r="P13" s="22">
        <f>M13*G13*(1+H13+I13)</f>
        <v/>
      </c>
      <c r="Q13" s="9" t="n">
        <v>11041932.90863843</v>
      </c>
      <c r="R13" s="22">
        <f>P13-M13*G13*J13</f>
        <v/>
      </c>
      <c r="S13" s="22">
        <f>IF(A13=A12,O13-O12,"")</f>
        <v/>
      </c>
      <c r="T13" s="22">
        <f>IF(A13=A12,P13-P12,"")</f>
        <v/>
      </c>
      <c r="U13" s="22">
        <f>IF(A13=A12,Q13-Q12,"")</f>
        <v/>
      </c>
      <c r="V13" s="22">
        <f>IF(A13=A12,R13-R12,"")</f>
        <v/>
      </c>
      <c r="W13" s="22">
        <f>IF(S13="","",D13-S13)</f>
        <v/>
      </c>
      <c r="X13" s="22">
        <f>IF(T13="","",D13-T13)</f>
        <v/>
      </c>
      <c r="Y13" s="22">
        <f>IF(U13="","",F13-U13)</f>
        <v/>
      </c>
      <c r="Z13" s="22">
        <f>IF(V13="","",F13-V13)</f>
        <v/>
      </c>
      <c r="AA13" s="9" t="n">
        <v>16060375.27191409</v>
      </c>
      <c r="AB13" s="9" t="n">
        <v>13816968.71705523</v>
      </c>
      <c r="AC13" s="9" t="n">
        <v>2079674.721620707</v>
      </c>
      <c r="AD13" s="9" t="n">
        <v>1560686.955366182</v>
      </c>
      <c r="AE13" s="9" t="n">
        <v>915272.8214733092</v>
      </c>
      <c r="AF13" s="9" t="n">
        <v>16622297.81118575</v>
      </c>
      <c r="AG13" s="9" t="n">
        <v>3100769.553489995</v>
      </c>
      <c r="AH13" s="9" t="n">
        <v>3002828.827792455</v>
      </c>
      <c r="AI13" s="9" t="n">
        <v>2312544.682696132</v>
      </c>
      <c r="AJ13" s="9" t="n">
        <v>2232829.634997198</v>
      </c>
      <c r="AK13" s="9" t="n">
        <v>2217015.762058831</v>
      </c>
      <c r="AL13" s="9" t="n">
        <v>3140584.887072078</v>
      </c>
      <c r="AM13" s="9" t="n">
        <v>3087516.801811676</v>
      </c>
      <c r="AN13" s="9" t="n">
        <v>2974344.881845324</v>
      </c>
      <c r="AO13" s="9" t="n">
        <v>2214174.568793944</v>
      </c>
      <c r="AP13" s="9" t="n">
        <v>2134080.309015604</v>
      </c>
      <c r="AQ13" s="9" t="n">
        <v>2113203.205004448</v>
      </c>
      <c r="AR13" s="9" t="n">
        <v>3130304.958089362</v>
      </c>
    </row>
    <row r="14">
      <c r="A14" s="4" t="inlineStr">
        <is>
          <t>Agro</t>
        </is>
      </c>
      <c r="B14" s="5" t="n">
        <v>202211</v>
      </c>
      <c r="C14" s="5" t="n">
        <v>2022</v>
      </c>
      <c r="D14" s="6" t="n">
        <v>11392554.84729932</v>
      </c>
      <c r="E14" s="11" t="n">
        <v>0.05016107296886727</v>
      </c>
      <c r="F14" s="22">
        <f>D14*(1-E14)</f>
        <v/>
      </c>
      <c r="G14" s="11" t="n">
        <v>0.9644909350738563</v>
      </c>
      <c r="H14" s="11" t="n">
        <v>0.03663135497516481</v>
      </c>
      <c r="I14" s="11" t="n">
        <v>0.0537940967492691</v>
      </c>
      <c r="J14" s="11" t="n">
        <v>0.04003817861698422</v>
      </c>
      <c r="K14" s="6" t="n">
        <v>18784364.20828564</v>
      </c>
      <c r="L14" s="18" t="n">
        <v>19475936.50203381</v>
      </c>
      <c r="M14" s="18" t="n">
        <v>20961074.1020712</v>
      </c>
      <c r="N14" s="23">
        <f>IF(L14=0,"",M14/L14)</f>
        <v/>
      </c>
      <c r="O14" s="6" t="n">
        <v>20482948.82717616</v>
      </c>
      <c r="P14" s="22">
        <f>M14*G14*(1+H14+I14)</f>
        <v/>
      </c>
      <c r="Q14" s="6" t="n">
        <v>19730857.09779833</v>
      </c>
      <c r="R14" s="22">
        <f>P14-M14*G14*J14</f>
        <v/>
      </c>
      <c r="S14" s="22">
        <f>IF(A14=A13,O14-O13,"")</f>
        <v/>
      </c>
      <c r="T14" s="22">
        <f>IF(A14=A13,P14-P13,"")</f>
        <v/>
      </c>
      <c r="U14" s="22">
        <f>IF(A14=A13,Q14-Q13,"")</f>
        <v/>
      </c>
      <c r="V14" s="22">
        <f>IF(A14=A13,R14-R13,"")</f>
        <v/>
      </c>
      <c r="W14" s="22">
        <f>IF(S14="","",D14-S14)</f>
        <v/>
      </c>
      <c r="X14" s="22">
        <f>IF(T14="","",D14-T14)</f>
        <v/>
      </c>
      <c r="Y14" s="22">
        <f>IF(U14="","",F14-U14)</f>
        <v/>
      </c>
      <c r="Z14" s="22">
        <f>IF(V14="","",F14-V14)</f>
        <v/>
      </c>
      <c r="AA14" s="6" t="n">
        <v>24505621.8733354</v>
      </c>
      <c r="AB14" s="6" t="n">
        <v>21517745.21640473</v>
      </c>
      <c r="AC14" s="6" t="n">
        <v>2337642.843752556</v>
      </c>
      <c r="AD14" s="6" t="n">
        <v>1486168.518372537</v>
      </c>
      <c r="AE14" s="6" t="n">
        <v>713031.6088376051</v>
      </c>
      <c r="AF14" s="6" t="n">
        <v>24748686.62233563</v>
      </c>
      <c r="AG14" s="6" t="n">
        <v>471942.2380605973</v>
      </c>
      <c r="AH14" s="6" t="n">
        <v>1539683.062269276</v>
      </c>
      <c r="AI14" s="6" t="n">
        <v>10857254.89747624</v>
      </c>
      <c r="AJ14" s="6" t="n">
        <v>11272813.02481343</v>
      </c>
      <c r="AK14" s="6" t="n">
        <v>11489068.49851041</v>
      </c>
      <c r="AL14" s="6" t="n">
        <v>735956.3906994034</v>
      </c>
      <c r="AM14" s="6" t="n">
        <v>-119355.8488785923</v>
      </c>
      <c r="AN14" s="6" t="n">
        <v>967961.9962153733</v>
      </c>
      <c r="AO14" s="6" t="n">
        <v>10250955.10842647</v>
      </c>
      <c r="AP14" s="6" t="n">
        <v>10664853.43612309</v>
      </c>
      <c r="AQ14" s="6" t="n">
        <v>10890079.7469256</v>
      </c>
      <c r="AR14" s="6" t="n">
        <v>120240.620732069</v>
      </c>
    </row>
    <row r="15">
      <c r="A15" t="inlineStr">
        <is>
          <t>Agro</t>
        </is>
      </c>
      <c r="B15" s="8" t="n">
        <v>202212</v>
      </c>
      <c r="C15" s="8" t="n">
        <v>2022</v>
      </c>
      <c r="D15" s="9" t="n">
        <v>3707753.675889465</v>
      </c>
      <c r="E15" s="10" t="n">
        <v>0.05016107296886727</v>
      </c>
      <c r="F15" s="22">
        <f>D15*(1-E15)</f>
        <v/>
      </c>
      <c r="G15" s="10" t="n">
        <v>0.8236582211082535</v>
      </c>
      <c r="H15" s="10" t="n">
        <v>0.04289472230937779</v>
      </c>
      <c r="I15" s="10" t="n">
        <v>0.05943605161278954</v>
      </c>
      <c r="J15" s="10" t="n">
        <v>0.04756620125402419</v>
      </c>
      <c r="K15" s="9" t="n">
        <v>15351190.54482826</v>
      </c>
      <c r="L15" s="18" t="n">
        <v>18637816.2099479</v>
      </c>
      <c r="M15" s="18" t="n">
        <v>20503966.53054254</v>
      </c>
      <c r="N15" s="23">
        <f>IF(L15=0,"",M15/L15)</f>
        <v/>
      </c>
      <c r="O15" s="9" t="n">
        <v>16922089.75390719</v>
      </c>
      <c r="P15" s="22">
        <f>M15*G15*(1+H15+I15)</f>
        <v/>
      </c>
      <c r="Q15" s="9" t="n">
        <v>16191891.93496302</v>
      </c>
      <c r="R15" s="22">
        <f>P15-M15*G15*J15</f>
        <v/>
      </c>
      <c r="S15" s="22">
        <f>IF(A15=A14,O15-O14,"")</f>
        <v/>
      </c>
      <c r="T15" s="22">
        <f>IF(A15=A14,P15-P14,"")</f>
        <v/>
      </c>
      <c r="U15" s="22">
        <f>IF(A15=A14,Q15-Q14,"")</f>
        <v/>
      </c>
      <c r="V15" s="22">
        <f>IF(A15=A14,R15-R14,"")</f>
        <v/>
      </c>
      <c r="W15" s="22">
        <f>IF(S15="","",D15-S15)</f>
        <v/>
      </c>
      <c r="X15" s="22">
        <f>IF(T15="","",D15-T15)</f>
        <v/>
      </c>
      <c r="Y15" s="22">
        <f>IF(U15="","",F15-U15)</f>
        <v/>
      </c>
      <c r="Z15" s="22">
        <f>IF(V15="","",F15-V15)</f>
        <v/>
      </c>
      <c r="AA15" s="9" t="n">
        <v>24193085.46978506</v>
      </c>
      <c r="AB15" s="9" t="n">
        <v>21102879.61176537</v>
      </c>
      <c r="AC15" s="9" t="n">
        <v>2978354.174377281</v>
      </c>
      <c r="AD15" s="9" t="n">
        <v>1664997.023477844</v>
      </c>
      <c r="AE15" s="9" t="n">
        <v>896309.9058687021</v>
      </c>
      <c r="AF15" s="9" t="n">
        <v>24950294.08346973</v>
      </c>
      <c r="AG15" s="9" t="n">
        <v>7514488.028346855</v>
      </c>
      <c r="AH15" s="9" t="n">
        <v>7177855.086670753</v>
      </c>
      <c r="AI15" s="9" t="n">
        <v>3462087.206819437</v>
      </c>
      <c r="AJ15" s="9" t="n">
        <v>3759041.49475511</v>
      </c>
      <c r="AK15" s="9" t="n">
        <v>3643853.88881082</v>
      </c>
      <c r="AL15" s="9" t="n">
        <v>7082617.683495775</v>
      </c>
      <c r="AM15" s="9" t="n">
        <v>7330026.534741712</v>
      </c>
      <c r="AN15" s="9" t="n">
        <v>6987705.823828784</v>
      </c>
      <c r="AO15" s="9" t="n">
        <v>3302517.643621294</v>
      </c>
      <c r="AP15" s="9" t="n">
        <v>3580897.765177127</v>
      </c>
      <c r="AQ15" s="9" t="n">
        <v>3465450.121135914</v>
      </c>
      <c r="AR15" s="9" t="n">
        <v>6918436.030361821</v>
      </c>
    </row>
    <row r="16">
      <c r="A16" s="4" t="inlineStr">
        <is>
          <t>Agro</t>
        </is>
      </c>
      <c r="B16" s="5" t="n">
        <v>202301</v>
      </c>
      <c r="C16" s="5" t="n">
        <v>2023</v>
      </c>
      <c r="D16" s="6" t="n">
        <v>1414913.623748076</v>
      </c>
      <c r="E16" s="11" t="n">
        <v>0.05016107296886727</v>
      </c>
      <c r="F16" s="22">
        <f>D16*(1-E16)</f>
        <v/>
      </c>
      <c r="G16" s="11" t="n">
        <v>0.8344189527826212</v>
      </c>
      <c r="H16" s="11" t="n">
        <v>0.03475471357423179</v>
      </c>
      <c r="I16" s="11" t="n">
        <v>0.0873986729976042</v>
      </c>
      <c r="J16" s="11" t="n">
        <v>0.04601524875638445</v>
      </c>
      <c r="K16" s="6" t="n">
        <v>13924641.55050693</v>
      </c>
      <c r="L16" s="18" t="n">
        <v>16687829.90135952</v>
      </c>
      <c r="M16" s="18" t="n">
        <v>18400174.32680238</v>
      </c>
      <c r="N16" s="23">
        <f>IF(L16=0,"",M16/L16)</f>
        <v/>
      </c>
      <c r="O16" s="6" t="n">
        <v>15625583.67270025</v>
      </c>
      <c r="P16" s="22">
        <f>M16*G16*(1+H16+I16)</f>
        <v/>
      </c>
      <c r="Q16" s="6" t="n">
        <v>14984837.82791019</v>
      </c>
      <c r="R16" s="22">
        <f>P16-M16*G16*J16</f>
        <v/>
      </c>
      <c r="S16" s="22">
        <f>IF(A16=A15,O16-O15,"")</f>
        <v/>
      </c>
      <c r="T16" s="22">
        <f>IF(A16=A15,P16-P15,"")</f>
        <v/>
      </c>
      <c r="U16" s="22">
        <f>IF(A16=A15,Q16-Q15,"")</f>
        <v/>
      </c>
      <c r="V16" s="22">
        <f>IF(A16=A15,R16-R15,"")</f>
        <v/>
      </c>
      <c r="W16" s="22">
        <f>IF(S16="","",D16-S16)</f>
        <v/>
      </c>
      <c r="X16" s="22">
        <f>IF(T16="","",D16-T16)</f>
        <v/>
      </c>
      <c r="Y16" s="22">
        <f>IF(U16="","",F16-U16)</f>
        <v/>
      </c>
      <c r="Z16" s="22">
        <f>IF(V16="","",F16-V16)</f>
        <v/>
      </c>
      <c r="AA16" s="6" t="n">
        <v>22174234.42793429</v>
      </c>
      <c r="AB16" s="6" t="n">
        <v>19005841.94095467</v>
      </c>
      <c r="AC16" s="6" t="n">
        <v>2583020.961452968</v>
      </c>
      <c r="AD16" s="6" t="n">
        <v>1540343.648174334</v>
      </c>
      <c r="AE16" s="6" t="n">
        <v>817726.1209548532</v>
      </c>
      <c r="AF16" s="6" t="n">
        <v>22817160.91879749</v>
      </c>
      <c r="AG16" s="6" t="n">
        <v>2618118.783386116</v>
      </c>
      <c r="AH16" s="6" t="n">
        <v>2779097.322226525</v>
      </c>
      <c r="AI16" s="6" t="n">
        <v>1700490.359607894</v>
      </c>
      <c r="AJ16" s="6" t="n">
        <v>1484342.65914232</v>
      </c>
      <c r="AK16" s="6" t="n">
        <v>1463038.023182645</v>
      </c>
      <c r="AL16" s="6" t="n">
        <v>2703619.970230923</v>
      </c>
      <c r="AM16" s="6" t="n">
        <v>2450703.223060508</v>
      </c>
      <c r="AN16" s="6" t="n">
        <v>2611097.167299346</v>
      </c>
      <c r="AO16" s="6" t="n">
        <v>1612007.604120891</v>
      </c>
      <c r="AP16" s="6" t="n">
        <v>1407280.360930134</v>
      </c>
      <c r="AQ16" s="6" t="n">
        <v>1388345.954413448</v>
      </c>
      <c r="AR16" s="6" t="n">
        <v>2531224.071961333</v>
      </c>
    </row>
    <row r="17">
      <c r="A17" t="inlineStr">
        <is>
          <t>Agro</t>
        </is>
      </c>
      <c r="B17" s="8" t="n">
        <v>202302</v>
      </c>
      <c r="C17" s="8" t="n">
        <v>2023</v>
      </c>
      <c r="D17" s="9" t="n">
        <v>1320840.256309583</v>
      </c>
      <c r="E17" s="10" t="n">
        <v>0.05016107296886727</v>
      </c>
      <c r="F17" s="22">
        <f>D17*(1-E17)</f>
        <v/>
      </c>
      <c r="G17" s="10" t="n">
        <v>0.9214772612194624</v>
      </c>
      <c r="H17" s="10" t="n">
        <v>0.03147120526594763</v>
      </c>
      <c r="I17" s="10" t="n">
        <v>0.09348487411584988</v>
      </c>
      <c r="J17" s="10" t="n">
        <v>0.04236655166070834</v>
      </c>
      <c r="K17" s="9" t="n">
        <v>13962406.04246588</v>
      </c>
      <c r="L17" s="18" t="n">
        <v>15152198.13887577</v>
      </c>
      <c r="M17" s="18" t="n">
        <v>16308003.17916089</v>
      </c>
      <c r="N17" s="23">
        <f>IF(L17=0,"",M17/L17)</f>
        <v/>
      </c>
      <c r="O17" s="9" t="n">
        <v>15707093.56026914</v>
      </c>
      <c r="P17" s="22">
        <f>M17*G17*(1+H17+I17)</f>
        <v/>
      </c>
      <c r="Q17" s="9" t="n">
        <v>15115554.56336322</v>
      </c>
      <c r="R17" s="22">
        <f>P17-M17*G17*J17</f>
        <v/>
      </c>
      <c r="S17" s="22">
        <f>IF(A17=A16,O17-O16,"")</f>
        <v/>
      </c>
      <c r="T17" s="22">
        <f>IF(A17=A16,P17-P16,"")</f>
        <v/>
      </c>
      <c r="U17" s="22">
        <f>IF(A17=A16,Q17-Q16,"")</f>
        <v/>
      </c>
      <c r="V17" s="22">
        <f>IF(A17=A16,R17-R16,"")</f>
        <v/>
      </c>
      <c r="W17" s="22">
        <f>IF(S17="","",D17-S17)</f>
        <v/>
      </c>
      <c r="X17" s="22">
        <f>IF(T17="","",D17-T17)</f>
        <v/>
      </c>
      <c r="Y17" s="22">
        <f>IF(U17="","",F17-U17)</f>
        <v/>
      </c>
      <c r="Z17" s="22">
        <f>IF(V17="","",F17-V17)</f>
        <v/>
      </c>
      <c r="AA17" s="9" t="n">
        <v>19989125.11216399</v>
      </c>
      <c r="AB17" s="9" t="n">
        <v>16877832.86072281</v>
      </c>
      <c r="AC17" s="9" t="n">
        <v>2237384.473503618</v>
      </c>
      <c r="AD17" s="9" t="n">
        <v>1371503.925752843</v>
      </c>
      <c r="AE17" s="9" t="n">
        <v>683556.7204617515</v>
      </c>
      <c r="AF17" s="9" t="n">
        <v>20580621.42237819</v>
      </c>
      <c r="AG17" s="9" t="n">
        <v>1362441.357932526</v>
      </c>
      <c r="AH17" s="9" t="n">
        <v>1620961.832018714</v>
      </c>
      <c r="AI17" s="9" t="n">
        <v>1420121.009685576</v>
      </c>
      <c r="AJ17" s="9" t="n">
        <v>1341404.568487193</v>
      </c>
      <c r="AK17" s="9" t="n">
        <v>1377925.325974656</v>
      </c>
      <c r="AL17" s="9" t="n">
        <v>1351285.279459886</v>
      </c>
      <c r="AM17" s="9" t="n">
        <v>1225156.510402206</v>
      </c>
      <c r="AN17" s="9" t="n">
        <v>1483866.297959059</v>
      </c>
      <c r="AO17" s="9" t="n">
        <v>1342035.657206361</v>
      </c>
      <c r="AP17" s="9" t="n">
        <v>1269550.034100409</v>
      </c>
      <c r="AQ17" s="9" t="n">
        <v>1306959.080110183</v>
      </c>
      <c r="AR17" s="9" t="n">
        <v>1212406.535091746</v>
      </c>
    </row>
    <row r="18">
      <c r="A18" s="4" t="inlineStr">
        <is>
          <t>Agro</t>
        </is>
      </c>
      <c r="B18" s="5" t="n">
        <v>202303</v>
      </c>
      <c r="C18" s="5" t="n">
        <v>2023</v>
      </c>
      <c r="D18" s="6" t="n">
        <v>2001093.727088085</v>
      </c>
      <c r="E18" s="11" t="n">
        <v>0.05016107296886727</v>
      </c>
      <c r="F18" s="22">
        <f>D18*(1-E18)</f>
        <v/>
      </c>
      <c r="G18" s="11" t="n">
        <v>0.938787141810646</v>
      </c>
      <c r="H18" s="11" t="n">
        <v>0.03089092169784944</v>
      </c>
      <c r="I18" s="11" t="n">
        <v>0.07337106923548621</v>
      </c>
      <c r="J18" s="11" t="n">
        <v>0.03664592689191552</v>
      </c>
      <c r="K18" s="6" t="n">
        <v>13159951.00249166</v>
      </c>
      <c r="L18" s="18" t="n">
        <v>14018034.99045584</v>
      </c>
      <c r="M18" s="18" t="n">
        <v>15207255.37251108</v>
      </c>
      <c r="N18" s="23">
        <f>IF(L18=0,"",M18/L18)</f>
        <v/>
      </c>
      <c r="O18" s="6" t="n">
        <v>14532033.69459659</v>
      </c>
      <c r="P18" s="22">
        <f>M18*G18*(1+H18+I18)</f>
        <v/>
      </c>
      <c r="Q18" s="6" t="n">
        <v>14049775.09225809</v>
      </c>
      <c r="R18" s="22">
        <f>P18-M18*G18*J18</f>
        <v/>
      </c>
      <c r="S18" s="22">
        <f>IF(A18=A17,O18-O17,"")</f>
        <v/>
      </c>
      <c r="T18" s="22">
        <f>IF(A18=A17,P18-P17,"")</f>
        <v/>
      </c>
      <c r="U18" s="22">
        <f>IF(A18=A17,Q18-Q17,"")</f>
        <v/>
      </c>
      <c r="V18" s="22">
        <f>IF(A18=A17,R18-R17,"")</f>
        <v/>
      </c>
      <c r="W18" s="22">
        <f>IF(S18="","",D18-S18)</f>
        <v/>
      </c>
      <c r="X18" s="22">
        <f>IF(T18="","",D18-T18)</f>
        <v/>
      </c>
      <c r="Y18" s="22">
        <f>IF(U18="","",F18-U18)</f>
        <v/>
      </c>
      <c r="Z18" s="22">
        <f>IF(V18="","",F18-V18)</f>
        <v/>
      </c>
      <c r="AA18" s="6" t="n">
        <v>18600463.25065555</v>
      </c>
      <c r="AB18" s="6" t="n">
        <v>15754706.68887798</v>
      </c>
      <c r="AC18" s="6" t="n">
        <v>1899065.018652961</v>
      </c>
      <c r="AD18" s="6" t="n">
        <v>1363018.840663703</v>
      </c>
      <c r="AE18" s="6" t="n">
        <v>687548.0510750908</v>
      </c>
      <c r="AF18" s="6" t="n">
        <v>19156613.89783024</v>
      </c>
      <c r="AG18" s="6" t="n">
        <v>3439763.8649148</v>
      </c>
      <c r="AH18" s="6" t="n">
        <v>3164633.388019724</v>
      </c>
      <c r="AI18" s="6" t="n">
        <v>2351716.501093597</v>
      </c>
      <c r="AJ18" s="6" t="n">
        <v>2009827.515569827</v>
      </c>
      <c r="AK18" s="6" t="n">
        <v>1996924.936995738</v>
      </c>
      <c r="AL18" s="6" t="n">
        <v>3476378.626165404</v>
      </c>
      <c r="AM18" s="6" t="n">
        <v>3198921.751668593</v>
      </c>
      <c r="AN18" s="6" t="n">
        <v>2947353.765228721</v>
      </c>
      <c r="AO18" s="6" t="n">
        <v>2229325.430487274</v>
      </c>
      <c r="AP18" s="6" t="n">
        <v>1902798.811256291</v>
      </c>
      <c r="AQ18" s="6" t="n">
        <v>1893515.527816132</v>
      </c>
      <c r="AR18" s="6" t="n">
        <v>3231577.70474604</v>
      </c>
    </row>
    <row r="19">
      <c r="A19" t="inlineStr">
        <is>
          <t>Agro</t>
        </is>
      </c>
      <c r="B19" s="8" t="n">
        <v>202304</v>
      </c>
      <c r="C19" s="8" t="n">
        <v>2023</v>
      </c>
      <c r="D19" s="9" t="n">
        <v>1212248.874918002</v>
      </c>
      <c r="E19" s="10" t="n">
        <v>0.05016107296886727</v>
      </c>
      <c r="F19" s="22">
        <f>D19*(1-E19)</f>
        <v/>
      </c>
      <c r="G19" s="10" t="n">
        <v>0.9922969244141007</v>
      </c>
      <c r="H19" s="10" t="n">
        <v>0.02922512287069303</v>
      </c>
      <c r="I19" s="10" t="n">
        <v>0.07324289915086762</v>
      </c>
      <c r="J19" s="10" t="n">
        <v>0.03055677086540998</v>
      </c>
      <c r="K19" s="9" t="n">
        <v>12567143.80038025</v>
      </c>
      <c r="L19" s="18" t="n">
        <v>12664700.9490637</v>
      </c>
      <c r="M19" s="18" t="n">
        <v>13421408.12542784</v>
      </c>
      <c r="N19" s="23">
        <f>IF(L19=0,"",M19/L19)</f>
        <v/>
      </c>
      <c r="O19" s="9" t="n">
        <v>13854874.16806573</v>
      </c>
      <c r="P19" s="22">
        <f>M19*G19*(1+H19+I19)</f>
        <v/>
      </c>
      <c r="Q19" s="9" t="n">
        <v>13470862.83452486</v>
      </c>
      <c r="R19" s="22">
        <f>P19-M19*G19*J19</f>
        <v/>
      </c>
      <c r="S19" s="22">
        <f>IF(A19=A18,O19-O18,"")</f>
        <v/>
      </c>
      <c r="T19" s="22">
        <f>IF(A19=A18,P19-P18,"")</f>
        <v/>
      </c>
      <c r="U19" s="22">
        <f>IF(A19=A18,Q19-Q18,"")</f>
        <v/>
      </c>
      <c r="V19" s="22">
        <f>IF(A19=A18,R19-R18,"")</f>
        <v/>
      </c>
      <c r="W19" s="22">
        <f>IF(S19="","",D19-S19)</f>
        <v/>
      </c>
      <c r="X19" s="22">
        <f>IF(T19="","",D19-T19)</f>
        <v/>
      </c>
      <c r="Y19" s="22">
        <f>IF(U19="","",F19-U19)</f>
        <v/>
      </c>
      <c r="Z19" s="22">
        <f>IF(V19="","",F19-V19)</f>
        <v/>
      </c>
      <c r="AA19" s="9" t="n">
        <v>16556759.10320299</v>
      </c>
      <c r="AB19" s="9" t="n">
        <v>13970202.4672759</v>
      </c>
      <c r="AC19" s="9" t="n">
        <v>1663352.133890641</v>
      </c>
      <c r="AD19" s="9" t="n">
        <v>1369188.700327019</v>
      </c>
      <c r="AE19" s="9" t="n">
        <v>738961.4145450925</v>
      </c>
      <c r="AF19" s="9" t="n">
        <v>17298045.68460129</v>
      </c>
      <c r="AG19" s="9" t="n">
        <v>2382043.605972483</v>
      </c>
      <c r="AH19" s="9" t="n">
        <v>2261571.725969943</v>
      </c>
      <c r="AI19" s="9" t="n">
        <v>1361280.136923381</v>
      </c>
      <c r="AJ19" s="9" t="n">
        <v>1127386.402915761</v>
      </c>
      <c r="AK19" s="9" t="n">
        <v>1116601.444508548</v>
      </c>
      <c r="AL19" s="9" t="n">
        <v>2147637.152668609</v>
      </c>
      <c r="AM19" s="9" t="n">
        <v>2183353.226012658</v>
      </c>
      <c r="AN19" s="9" t="n">
        <v>2082355.134456947</v>
      </c>
      <c r="AO19" s="9" t="n">
        <v>1285574.569465996</v>
      </c>
      <c r="AP19" s="9" t="n">
        <v>1061202.840569529</v>
      </c>
      <c r="AQ19" s="9" t="n">
        <v>1054546.550795873</v>
      </c>
      <c r="AR19" s="9" t="n">
        <v>1952290.514305301</v>
      </c>
    </row>
    <row r="20">
      <c r="A20" s="4" t="inlineStr">
        <is>
          <t>Agro</t>
        </is>
      </c>
      <c r="B20" s="5" t="n">
        <v>202305</v>
      </c>
      <c r="C20" s="5" t="n">
        <v>2023</v>
      </c>
      <c r="D20" s="6" t="n">
        <v>1898090.550157163</v>
      </c>
      <c r="E20" s="11" t="n">
        <v>0.05016107296886727</v>
      </c>
      <c r="F20" s="22">
        <f>D20*(1-E20)</f>
        <v/>
      </c>
      <c r="G20" s="11" t="n">
        <v>0.866062544</v>
      </c>
      <c r="H20" s="11" t="n">
        <v>0.03348487976256736</v>
      </c>
      <c r="I20" s="11" t="n">
        <v>0.1185968613805877</v>
      </c>
      <c r="J20" s="11" t="n">
        <v>0.02170983461338587</v>
      </c>
      <c r="K20" s="6" t="n">
        <v>10252487.93799396</v>
      </c>
      <c r="L20" s="18" t="n">
        <v>11838045.65735146</v>
      </c>
      <c r="M20" s="18" t="n">
        <v>12278051.08574982</v>
      </c>
      <c r="N20" s="23">
        <f>IF(L20=0,"",M20/L20)</f>
        <v/>
      </c>
      <c r="O20" s="6" t="n">
        <v>11811704.15465328</v>
      </c>
      <c r="P20" s="22">
        <f>M20*G20*(1+H20+I20)</f>
        <v/>
      </c>
      <c r="Q20" s="6" t="n">
        <v>11589124.3371437</v>
      </c>
      <c r="R20" s="22">
        <f>P20-M20*G20*J20</f>
        <v/>
      </c>
      <c r="S20" s="22">
        <f>IF(A20=A19,O20-O19,"")</f>
        <v/>
      </c>
      <c r="T20" s="22">
        <f>IF(A20=A19,P20-P19,"")</f>
        <v/>
      </c>
      <c r="U20" s="22">
        <f>IF(A20=A19,Q20-Q19,"")</f>
        <v/>
      </c>
      <c r="V20" s="22">
        <f>IF(A20=A19,R20-R19,"")</f>
        <v/>
      </c>
      <c r="W20" s="22">
        <f>IF(S20="","",D20-S20)</f>
        <v/>
      </c>
      <c r="X20" s="22">
        <f>IF(T20="","",D20-T20)</f>
        <v/>
      </c>
      <c r="Y20" s="22">
        <f>IF(U20="","",F20-U20)</f>
        <v/>
      </c>
      <c r="Z20" s="22">
        <f>IF(V20="","",F20-V20)</f>
        <v/>
      </c>
      <c r="AA20" s="6" t="n">
        <v>15373215.43204244</v>
      </c>
      <c r="AB20" s="6" t="n">
        <v>12809462.67319424</v>
      </c>
      <c r="AC20" s="6" t="n">
        <v>1617780.408301834</v>
      </c>
      <c r="AD20" s="6" t="n">
        <v>1562436.369630945</v>
      </c>
      <c r="AE20" s="6" t="n">
        <v>956051.8650105294</v>
      </c>
      <c r="AF20" s="6" t="n">
        <v>16170713.29751198</v>
      </c>
      <c r="AG20" s="6" t="n">
        <v>4671773.855927221</v>
      </c>
      <c r="AH20" s="6" t="n">
        <v>4400191.945097635</v>
      </c>
      <c r="AI20" s="6" t="n">
        <v>2103576.650690066</v>
      </c>
      <c r="AJ20" s="6" t="n">
        <v>1836989.9133955</v>
      </c>
      <c r="AK20" s="6" t="n">
        <v>1752571.827231477</v>
      </c>
      <c r="AL20" s="6" t="n">
        <v>4687000.000967832</v>
      </c>
      <c r="AM20" s="6" t="n">
        <v>4363587.994897578</v>
      </c>
      <c r="AN20" s="6" t="n">
        <v>4122230.205320571</v>
      </c>
      <c r="AO20" s="6" t="n">
        <v>1988348.871674664</v>
      </c>
      <c r="AP20" s="6" t="n">
        <v>1729640.995755828</v>
      </c>
      <c r="AQ20" s="6" t="n">
        <v>1652930.990065762</v>
      </c>
      <c r="AR20" s="6" t="n">
        <v>4371331.914943319</v>
      </c>
    </row>
    <row r="21">
      <c r="A21" t="inlineStr">
        <is>
          <t>Agro</t>
        </is>
      </c>
      <c r="B21" s="8" t="n">
        <v>202306</v>
      </c>
      <c r="C21" s="8" t="n">
        <v>2023</v>
      </c>
      <c r="D21" s="9" t="n">
        <v>1457657.172810769</v>
      </c>
      <c r="E21" s="10" t="n">
        <v>0.05016107296886727</v>
      </c>
      <c r="F21" s="22">
        <f>D21*(1-E21)</f>
        <v/>
      </c>
      <c r="G21" s="10" t="n">
        <v>0.8996469495391282</v>
      </c>
      <c r="H21" s="10" t="n">
        <v>0.03223486725824834</v>
      </c>
      <c r="I21" s="10" t="n">
        <v>0.1073861848603977</v>
      </c>
      <c r="J21" s="10" t="n">
        <v>0.0473883367868952</v>
      </c>
      <c r="K21" s="9" t="n">
        <v>9489368.478464091</v>
      </c>
      <c r="L21" s="18" t="n">
        <v>10547880.45835682</v>
      </c>
      <c r="M21" s="18" t="n">
        <v>10961281.92161903</v>
      </c>
      <c r="N21" s="23">
        <f>IF(L21=0,"",M21/L21)</f>
        <v/>
      </c>
      <c r="O21" s="9" t="n">
        <v>10814284.08936876</v>
      </c>
      <c r="P21" s="22">
        <f>M21*G21*(1+H21+I21)</f>
        <v/>
      </c>
      <c r="Q21" s="9" t="n">
        <v>10364598.70001636</v>
      </c>
      <c r="R21" s="22">
        <f>P21-M21*G21*J21</f>
        <v/>
      </c>
      <c r="S21" s="22">
        <f>IF(A21=A20,O21-O20,"")</f>
        <v/>
      </c>
      <c r="T21" s="22">
        <f>IF(A21=A20,P21-P20,"")</f>
        <v/>
      </c>
      <c r="U21" s="22">
        <f>IF(A21=A20,Q21-Q20,"")</f>
        <v/>
      </c>
      <c r="V21" s="22">
        <f>IF(A21=A20,R21-R20,"")</f>
        <v/>
      </c>
      <c r="W21" s="22">
        <f>IF(S21="","",D21-S21)</f>
        <v/>
      </c>
      <c r="X21" s="22">
        <f>IF(T21="","",D21-T21)</f>
        <v/>
      </c>
      <c r="Y21" s="22">
        <f>IF(U21="","",F21-U21)</f>
        <v/>
      </c>
      <c r="Z21" s="22">
        <f>IF(V21="","",F21-V21)</f>
        <v/>
      </c>
      <c r="AA21" s="9" t="n">
        <v>13883114.05147714</v>
      </c>
      <c r="AB21" s="9" t="n">
        <v>11448046.01301676</v>
      </c>
      <c r="AC21" s="9" t="n">
        <v>1721970.771122951</v>
      </c>
      <c r="AD21" s="9" t="n">
        <v>1744364.896569201</v>
      </c>
      <c r="AE21" s="9" t="n">
        <v>1154084.97889585</v>
      </c>
      <c r="AF21" s="9" t="n">
        <v>14677727.27128166</v>
      </c>
      <c r="AG21" s="9" t="n">
        <v>2562910.442786394</v>
      </c>
      <c r="AH21" s="9" t="n">
        <v>2501432.020317217</v>
      </c>
      <c r="AI21" s="9" t="n">
        <v>1306375.863174428</v>
      </c>
      <c r="AJ21" s="9" t="n">
        <v>1228195.248657743</v>
      </c>
      <c r="AK21" s="9" t="n">
        <v>1228348.427692938</v>
      </c>
      <c r="AL21" s="9" t="n">
        <v>2543951.300230788</v>
      </c>
      <c r="AM21" s="9" t="n">
        <v>2792620.096467209</v>
      </c>
      <c r="AN21" s="9" t="n">
        <v>2675531.842581105</v>
      </c>
      <c r="AO21" s="9" t="n">
        <v>1276252.975817898</v>
      </c>
      <c r="AP21" s="9" t="n">
        <v>1200067.667703185</v>
      </c>
      <c r="AQ21" s="9" t="n">
        <v>1186456.863906937</v>
      </c>
      <c r="AR21" s="9" t="n">
        <v>2792542.904287568</v>
      </c>
    </row>
    <row r="22">
      <c r="A22" s="4" t="inlineStr">
        <is>
          <t>Agro</t>
        </is>
      </c>
      <c r="B22" s="5" t="n">
        <v>202307</v>
      </c>
      <c r="C22" s="5" t="n">
        <v>2023</v>
      </c>
      <c r="D22" s="6" t="n">
        <v>2460542.728089727</v>
      </c>
      <c r="E22" s="11" t="n">
        <v>0.05016107296886727</v>
      </c>
      <c r="F22" s="22">
        <f>D22*(1-E22)</f>
        <v/>
      </c>
      <c r="G22" s="11" t="n">
        <v>0.899647</v>
      </c>
      <c r="H22" s="11" t="n">
        <v>0.03049674588646467</v>
      </c>
      <c r="I22" s="11" t="n">
        <v>0.1134175354758389</v>
      </c>
      <c r="J22" s="11" t="n">
        <v>0.03851646703334529</v>
      </c>
      <c r="K22" s="6" t="n">
        <v>9820475.547950933</v>
      </c>
      <c r="L22" s="18" t="n">
        <v>10915920.96450156</v>
      </c>
      <c r="M22" s="18" t="n">
        <v>10616490.98792482</v>
      </c>
      <c r="N22" s="23">
        <f>IF(L22=0,"",M22/L22)</f>
        <v/>
      </c>
      <c r="O22" s="6" t="n">
        <v>11233782.22907036</v>
      </c>
      <c r="P22" s="22">
        <f>M22*G22*(1+H22+I22)</f>
        <v/>
      </c>
      <c r="Q22" s="6" t="n">
        <v>10855532.20637594</v>
      </c>
      <c r="R22" s="22">
        <f>P22-M22*G22*J22</f>
        <v/>
      </c>
      <c r="S22" s="22">
        <f>IF(A22=A21,O22-O21,"")</f>
        <v/>
      </c>
      <c r="T22" s="22">
        <f>IF(A22=A21,P22-P21,"")</f>
        <v/>
      </c>
      <c r="U22" s="22">
        <f>IF(A22=A21,Q22-Q21,"")</f>
        <v/>
      </c>
      <c r="V22" s="22">
        <f>IF(A22=A21,R22-R21,"")</f>
        <v/>
      </c>
      <c r="W22" s="22">
        <f>IF(S22="","",D22-S22)</f>
        <v/>
      </c>
      <c r="X22" s="22">
        <f>IF(T22="","",D22-T22)</f>
        <v/>
      </c>
      <c r="Y22" s="22">
        <f>IF(U22="","",F22-U22)</f>
        <v/>
      </c>
      <c r="Z22" s="22">
        <f>IF(V22="","",F22-V22)</f>
        <v/>
      </c>
      <c r="AA22" s="6" t="n">
        <v>13518308.25431754</v>
      </c>
      <c r="AB22" s="6" t="n">
        <v>11125028.28424959</v>
      </c>
      <c r="AC22" s="6" t="n">
        <v>1710075.407876721</v>
      </c>
      <c r="AD22" s="6" t="n">
        <v>1630787.597204881</v>
      </c>
      <c r="AE22" s="6" t="n">
        <v>1042596.998560612</v>
      </c>
      <c r="AF22" s="6" t="n">
        <v>14310225.33598969</v>
      </c>
      <c r="AG22" s="6" t="n">
        <v>2782348.513554788</v>
      </c>
      <c r="AH22" s="6" t="n">
        <v>2748748.94069101</v>
      </c>
      <c r="AI22" s="6" t="n">
        <v>2466133.449926247</v>
      </c>
      <c r="AJ22" s="6" t="n">
        <v>2570689.771425119</v>
      </c>
      <c r="AK22" s="6" t="n">
        <v>2570819.539081435</v>
      </c>
      <c r="AL22" s="6" t="n">
        <v>2782054.008179813</v>
      </c>
      <c r="AM22" s="6" t="n">
        <v>2535475.33307189</v>
      </c>
      <c r="AN22" s="6" t="n">
        <v>2522759.381861689</v>
      </c>
      <c r="AO22" s="6" t="n">
        <v>2328553.804276287</v>
      </c>
      <c r="AP22" s="6" t="n">
        <v>2429407.982427252</v>
      </c>
      <c r="AQ22" s="6" t="n">
        <v>2434321.495405785</v>
      </c>
      <c r="AR22" s="6" t="n">
        <v>2528745.159164994</v>
      </c>
    </row>
    <row r="23">
      <c r="A23" t="inlineStr">
        <is>
          <t>Agro</t>
        </is>
      </c>
      <c r="B23" s="8" t="n">
        <v>202308</v>
      </c>
      <c r="C23" s="8" t="n">
        <v>2023</v>
      </c>
      <c r="D23" s="9" t="n">
        <v>2289165.092504925</v>
      </c>
      <c r="E23" s="10" t="n">
        <v>0.05016107296886727</v>
      </c>
      <c r="F23" s="22">
        <f>D23*(1-E23)</f>
        <v/>
      </c>
      <c r="G23" s="10" t="n">
        <v>0.9825191014433132</v>
      </c>
      <c r="H23" s="10" t="n">
        <v>0.03010692440392177</v>
      </c>
      <c r="I23" s="10" t="n">
        <v>0.1025251800173233</v>
      </c>
      <c r="J23" s="10" t="n">
        <v>0.03147875922357726</v>
      </c>
      <c r="K23" s="9" t="n">
        <v>9316986.421150148</v>
      </c>
      <c r="L23" s="18" t="n">
        <v>9482753.472643498</v>
      </c>
      <c r="M23" s="18" t="n">
        <v>10169387.03267669</v>
      </c>
      <c r="N23" s="23">
        <f>IF(L23=0,"",M23/L23)</f>
        <v/>
      </c>
      <c r="O23" s="9" t="n">
        <v>10552717.93705146</v>
      </c>
      <c r="P23" s="22">
        <f>M23*G23*(1+H23+I23)</f>
        <v/>
      </c>
      <c r="Q23" s="9" t="n">
        <v>10259430.76481073</v>
      </c>
      <c r="R23" s="22">
        <f>P23-M23*G23*J23</f>
        <v/>
      </c>
      <c r="S23" s="22">
        <f>IF(A23=A22,O23-O22,"")</f>
        <v/>
      </c>
      <c r="T23" s="22">
        <f>IF(A23=A22,P23-P22,"")</f>
        <v/>
      </c>
      <c r="U23" s="22">
        <f>IF(A23=A22,Q23-Q22,"")</f>
        <v/>
      </c>
      <c r="V23" s="22">
        <f>IF(A23=A22,R23-R22,"")</f>
        <v/>
      </c>
      <c r="W23" s="22">
        <f>IF(S23="","",D23-S23)</f>
        <v/>
      </c>
      <c r="X23" s="22">
        <f>IF(T23="","",D23-T23)</f>
        <v/>
      </c>
      <c r="Y23" s="22">
        <f>IF(U23="","",F23-U23)</f>
        <v/>
      </c>
      <c r="Z23" s="22">
        <f>IF(V23="","",F23-V23)</f>
        <v/>
      </c>
      <c r="AA23" s="9" t="n">
        <v>13052810.25282744</v>
      </c>
      <c r="AB23" s="9" t="n">
        <v>10657046.53147762</v>
      </c>
      <c r="AC23" s="9" t="n">
        <v>1894775.893191501</v>
      </c>
      <c r="AD23" s="9" t="n">
        <v>1651860.06641498</v>
      </c>
      <c r="AE23" s="9" t="n">
        <v>1052196.50126104</v>
      </c>
      <c r="AF23" s="9" t="n">
        <v>13762050.51783002</v>
      </c>
      <c r="AG23" s="9" t="n">
        <v>1675519.878289639</v>
      </c>
      <c r="AH23" s="9" t="n">
        <v>1878634.022247278</v>
      </c>
      <c r="AI23" s="9" t="n">
        <v>1940467.743740235</v>
      </c>
      <c r="AJ23" s="9" t="n">
        <v>2129195.81714661</v>
      </c>
      <c r="AK23" s="9" t="n">
        <v>2191202.876988112</v>
      </c>
      <c r="AL23" s="9" t="n">
        <v>1701231.091139751</v>
      </c>
      <c r="AM23" s="9" t="n">
        <v>1495970.583309164</v>
      </c>
      <c r="AN23" s="9" t="n">
        <v>1707917.471969761</v>
      </c>
      <c r="AO23" s="9" t="n">
        <v>1824987.102989291</v>
      </c>
      <c r="AP23" s="9" t="n">
        <v>2008949.578253994</v>
      </c>
      <c r="AQ23" s="9" t="n">
        <v>2072791.478376916</v>
      </c>
      <c r="AR23" s="9" t="n">
        <v>1516176.624889983</v>
      </c>
    </row>
    <row r="24">
      <c r="A24" s="4" t="inlineStr">
        <is>
          <t>Agro</t>
        </is>
      </c>
      <c r="B24" s="5" t="n">
        <v>202309</v>
      </c>
      <c r="C24" s="5" t="n">
        <v>2023</v>
      </c>
      <c r="D24" s="6" t="n">
        <v>696049.4206513694</v>
      </c>
      <c r="E24" s="11" t="n">
        <v>0.05016107296886727</v>
      </c>
      <c r="F24" s="22">
        <f>D24*(1-E24)</f>
        <v/>
      </c>
      <c r="G24" s="11" t="n">
        <v>0.9144888275320554</v>
      </c>
      <c r="H24" s="11" t="n">
        <v>0.03171170502263242</v>
      </c>
      <c r="I24" s="11" t="n">
        <v>0.1034426257678664</v>
      </c>
      <c r="J24" s="11" t="n">
        <v>0.03372769373235534</v>
      </c>
      <c r="K24" s="6" t="n">
        <v>7455670.509355688</v>
      </c>
      <c r="L24" s="18" t="n">
        <v>8152828.427085781</v>
      </c>
      <c r="M24" s="18" t="n">
        <v>8332667.704779296</v>
      </c>
      <c r="N24" s="23">
        <f>IF(L24=0,"",M24/L24)</f>
        <v/>
      </c>
      <c r="O24" s="6" t="n">
        <v>8463336.667642113</v>
      </c>
      <c r="P24" s="22">
        <f>M24*G24*(1+H24+I24)</f>
        <v/>
      </c>
      <c r="Q24" s="6" t="n">
        <v>8211874.096133211</v>
      </c>
      <c r="R24" s="22">
        <f>P24-M24*G24*J24</f>
        <v/>
      </c>
      <c r="S24" s="22">
        <f>IF(A24=A23,O24-O23,"")</f>
        <v/>
      </c>
      <c r="T24" s="22">
        <f>IF(A24=A23,P24-P23,"")</f>
        <v/>
      </c>
      <c r="U24" s="22">
        <f>IF(A24=A23,Q24-Q23,"")</f>
        <v/>
      </c>
      <c r="V24" s="22">
        <f>IF(A24=A23,R24-R23,"")</f>
        <v/>
      </c>
      <c r="W24" s="22">
        <f>IF(S24="","",D24-S24)</f>
        <v/>
      </c>
      <c r="X24" s="22">
        <f>IF(T24="","",D24-T24)</f>
        <v/>
      </c>
      <c r="Y24" s="22">
        <f>IF(U24="","",F24-U24)</f>
        <v/>
      </c>
      <c r="Z24" s="22">
        <f>IF(V24="","",F24-V24)</f>
        <v/>
      </c>
      <c r="AA24" s="6" t="n">
        <v>11007456.19690822</v>
      </c>
      <c r="AB24" s="6" t="n">
        <v>8798399.273174617</v>
      </c>
      <c r="AC24" s="6" t="n">
        <v>1729299.226188923</v>
      </c>
      <c r="AD24" s="6" t="n">
        <v>1496996.294698493</v>
      </c>
      <c r="AE24" s="6" t="n">
        <v>926786.3012261501</v>
      </c>
      <c r="AF24" s="6" t="n">
        <v>11833182.56985739</v>
      </c>
      <c r="AG24" s="6" t="n">
        <v>3794957.546597029</v>
      </c>
      <c r="AH24" s="6" t="n">
        <v>3422064.351882728</v>
      </c>
      <c r="AI24" s="6" t="n">
        <v>1009456.715840792</v>
      </c>
      <c r="AJ24" s="6" t="n">
        <v>980282.455950006</v>
      </c>
      <c r="AK24" s="6" t="n">
        <v>904884.2296418811</v>
      </c>
      <c r="AL24" s="6" t="n">
        <v>3727048.340884898</v>
      </c>
      <c r="AM24" s="6" t="n">
        <v>3695848.916913635</v>
      </c>
      <c r="AN24" s="6" t="n">
        <v>3328917.791737609</v>
      </c>
      <c r="AO24" s="6" t="n">
        <v>969277.399575769</v>
      </c>
      <c r="AP24" s="6" t="n">
        <v>940451.0990282027</v>
      </c>
      <c r="AQ24" s="6" t="n">
        <v>866012.2281974894</v>
      </c>
      <c r="AR24" s="6" t="n">
        <v>3631472.359481557</v>
      </c>
    </row>
    <row r="25">
      <c r="A25" t="inlineStr">
        <is>
          <t>Agro</t>
        </is>
      </c>
      <c r="B25" s="8" t="n">
        <v>202310</v>
      </c>
      <c r="C25" s="8" t="n">
        <v>2023</v>
      </c>
      <c r="D25" s="9" t="n">
        <v>1286315.137778148</v>
      </c>
      <c r="E25" s="10" t="n">
        <v>0.05016107296886727</v>
      </c>
      <c r="F25" s="22">
        <f>D25*(1-E25)</f>
        <v/>
      </c>
      <c r="G25" s="10" t="n">
        <v>0.8870163921687999</v>
      </c>
      <c r="H25" s="10" t="n">
        <v>0.03269387166002722</v>
      </c>
      <c r="I25" s="10" t="n">
        <v>0.103693066744881</v>
      </c>
      <c r="J25" s="10" t="n">
        <v>0.06205622918409523</v>
      </c>
      <c r="K25" s="9" t="n">
        <v>6630067.783972705</v>
      </c>
      <c r="L25" s="18" t="n">
        <v>7474571.882219509</v>
      </c>
      <c r="M25" s="18" t="n">
        <v>7628179.911797633</v>
      </c>
      <c r="N25" s="23">
        <f>IF(L25=0,"",M25/L25)</f>
        <v/>
      </c>
      <c r="O25" s="9" t="n">
        <v>7534322.430445757</v>
      </c>
      <c r="P25" s="22">
        <f>M25*G25*(1+H25+I25)</f>
        <v/>
      </c>
      <c r="Q25" s="9" t="n">
        <v>7122885.42453746</v>
      </c>
      <c r="R25" s="22">
        <f>P25-M25*G25*J25</f>
        <v/>
      </c>
      <c r="S25" s="22">
        <f>IF(A25=A24,O25-O24,"")</f>
        <v/>
      </c>
      <c r="T25" s="22">
        <f>IF(A25=A24,P25-P24,"")</f>
        <v/>
      </c>
      <c r="U25" s="22">
        <f>IF(A25=A24,Q25-Q24,"")</f>
        <v/>
      </c>
      <c r="V25" s="22">
        <f>IF(A25=A24,R25-R24,"")</f>
        <v/>
      </c>
      <c r="W25" s="22">
        <f>IF(S25="","",D25-S25)</f>
        <v/>
      </c>
      <c r="X25" s="22">
        <f>IF(T25="","",D25-T25)</f>
        <v/>
      </c>
      <c r="Y25" s="22">
        <f>IF(U25="","",F25-U25)</f>
        <v/>
      </c>
      <c r="Z25" s="22">
        <f>IF(V25="","",F25-V25)</f>
        <v/>
      </c>
      <c r="AA25" s="9" t="n">
        <v>9753322.963021213</v>
      </c>
      <c r="AB25" s="9" t="n">
        <v>7967765.791702762</v>
      </c>
      <c r="AC25" s="9" t="n">
        <v>1750106.135582186</v>
      </c>
      <c r="AD25" s="9" t="n">
        <v>1418248.299845663</v>
      </c>
      <c r="AE25" s="9" t="n">
        <v>864331.5286640236</v>
      </c>
      <c r="AF25" s="9" t="n">
        <v>10583250.84426223</v>
      </c>
      <c r="AG25" s="9" t="n">
        <v>2881711.306582471</v>
      </c>
      <c r="AH25" s="9" t="n">
        <v>2388350.978211237</v>
      </c>
      <c r="AI25" s="9" t="n">
        <v>1317380.165191201</v>
      </c>
      <c r="AJ25" s="9" t="n">
        <v>1410740.410074813</v>
      </c>
      <c r="AK25" s="9" t="n">
        <v>1377158.120021262</v>
      </c>
      <c r="AL25" s="9" t="n">
        <v>2902324.061618791</v>
      </c>
      <c r="AM25" s="9" t="n">
        <v>3014549.407320423</v>
      </c>
      <c r="AN25" s="9" t="n">
        <v>2491038.542498572</v>
      </c>
      <c r="AO25" s="9" t="n">
        <v>1295853.809789462</v>
      </c>
      <c r="AP25" s="9" t="n">
        <v>1378112.034260085</v>
      </c>
      <c r="AQ25" s="9" t="n">
        <v>1331626.783510014</v>
      </c>
      <c r="AR25" s="9" t="n">
        <v>3055377.080170276</v>
      </c>
    </row>
    <row r="26">
      <c r="A26" s="4" t="inlineStr">
        <is>
          <t>Agro</t>
        </is>
      </c>
      <c r="B26" s="5" t="n">
        <v>202311</v>
      </c>
      <c r="C26" s="5" t="n">
        <v>2023</v>
      </c>
      <c r="D26" s="6" t="n">
        <v>971646.0309423154</v>
      </c>
      <c r="E26" s="11" t="n">
        <v>0.05016107296886727</v>
      </c>
      <c r="F26" s="22">
        <f>D26*(1-E26)</f>
        <v/>
      </c>
      <c r="G26" s="11" t="n">
        <v>0.8531495635460393</v>
      </c>
      <c r="H26" s="11" t="n">
        <v>0.03399169543145665</v>
      </c>
      <c r="I26" s="11" t="n">
        <v>0.08781287455000863</v>
      </c>
      <c r="J26" s="11" t="n">
        <v>0.04171314204637875</v>
      </c>
      <c r="K26" s="6" t="n">
        <v>8195771.694857741</v>
      </c>
      <c r="L26" s="18" t="n">
        <v>9606488.762407325</v>
      </c>
      <c r="M26" s="18" t="n">
        <v>7055488.723790457</v>
      </c>
      <c r="N26" s="23">
        <f>IF(L26=0,"",M26/L26)</f>
        <v/>
      </c>
      <c r="O26" s="6" t="n">
        <v>9194054.141816154</v>
      </c>
      <c r="P26" s="22">
        <f>M26*G26*(1+H26+I26)</f>
        <v/>
      </c>
      <c r="Q26" s="6" t="n">
        <v>8852182.752928862</v>
      </c>
      <c r="R26" s="22">
        <f>P26-M26*G26*J26</f>
        <v/>
      </c>
      <c r="S26" s="22">
        <f>IF(A26=A25,O26-O25,"")</f>
        <v/>
      </c>
      <c r="T26" s="22">
        <f>IF(A26=A25,P26-P25,"")</f>
        <v/>
      </c>
      <c r="U26" s="22">
        <f>IF(A26=A25,Q26-Q25,"")</f>
        <v/>
      </c>
      <c r="V26" s="22">
        <f>IF(A26=A25,R26-R25,"")</f>
        <v/>
      </c>
      <c r="W26" s="22">
        <f>IF(S26="","",D26-S26)</f>
        <v/>
      </c>
      <c r="X26" s="22">
        <f>IF(T26="","",D26-T26)</f>
        <v/>
      </c>
      <c r="Y26" s="22">
        <f>IF(U26="","",F26-U26)</f>
        <v/>
      </c>
      <c r="Z26" s="22">
        <f>IF(V26="","",F26-V26)</f>
        <v/>
      </c>
      <c r="AA26" s="6" t="n">
        <v>8637204.576892126</v>
      </c>
      <c r="AB26" s="6" t="n">
        <v>7363842.524301123</v>
      </c>
      <c r="AC26" s="6" t="n">
        <v>-1807439.41267006</v>
      </c>
      <c r="AD26" s="6" t="n">
        <v>1314464.864627089</v>
      </c>
      <c r="AE26" s="6" t="n">
        <v>711226.8190623408</v>
      </c>
      <c r="AF26" s="6" t="n">
        <v>9663977.346498476</v>
      </c>
      <c r="AG26" s="6" t="n">
        <v>2536551.361360691</v>
      </c>
      <c r="AH26" s="6" t="n">
        <v>1955413.628273227</v>
      </c>
      <c r="AI26" s="6" t="n">
        <v>4465582.998456143</v>
      </c>
      <c r="AJ26" s="6" t="n">
        <v>1143200.53513059</v>
      </c>
      <c r="AK26" s="6" t="n">
        <v>1162195.115051087</v>
      </c>
      <c r="AL26" s="6" t="n">
        <v>2390423.139456825</v>
      </c>
      <c r="AM26" s="6" t="n">
        <v>2258318.880173403</v>
      </c>
      <c r="AN26" s="6" t="n">
        <v>1730151.115320437</v>
      </c>
      <c r="AO26" s="6" t="n">
        <v>4256187.44832387</v>
      </c>
      <c r="AP26" s="6" t="n">
        <v>1063172.985125392</v>
      </c>
      <c r="AQ26" s="6" t="n">
        <v>1091190.090718402</v>
      </c>
      <c r="AR26" s="6" t="n">
        <v>2103047.693424605</v>
      </c>
    </row>
    <row r="27">
      <c r="A27" t="inlineStr">
        <is>
          <t>Agro</t>
        </is>
      </c>
      <c r="B27" s="8" t="n">
        <v>202312</v>
      </c>
      <c r="C27" s="8" t="n">
        <v>2023</v>
      </c>
      <c r="D27" s="9" t="n">
        <v>2102067.926181439</v>
      </c>
      <c r="E27" s="10" t="n">
        <v>0.05016107296886727</v>
      </c>
      <c r="F27" s="22">
        <f>D27*(1-E27)</f>
        <v/>
      </c>
      <c r="G27" s="10" t="n">
        <v>1.261044422</v>
      </c>
      <c r="H27" s="10" t="n">
        <v>0.02775121612822038</v>
      </c>
      <c r="I27" s="10" t="n">
        <v>0.1403781948103723</v>
      </c>
      <c r="J27" s="10" t="n">
        <v>0.04812171168642584</v>
      </c>
      <c r="K27" s="9" t="n">
        <v>10625419.88377164</v>
      </c>
      <c r="L27" s="18" t="n">
        <v>8425888.651027746</v>
      </c>
      <c r="M27" s="18" t="n">
        <v>7539397.004760454</v>
      </c>
      <c r="N27" s="23">
        <f>IF(L27=0,"",M27/L27)</f>
        <v/>
      </c>
      <c r="O27" s="9" t="n">
        <v>12411865.46980538</v>
      </c>
      <c r="P27" s="22">
        <f>M27*G27*(1+H27+I27)</f>
        <v/>
      </c>
      <c r="Q27" s="9" t="n">
        <v>11900552.07761131</v>
      </c>
      <c r="R27" s="22">
        <f>P27-M27*G27*J27</f>
        <v/>
      </c>
      <c r="S27" s="22">
        <f>IF(A27=A26,O27-O26,"")</f>
        <v/>
      </c>
      <c r="T27" s="22">
        <f>IF(A27=A26,P27-P26,"")</f>
        <v/>
      </c>
      <c r="U27" s="22">
        <f>IF(A27=A26,Q27-Q26,"")</f>
        <v/>
      </c>
      <c r="V27" s="22">
        <f>IF(A27=A26,R27-R26,"")</f>
        <v/>
      </c>
      <c r="W27" s="22">
        <f>IF(S27="","",D27-S27)</f>
        <v/>
      </c>
      <c r="X27" s="22">
        <f>IF(T27="","",D27-T27)</f>
        <v/>
      </c>
      <c r="Y27" s="22">
        <f>IF(U27="","",F27-U27)</f>
        <v/>
      </c>
      <c r="Z27" s="22">
        <f>IF(V27="","",F27-V27)</f>
        <v/>
      </c>
      <c r="AA27" s="9" t="n">
        <v>9137571.212805174</v>
      </c>
      <c r="AB27" s="9" t="n">
        <v>7869463.100445706</v>
      </c>
      <c r="AC27" s="9" t="n">
        <v>-1619486.985201655</v>
      </c>
      <c r="AD27" s="9" t="n">
        <v>1083382.400415017</v>
      </c>
      <c r="AE27" s="9" t="n">
        <v>498396.34552597</v>
      </c>
      <c r="AF27" s="9" t="n">
        <v>10085276.88867077</v>
      </c>
      <c r="AG27" s="9" t="n">
        <v>-3091766.69111093</v>
      </c>
      <c r="AH27" s="9" t="n">
        <v>-2442456.352605452</v>
      </c>
      <c r="AI27" s="9" t="n">
        <v>2757833.649491469</v>
      </c>
      <c r="AJ27" s="9" t="n">
        <v>1764208.361733618</v>
      </c>
      <c r="AK27" s="9" t="n">
        <v>2048590.445871577</v>
      </c>
      <c r="AL27" s="9" t="n">
        <v>-3505106.515211704</v>
      </c>
      <c r="AM27" s="9" t="n">
        <v>-2950084.750691342</v>
      </c>
      <c r="AN27" s="9" t="n">
        <v>-2332411.963695179</v>
      </c>
      <c r="AO27" s="9" t="n">
        <v>2618437.678911259</v>
      </c>
      <c r="AP27" s="9" t="n">
        <v>1677731.358090395</v>
      </c>
      <c r="AQ27" s="9" t="n">
        <v>1948082.136513624</v>
      </c>
      <c r="AR27" s="9" t="n">
        <v>-3342454.693562183</v>
      </c>
    </row>
    <row r="28">
      <c r="A28" s="4" t="inlineStr">
        <is>
          <t>Agro</t>
        </is>
      </c>
      <c r="B28" s="5" t="n">
        <v>202401</v>
      </c>
      <c r="C28" s="5" t="n">
        <v>2024</v>
      </c>
      <c r="D28" s="6" t="n">
        <v>398116.7512727039</v>
      </c>
      <c r="E28" s="11" t="n">
        <v>0.06808684035306974</v>
      </c>
      <c r="F28" s="22">
        <f>D28*(1-E28)</f>
        <v/>
      </c>
      <c r="G28" s="11" t="n">
        <v>1.04826</v>
      </c>
      <c r="H28" s="11" t="n">
        <v>0.02694734256419472</v>
      </c>
      <c r="I28" s="11" t="n">
        <v>0.1563515961138703</v>
      </c>
      <c r="J28" s="11" t="n">
        <v>0.04619393489516593</v>
      </c>
      <c r="K28" s="6" t="n">
        <v>9147698.648853714</v>
      </c>
      <c r="L28" s="18" t="n">
        <v>8726555.09974025</v>
      </c>
      <c r="M28" s="18" t="n">
        <v>6521431.33773395</v>
      </c>
      <c r="N28" s="23">
        <f>IF(L28=0,"",M28/L28)</f>
        <v/>
      </c>
      <c r="O28" s="6" t="n">
        <v>10824462.10253537</v>
      </c>
      <c r="P28" s="22">
        <f>M28*G28*(1+H28+I28)</f>
        <v/>
      </c>
      <c r="Q28" s="6" t="n">
        <v>10401893.90670962</v>
      </c>
      <c r="R28" s="22">
        <f>P28-M28*G28*J28</f>
        <v/>
      </c>
      <c r="S28" s="22">
        <f>IF(A28=A27,O28-O27,"")</f>
        <v/>
      </c>
      <c r="T28" s="22">
        <f>IF(A28=A27,P28-P27,"")</f>
        <v/>
      </c>
      <c r="U28" s="22">
        <f>IF(A28=A27,Q28-Q27,"")</f>
        <v/>
      </c>
      <c r="V28" s="22">
        <f>IF(A28=A27,R28-R27,"")</f>
        <v/>
      </c>
      <c r="W28" s="22">
        <f>IF(S28="","",D28-S28)</f>
        <v/>
      </c>
      <c r="X28" s="22">
        <f>IF(T28="","",D28-T28)</f>
        <v/>
      </c>
      <c r="Y28" s="22">
        <f>IF(U28="","",F28-U28)</f>
        <v/>
      </c>
      <c r="Z28" s="22">
        <f>IF(V28="","",F28-V28)</f>
        <v/>
      </c>
      <c r="AA28" s="6" t="n">
        <v>8027703.609364932</v>
      </c>
      <c r="AB28" s="6" t="n">
        <v>6845512.95774428</v>
      </c>
      <c r="AC28" s="6" t="n">
        <v>-1542464.015164854</v>
      </c>
      <c r="AD28" s="6" t="n">
        <v>955510.0802574266</v>
      </c>
      <c r="AE28" s="6" t="n">
        <v>421163.1644846413</v>
      </c>
      <c r="AF28" s="6" t="n">
        <v>8900767.846592505</v>
      </c>
      <c r="AG28" s="6" t="n">
        <v>3900732.268241096</v>
      </c>
      <c r="AH28" s="6" t="n">
        <v>3499124.159962458</v>
      </c>
      <c r="AI28" s="6" t="n">
        <v>-74209.7390649289</v>
      </c>
      <c r="AJ28" s="6" t="n">
        <v>808787.9355169276</v>
      </c>
      <c r="AK28" s="6" t="n">
        <v>609873.1339247578</v>
      </c>
      <c r="AL28" s="6" t="n">
        <v>4213809.310456277</v>
      </c>
      <c r="AM28" s="6" t="n">
        <v>3707852.425461796</v>
      </c>
      <c r="AN28" s="6" t="n">
        <v>3325952.184617677</v>
      </c>
      <c r="AO28" s="6" t="n">
        <v>-77731.05135319359</v>
      </c>
      <c r="AP28" s="6" t="n">
        <v>762206.7696561376</v>
      </c>
      <c r="AQ28" s="6" t="n">
        <v>572916.2207124536</v>
      </c>
      <c r="AR28" s="6" t="n">
        <v>4005695.871753926</v>
      </c>
    </row>
    <row r="29">
      <c r="A29" t="inlineStr">
        <is>
          <t>Agro</t>
        </is>
      </c>
      <c r="B29" s="8" t="n">
        <v>202402</v>
      </c>
      <c r="C29" s="8" t="n">
        <v>2024</v>
      </c>
      <c r="D29" s="9" t="n">
        <v>2585977.849224278</v>
      </c>
      <c r="E29" s="10" t="n">
        <v>0.06808684035306974</v>
      </c>
      <c r="F29" s="22">
        <f>D29*(1-E29)</f>
        <v/>
      </c>
      <c r="G29" s="10" t="n">
        <v>1.132672</v>
      </c>
      <c r="H29" s="10" t="n">
        <v>0.02493914425480108</v>
      </c>
      <c r="I29" s="10" t="n">
        <v>0.1668806497039173</v>
      </c>
      <c r="J29" s="10" t="n">
        <v>0.03688897213148386</v>
      </c>
      <c r="K29" s="9" t="n">
        <v>10078926.12420328</v>
      </c>
      <c r="L29" s="18" t="n">
        <v>8898362.565864857</v>
      </c>
      <c r="M29" s="18" t="n">
        <v>7517895.505458301</v>
      </c>
      <c r="N29" s="23">
        <f>IF(L29=0,"",M29/L29)</f>
        <v/>
      </c>
      <c r="O29" s="9" t="n">
        <v>12012263.65667309</v>
      </c>
      <c r="P29" s="22">
        <f>M29*G29*(1+H29+I29)</f>
        <v/>
      </c>
      <c r="Q29" s="9" t="n">
        <v>11640462.43176208</v>
      </c>
      <c r="R29" s="22">
        <f>P29-M29*G29*J29</f>
        <v/>
      </c>
      <c r="S29" s="22">
        <f>IF(A29=A28,O29-O28,"")</f>
        <v/>
      </c>
      <c r="T29" s="22">
        <f>IF(A29=A28,P29-P28,"")</f>
        <v/>
      </c>
      <c r="U29" s="22">
        <f>IF(A29=A28,Q29-Q28,"")</f>
        <v/>
      </c>
      <c r="V29" s="22">
        <f>IF(A29=A28,R29-R28,"")</f>
        <v/>
      </c>
      <c r="W29" s="22">
        <f>IF(S29="","",D29-S29)</f>
        <v/>
      </c>
      <c r="X29" s="22">
        <f>IF(T29="","",D29-T29)</f>
        <v/>
      </c>
      <c r="Y29" s="22">
        <f>IF(U29="","",F29-U29)</f>
        <v/>
      </c>
      <c r="Z29" s="22">
        <f>IF(V29="","",F29-V29)</f>
        <v/>
      </c>
      <c r="AA29" s="9" t="n">
        <v>9113319.818966949</v>
      </c>
      <c r="AB29" s="9" t="n">
        <v>7884397.473319852</v>
      </c>
      <c r="AC29" s="9" t="n">
        <v>-1435078.78343815</v>
      </c>
      <c r="AD29" s="9" t="n">
        <v>1136126.409589357</v>
      </c>
      <c r="AE29" s="9" t="n">
        <v>597334.6275439222</v>
      </c>
      <c r="AF29" s="9" t="n">
        <v>9836404.814434974</v>
      </c>
      <c r="AG29" s="9" t="n">
        <v>241137.8604925917</v>
      </c>
      <c r="AH29" s="9" t="n">
        <v>433715.2789351242</v>
      </c>
      <c r="AI29" s="9" t="n">
        <v>2609969.414974052</v>
      </c>
      <c r="AJ29" s="9" t="n">
        <v>2237493.759358201</v>
      </c>
      <c r="AK29" s="9" t="n">
        <v>2302024.270816312</v>
      </c>
      <c r="AL29" s="9" t="n">
        <v>347969.0415071389</v>
      </c>
      <c r="AM29" s="9" t="n">
        <v>57122.07362079527</v>
      </c>
      <c r="AN29" s="9" t="n">
        <v>255596.81805168</v>
      </c>
      <c r="AO29" s="9" t="n">
        <v>2448627.432387379</v>
      </c>
      <c r="AP29" s="9" t="n">
        <v>2062624.680902907</v>
      </c>
      <c r="AQ29" s="9" t="n">
        <v>2130517.614834775</v>
      </c>
      <c r="AR29" s="9" t="n">
        <v>151889.3800475588</v>
      </c>
    </row>
    <row r="30">
      <c r="A30" s="4" t="inlineStr">
        <is>
          <t>Agro</t>
        </is>
      </c>
      <c r="B30" s="5" t="n">
        <v>202403</v>
      </c>
      <c r="C30" s="5" t="n">
        <v>2024</v>
      </c>
      <c r="D30" s="6" t="n">
        <v>1817434.182097666</v>
      </c>
      <c r="E30" s="11" t="n">
        <v>0.06808684035306974</v>
      </c>
      <c r="F30" s="22">
        <f>D30*(1-E30)</f>
        <v/>
      </c>
      <c r="G30" s="11" t="n">
        <v>1.13276</v>
      </c>
      <c r="H30" s="11" t="n">
        <v>0.02493719210282423</v>
      </c>
      <c r="I30" s="11" t="n">
        <v>0.1607930572379231</v>
      </c>
      <c r="J30" s="11" t="n">
        <v>0.02952757187210506</v>
      </c>
      <c r="K30" s="6" t="n">
        <v>10043126.92166038</v>
      </c>
      <c r="L30" s="18" t="n">
        <v>8866067.765158001</v>
      </c>
      <c r="M30" s="18" t="n">
        <v>7910045.077848239</v>
      </c>
      <c r="N30" s="23">
        <f>IF(L30=0,"",M30/L30)</f>
        <v/>
      </c>
      <c r="O30" s="6" t="n">
        <v>11908439.38898113</v>
      </c>
      <c r="P30" s="22">
        <f>M30*G30*(1+H30+I30)</f>
        <v/>
      </c>
      <c r="Q30" s="6" t="n">
        <v>11611890.23698113</v>
      </c>
      <c r="R30" s="22">
        <f>P30-M30*G30*J30</f>
        <v/>
      </c>
      <c r="S30" s="22">
        <f>IF(A30=A29,O30-O29,"")</f>
        <v/>
      </c>
      <c r="T30" s="22">
        <f>IF(A30=A29,P30-P29,"")</f>
        <v/>
      </c>
      <c r="U30" s="22">
        <f>IF(A30=A29,Q30-Q29,"")</f>
        <v/>
      </c>
      <c r="V30" s="22">
        <f>IF(A30=A29,R30-R29,"")</f>
        <v/>
      </c>
      <c r="W30" s="22">
        <f>IF(S30="","",D30-S30)</f>
        <v/>
      </c>
      <c r="X30" s="22">
        <f>IF(T30="","",D30-T30)</f>
        <v/>
      </c>
      <c r="Y30" s="22">
        <f>IF(U30="","",F30-U30)</f>
        <v/>
      </c>
      <c r="Z30" s="22">
        <f>IF(V30="","",F30-V30)</f>
        <v/>
      </c>
      <c r="AA30" s="6" t="n">
        <v>9509490.844559748</v>
      </c>
      <c r="AB30" s="6" t="n">
        <v>8257583.397134311</v>
      </c>
      <c r="AC30" s="6" t="n">
        <v>-1020518.273590673</v>
      </c>
      <c r="AD30" s="6" t="n">
        <v>1477457.512665155</v>
      </c>
      <c r="AE30" s="6" t="n">
        <v>942452.2020099745</v>
      </c>
      <c r="AF30" s="6" t="n">
        <v>10005808.08663495</v>
      </c>
      <c r="AG30" s="6" t="n">
        <v>1347225.747786973</v>
      </c>
      <c r="AH30" s="6" t="n">
        <v>1369749.928961041</v>
      </c>
      <c r="AI30" s="6" t="n">
        <v>1250869.494965144</v>
      </c>
      <c r="AJ30" s="6" t="n">
        <v>1366693.897294006</v>
      </c>
      <c r="AK30" s="6" t="n">
        <v>1357948.03344068</v>
      </c>
      <c r="AL30" s="6" t="n">
        <v>1656720.353905472</v>
      </c>
      <c r="AM30" s="6" t="n">
        <v>1160769.733659898</v>
      </c>
      <c r="AN30" s="6" t="n">
        <v>1192768.742243274</v>
      </c>
      <c r="AO30" s="6" t="n">
        <v>1152954.252261627</v>
      </c>
      <c r="AP30" s="6" t="n">
        <v>1244897.141455523</v>
      </c>
      <c r="AQ30" s="6" t="n">
        <v>1240769.000041405</v>
      </c>
      <c r="AR30" s="6" t="n">
        <v>1456652.249430211</v>
      </c>
    </row>
    <row r="31">
      <c r="A31" t="inlineStr">
        <is>
          <t>Agro</t>
        </is>
      </c>
      <c r="B31" s="8" t="n">
        <v>202404</v>
      </c>
      <c r="C31" s="8" t="n">
        <v>2024</v>
      </c>
      <c r="D31" s="9" t="n">
        <v>1085642.235780817</v>
      </c>
      <c r="E31" s="10" t="n">
        <v>0.06808684035306974</v>
      </c>
      <c r="F31" s="22">
        <f>D31*(1-E31)</f>
        <v/>
      </c>
      <c r="G31" s="10" t="n">
        <v>1.13857</v>
      </c>
      <c r="H31" s="10" t="n">
        <v>0.02481000775613706</v>
      </c>
      <c r="I31" s="10" t="n">
        <v>0.1465459830511022</v>
      </c>
      <c r="J31" s="10" t="n">
        <v>0.07502373743983548</v>
      </c>
      <c r="K31" s="9" t="n">
        <v>8999042.640189646</v>
      </c>
      <c r="L31" s="18" t="n">
        <v>7903811.482991511</v>
      </c>
      <c r="M31" s="18" t="n">
        <v>7321844.809914995</v>
      </c>
      <c r="N31" s="23">
        <f>IF(L31=0,"",M31/L31)</f>
        <v/>
      </c>
      <c r="O31" s="9" t="n">
        <v>10541082.50811594</v>
      </c>
      <c r="P31" s="22">
        <f>M31*G31*(1+H31+I31)</f>
        <v/>
      </c>
      <c r="Q31" s="9" t="n">
        <v>9865940.695868464</v>
      </c>
      <c r="R31" s="22">
        <f>P31-M31*G31*J31</f>
        <v/>
      </c>
      <c r="S31" s="22">
        <f>IF(A31=A30,O31-O30,"")</f>
        <v/>
      </c>
      <c r="T31" s="22">
        <f>IF(A31=A30,P31-P30,"")</f>
        <v/>
      </c>
      <c r="U31" s="22">
        <f>IF(A31=A30,Q31-Q30,"")</f>
        <v/>
      </c>
      <c r="V31" s="22">
        <f>IF(A31=A30,R31-R30,"")</f>
        <v/>
      </c>
      <c r="W31" s="22">
        <f>IF(S31="","",D31-S31)</f>
        <v/>
      </c>
      <c r="X31" s="22">
        <f>IF(T31="","",D31-T31)</f>
        <v/>
      </c>
      <c r="Y31" s="22">
        <f>IF(U31="","",F31-U31)</f>
        <v/>
      </c>
      <c r="Z31" s="22">
        <f>IF(V31="","",F31-V31)</f>
        <v/>
      </c>
      <c r="AA31" s="9" t="n">
        <v>8832925.800443217</v>
      </c>
      <c r="AB31" s="9" t="n">
        <v>7642063.68786604</v>
      </c>
      <c r="AC31" s="9" t="n">
        <v>-396610.6312089002</v>
      </c>
      <c r="AD31" s="9" t="n">
        <v>1813454.356527203</v>
      </c>
      <c r="AE31" s="9" t="n">
        <v>1315764.173296762</v>
      </c>
      <c r="AF31" s="9" t="n">
        <v>9465486.966347022</v>
      </c>
      <c r="AG31" s="9" t="n">
        <v>2078078.782262536</v>
      </c>
      <c r="AH31" s="9" t="n">
        <v>1984800.066902482</v>
      </c>
      <c r="AI31" s="9" t="n">
        <v>243883.3785876414</v>
      </c>
      <c r="AJ31" s="9" t="n">
        <v>651534.9343166798</v>
      </c>
      <c r="AK31" s="9" t="n">
        <v>596698.589866586</v>
      </c>
      <c r="AL31" s="9" t="n">
        <v>1901077.842548621</v>
      </c>
      <c r="AM31" s="9" t="n">
        <v>2440597.239031074</v>
      </c>
      <c r="AN31" s="9" t="n">
        <v>2287468.712920874</v>
      </c>
      <c r="AO31" s="9" t="n">
        <v>170220.9778251353</v>
      </c>
      <c r="AP31" s="9" t="n">
        <v>683104.3657934827</v>
      </c>
      <c r="AQ31" s="9" t="n">
        <v>603650.108624566</v>
      </c>
      <c r="AR31" s="9" t="n">
        <v>2301028.886330779</v>
      </c>
    </row>
    <row r="32">
      <c r="A32" s="4" t="inlineStr">
        <is>
          <t>Agro</t>
        </is>
      </c>
      <c r="B32" s="5" t="n">
        <v>202405</v>
      </c>
      <c r="C32" s="5" t="n">
        <v>2024</v>
      </c>
      <c r="D32" s="6" t="n">
        <v>1443215.924276341</v>
      </c>
      <c r="E32" s="11" t="n">
        <v>0.06808684035306974</v>
      </c>
      <c r="F32" s="22">
        <f>D32*(1-E32)</f>
        <v/>
      </c>
      <c r="G32" s="11" t="n">
        <v>1.04371</v>
      </c>
      <c r="H32" s="11" t="n">
        <v>0.02706468363239519</v>
      </c>
      <c r="I32" s="11" t="n">
        <v>0.1277515104464801</v>
      </c>
      <c r="J32" s="11" t="n">
        <v>0.07985982086582143</v>
      </c>
      <c r="K32" s="6" t="n">
        <v>7872444.690067302</v>
      </c>
      <c r="L32" s="18" t="n">
        <v>7542751.042020584</v>
      </c>
      <c r="M32" s="18" t="n">
        <v>7101850.605271414</v>
      </c>
      <c r="N32" s="23">
        <f>IF(L32=0,"",M32/L32)</f>
        <v/>
      </c>
      <c r="O32" s="6" t="n">
        <v>9091226.615079973</v>
      </c>
      <c r="P32" s="22">
        <f>M32*G32*(1+H32+I32)</f>
        <v/>
      </c>
      <c r="Q32" s="6" t="n">
        <v>8462534.592355112</v>
      </c>
      <c r="R32" s="22">
        <f>P32-M32*G32*J32</f>
        <v/>
      </c>
      <c r="S32" s="22">
        <f>IF(A32=A31,O32-O31,"")</f>
        <v/>
      </c>
      <c r="T32" s="22">
        <f>IF(A32=A31,P32-P31,"")</f>
        <v/>
      </c>
      <c r="U32" s="22">
        <f>IF(A32=A31,Q32-Q31,"")</f>
        <v/>
      </c>
      <c r="V32" s="22">
        <f>IF(A32=A31,R32-R31,"")</f>
        <v/>
      </c>
      <c r="W32" s="22">
        <f>IF(S32="","",D32-S32)</f>
        <v/>
      </c>
      <c r="X32" s="22">
        <f>IF(T32="","",D32-T32)</f>
        <v/>
      </c>
      <c r="Y32" s="22">
        <f>IF(U32="","",F32-U32)</f>
        <v/>
      </c>
      <c r="Z32" s="22">
        <f>IF(V32="","",F32-V32)</f>
        <v/>
      </c>
      <c r="AA32" s="6" t="n">
        <v>8597173.417995172</v>
      </c>
      <c r="AB32" s="6" t="n">
        <v>7403571.029995039</v>
      </c>
      <c r="AC32" s="6" t="n">
        <v>-527590.8741498829</v>
      </c>
      <c r="AD32" s="6" t="n">
        <v>1704302.560519572</v>
      </c>
      <c r="AE32" s="6" t="n">
        <v>1220166.790739688</v>
      </c>
      <c r="AF32" s="6" t="n">
        <v>9324875.451458909</v>
      </c>
      <c r="AG32" s="6" t="n">
        <v>2861316.313337632</v>
      </c>
      <c r="AH32" s="6" t="n">
        <v>2711739.151939141</v>
      </c>
      <c r="AI32" s="6" t="n">
        <v>1550169.608479445</v>
      </c>
      <c r="AJ32" s="6" t="n">
        <v>1807582.72555011</v>
      </c>
      <c r="AK32" s="6" t="n">
        <v>1727353.421476356</v>
      </c>
      <c r="AL32" s="6" t="n">
        <v>2827850.343698362</v>
      </c>
      <c r="AM32" s="6" t="n">
        <v>2725124.399562237</v>
      </c>
      <c r="AN32" s="6" t="n">
        <v>2577783.065699732</v>
      </c>
      <c r="AO32" s="6" t="n">
        <v>1441809.028019397</v>
      </c>
      <c r="AP32" s="6" t="n">
        <v>1696468.306786012</v>
      </c>
      <c r="AQ32" s="6" t="n">
        <v>1618398.631650003</v>
      </c>
      <c r="AR32" s="6" t="n">
        <v>2698279.520068075</v>
      </c>
    </row>
    <row r="33">
      <c r="A33" t="inlineStr">
        <is>
          <t>Agro</t>
        </is>
      </c>
      <c r="B33" s="8" t="n">
        <v>202406</v>
      </c>
      <c r="C33" s="8" t="n">
        <v>2024</v>
      </c>
      <c r="D33" s="9" t="n">
        <v>898384.2746721571</v>
      </c>
      <c r="E33" s="10" t="n">
        <v>0.06808684035306974</v>
      </c>
      <c r="F33" s="22">
        <f>D33*(1-E33)</f>
        <v/>
      </c>
      <c r="G33" s="10" t="n">
        <v>1.03692</v>
      </c>
      <c r="H33" s="10" t="n">
        <v>0.02724204469220815</v>
      </c>
      <c r="I33" s="10" t="n">
        <v>0.09692335930188789</v>
      </c>
      <c r="J33" s="10" t="n">
        <v>0.07985189049195021</v>
      </c>
      <c r="K33" s="9" t="n">
        <v>6751552.163926896</v>
      </c>
      <c r="L33" s="18" t="n">
        <v>6511160.131858673</v>
      </c>
      <c r="M33" s="18" t="n">
        <v>6397558.821697581</v>
      </c>
      <c r="N33" s="23">
        <f>IF(L33=0,"",M33/L33)</f>
        <v/>
      </c>
      <c r="O33" s="9" t="n">
        <v>7589861.365948092</v>
      </c>
      <c r="P33" s="22">
        <f>M33*G33*(1+H33+I33)</f>
        <v/>
      </c>
      <c r="Q33" s="9" t="n">
        <v>7050737.161903512</v>
      </c>
      <c r="R33" s="22">
        <f>P33-M33*G33*J33</f>
        <v/>
      </c>
      <c r="S33" s="22">
        <f>IF(A33=A32,O33-O32,"")</f>
        <v/>
      </c>
      <c r="T33" s="22">
        <f>IF(A33=A32,P33-P32,"")</f>
        <v/>
      </c>
      <c r="U33" s="22">
        <f>IF(A33=A32,Q33-Q32,"")</f>
        <v/>
      </c>
      <c r="V33" s="22">
        <f>IF(A33=A32,R33-R32,"")</f>
        <v/>
      </c>
      <c r="W33" s="22">
        <f>IF(S33="","",D33-S33)</f>
        <v/>
      </c>
      <c r="X33" s="22">
        <f>IF(T33="","",D33-T33)</f>
        <v/>
      </c>
      <c r="Y33" s="22">
        <f>IF(U33="","",F33-U33)</f>
        <v/>
      </c>
      <c r="Z33" s="22">
        <f>IF(V33="","",F33-V33)</f>
        <v/>
      </c>
      <c r="AA33" s="9" t="n">
        <v>7779785.100469882</v>
      </c>
      <c r="AB33" s="9" t="n">
        <v>6687550.962883548</v>
      </c>
      <c r="AC33" s="9" t="n">
        <v>-439492.2719645858</v>
      </c>
      <c r="AD33" s="9" t="n">
        <v>1508232.989107957</v>
      </c>
      <c r="AE33" s="9" t="n">
        <v>1049958.255357218</v>
      </c>
      <c r="AF33" s="9" t="n">
        <v>8688735.598744476</v>
      </c>
      <c r="AG33" s="9" t="n">
        <v>2191840.106031143</v>
      </c>
      <c r="AH33" s="9" t="n">
        <v>2026383.372547095</v>
      </c>
      <c r="AI33" s="9" t="n">
        <v>774785.3532234302</v>
      </c>
      <c r="AJ33" s="9" t="n">
        <v>1194467.247411057</v>
      </c>
      <c r="AK33" s="9" t="n">
        <v>1145138.612738727</v>
      </c>
      <c r="AL33" s="9" t="n">
        <v>2009398.470512469</v>
      </c>
      <c r="AM33" s="9" t="n">
        <v>2058259.690804644</v>
      </c>
      <c r="AN33" s="9" t="n">
        <v>1901853.294628495</v>
      </c>
      <c r="AO33" s="9" t="n">
        <v>721202.1964218169</v>
      </c>
      <c r="AP33" s="9" t="n">
        <v>1116126.366116581</v>
      </c>
      <c r="AQ33" s="9" t="n">
        <v>1069205.528673178</v>
      </c>
      <c r="AR33" s="9" t="n">
        <v>1890424.853093599</v>
      </c>
    </row>
    <row r="34">
      <c r="A34" s="4" t="inlineStr">
        <is>
          <t>Agro</t>
        </is>
      </c>
      <c r="B34" s="5" t="n">
        <v>202407</v>
      </c>
      <c r="C34" s="5" t="n">
        <v>2024</v>
      </c>
      <c r="D34" s="6" t="n">
        <v>1335697.936396232</v>
      </c>
      <c r="E34" s="11" t="n">
        <v>0.06808684035306974</v>
      </c>
      <c r="F34" s="22">
        <f>D34*(1-E34)</f>
        <v/>
      </c>
      <c r="G34" s="11" t="n">
        <v>1.0923</v>
      </c>
      <c r="H34" s="11" t="n">
        <v>0.02586098931639339</v>
      </c>
      <c r="I34" s="11" t="n">
        <v>0.103655665527764</v>
      </c>
      <c r="J34" s="11" t="n">
        <v>0.07259406516178732</v>
      </c>
      <c r="K34" s="6" t="n">
        <v>6775873.354443967</v>
      </c>
      <c r="L34" s="18" t="n">
        <v>6203308.023843236</v>
      </c>
      <c r="M34" s="18" t="n">
        <v>6269385.050812291</v>
      </c>
      <c r="N34" s="23">
        <f>IF(L34=0,"",M34/L34)</f>
        <v/>
      </c>
      <c r="O34" s="6" t="n">
        <v>7653461.80495921</v>
      </c>
      <c r="P34" s="22">
        <f>M34*G34*(1+H34+I34)</f>
        <v/>
      </c>
      <c r="Q34" s="6" t="n">
        <v>7161573.613138686</v>
      </c>
      <c r="R34" s="22">
        <f>P34-M34*G34*J34</f>
        <v/>
      </c>
      <c r="S34" s="22">
        <f>IF(A34=A33,O34-O33,"")</f>
        <v/>
      </c>
      <c r="T34" s="22">
        <f>IF(A34=A33,P34-P33,"")</f>
        <v/>
      </c>
      <c r="U34" s="22">
        <f>IF(A34=A33,Q34-Q33,"")</f>
        <v/>
      </c>
      <c r="V34" s="22">
        <f>IF(A34=A33,R34-R33,"")</f>
        <v/>
      </c>
      <c r="W34" s="22">
        <f>IF(S34="","",D34-S34)</f>
        <v/>
      </c>
      <c r="X34" s="22">
        <f>IF(T34="","",D34-T34)</f>
        <v/>
      </c>
      <c r="Y34" s="22">
        <f>IF(U34="","",F34-U34)</f>
        <v/>
      </c>
      <c r="Z34" s="22">
        <f>IF(V34="","",F34-V34)</f>
        <v/>
      </c>
      <c r="AA34" s="6" t="n">
        <v>7534032.266511328</v>
      </c>
      <c r="AB34" s="6" t="n">
        <v>6538802.197597976</v>
      </c>
      <c r="AC34" s="6" t="n">
        <v>-261855.239350746</v>
      </c>
      <c r="AD34" s="6" t="n">
        <v>1444807.357208373</v>
      </c>
      <c r="AE34" s="6" t="n">
        <v>1005530.749191871</v>
      </c>
      <c r="AF34" s="6" t="n">
        <v>8570934.254601782</v>
      </c>
      <c r="AG34" s="6" t="n">
        <v>1109086.00970399</v>
      </c>
      <c r="AH34" s="6" t="n">
        <v>1063787.92882354</v>
      </c>
      <c r="AI34" s="6" t="n">
        <v>1146464.57114478</v>
      </c>
      <c r="AJ34" s="6" t="n">
        <v>1311237.788787468</v>
      </c>
      <c r="AK34" s="6" t="n">
        <v>1319007.625900357</v>
      </c>
      <c r="AL34" s="6" t="n">
        <v>889322.3186152952</v>
      </c>
      <c r="AM34" s="6" t="n">
        <v>971383.4796160366</v>
      </c>
      <c r="AN34" s="6" t="n">
        <v>937606.1415842623</v>
      </c>
      <c r="AO34" s="6" t="n">
        <v>1071147.40931427</v>
      </c>
      <c r="AP34" s="6" t="n">
        <v>1209977.884712423</v>
      </c>
      <c r="AQ34" s="6" t="n">
        <v>1220860.662152519</v>
      </c>
      <c r="AR34" s="6" t="n">
        <v>758579.2889847234</v>
      </c>
    </row>
    <row r="35">
      <c r="A35" t="inlineStr">
        <is>
          <t>Agro</t>
        </is>
      </c>
      <c r="B35" s="8" t="n">
        <v>202408</v>
      </c>
      <c r="C35" s="8" t="n">
        <v>2024</v>
      </c>
      <c r="D35" s="9" t="n">
        <v>464780.7204587696</v>
      </c>
      <c r="E35" s="10" t="n">
        <v>0.06808684035306974</v>
      </c>
      <c r="F35" s="22">
        <f>D35*(1-E35)</f>
        <v/>
      </c>
      <c r="G35" s="10" t="n">
        <v>1.10607</v>
      </c>
      <c r="H35" s="10" t="n">
        <v>0.02553901467899567</v>
      </c>
      <c r="I35" s="10" t="n">
        <v>0.08965797337325715</v>
      </c>
      <c r="J35" s="10" t="n">
        <v>0.06392086274393428</v>
      </c>
      <c r="K35" s="9" t="n">
        <v>5647411.826805463</v>
      </c>
      <c r="L35" s="18" t="n">
        <v>5105835.821245909</v>
      </c>
      <c r="M35" s="18" t="n">
        <v>5523786.096679717</v>
      </c>
      <c r="N35" s="23">
        <f>IF(L35=0,"",M35/L35)</f>
        <v/>
      </c>
      <c r="O35" s="9" t="n">
        <v>6297976.659544123</v>
      </c>
      <c r="P35" s="22">
        <f>M35*G35*(1+H35+I35)</f>
        <v/>
      </c>
      <c r="Q35" s="9" t="n">
        <v>5936989.22330442</v>
      </c>
      <c r="R35" s="22">
        <f>P35-M35*G35*J35</f>
        <v/>
      </c>
      <c r="S35" s="22">
        <f>IF(A35=A34,O35-O34,"")</f>
        <v/>
      </c>
      <c r="T35" s="22">
        <f>IF(A35=A34,P35-P34,"")</f>
        <v/>
      </c>
      <c r="U35" s="22">
        <f>IF(A35=A34,Q35-Q34,"")</f>
        <v/>
      </c>
      <c r="V35" s="22">
        <f>IF(A35=A34,R35-R34,"")</f>
        <v/>
      </c>
      <c r="W35" s="22">
        <f>IF(S35="","",D35-S35)</f>
        <v/>
      </c>
      <c r="X35" s="22">
        <f>IF(T35="","",D35-T35)</f>
        <v/>
      </c>
      <c r="Y35" s="22">
        <f>IF(U35="","",F35-U35)</f>
        <v/>
      </c>
      <c r="Z35" s="22">
        <f>IF(V35="","",F35-V35)</f>
        <v/>
      </c>
      <c r="AA35" s="9" t="n">
        <v>6705208.468788936</v>
      </c>
      <c r="AB35" s="9" t="n">
        <v>5794713.885521934</v>
      </c>
      <c r="AC35" s="9" t="n">
        <v>175459.7774284694</v>
      </c>
      <c r="AD35" s="9" t="n">
        <v>1380075.408606779</v>
      </c>
      <c r="AE35" s="9" t="n">
        <v>962089.6519887692</v>
      </c>
      <c r="AF35" s="9" t="n">
        <v>7714325.752930212</v>
      </c>
      <c r="AG35" s="9" t="n">
        <v>1489271.239790448</v>
      </c>
      <c r="AH35" s="9" t="n">
        <v>1384467.460697171</v>
      </c>
      <c r="AI35" s="9" t="n">
        <v>-74715.85826150049</v>
      </c>
      <c r="AJ35" s="9" t="n">
        <v>545038.5967665632</v>
      </c>
      <c r="AK35" s="9" t="n">
        <v>518651.3891349338</v>
      </c>
      <c r="AL35" s="9" t="n">
        <v>1523838.911871628</v>
      </c>
      <c r="AM35" s="9" t="n">
        <v>1334283.086962293</v>
      </c>
      <c r="AN35" s="9" t="n">
        <v>1244022.745174818</v>
      </c>
      <c r="AO35" s="9" t="n">
        <v>-73192.45666989405</v>
      </c>
      <c r="AP35" s="9" t="n">
        <v>496400.5134623884</v>
      </c>
      <c r="AQ35" s="9" t="n">
        <v>475293.5341553103</v>
      </c>
      <c r="AR35" s="9" t="n">
        <v>1357975.686362568</v>
      </c>
    </row>
    <row r="36">
      <c r="A36" s="4" t="inlineStr">
        <is>
          <t>Agro</t>
        </is>
      </c>
      <c r="B36" s="5" t="n">
        <v>202409</v>
      </c>
      <c r="C36" s="5" t="n">
        <v>2024</v>
      </c>
      <c r="D36" s="6" t="n">
        <v>1621624.086360657</v>
      </c>
      <c r="E36" s="11" t="n">
        <v>0.06808684035306974</v>
      </c>
      <c r="F36" s="22">
        <f>D36*(1-E36)</f>
        <v/>
      </c>
      <c r="G36" s="11" t="n">
        <v>1.11767</v>
      </c>
      <c r="H36" s="11" t="n">
        <v>0.02527378656896393</v>
      </c>
      <c r="I36" s="11" t="n">
        <v>0.09517960721345313</v>
      </c>
      <c r="J36" s="11" t="n">
        <v>0.06736747747365893</v>
      </c>
      <c r="K36" s="6" t="n">
        <v>6120502.302953977</v>
      </c>
      <c r="L36" s="18" t="n">
        <v>5476126.497941232</v>
      </c>
      <c r="M36" s="18" t="n">
        <v>5787053.799265782</v>
      </c>
      <c r="N36" s="23">
        <f>IF(L36=0,"",M36/L36)</f>
        <v/>
      </c>
      <c r="O36" s="6" t="n">
        <v>6857737.576997883</v>
      </c>
      <c r="P36" s="22">
        <f>M36*G36*(1+H36+I36)</f>
        <v/>
      </c>
      <c r="Q36" s="6" t="n">
        <v>6445414.775976153</v>
      </c>
      <c r="R36" s="22">
        <f>P36-M36*G36*J36</f>
        <v/>
      </c>
      <c r="S36" s="22">
        <f>IF(A36=A35,O36-O35,"")</f>
        <v/>
      </c>
      <c r="T36" s="22">
        <f>IF(A36=A35,P36-P35,"")</f>
        <v/>
      </c>
      <c r="U36" s="22">
        <f>IF(A36=A35,Q36-Q35,"")</f>
        <v/>
      </c>
      <c r="V36" s="22">
        <f>IF(A36=A35,R36-R35,"")</f>
        <v/>
      </c>
      <c r="W36" s="22">
        <f>IF(S36="","",D36-S36)</f>
        <v/>
      </c>
      <c r="X36" s="22">
        <f>IF(T36="","",D36-T36)</f>
        <v/>
      </c>
      <c r="Y36" s="22">
        <f>IF(U36="","",F36-U36)</f>
        <v/>
      </c>
      <c r="Z36" s="22">
        <f>IF(V36="","",F36-V36)</f>
        <v/>
      </c>
      <c r="AA36" s="6" t="n">
        <v>7031378.431143296</v>
      </c>
      <c r="AB36" s="6" t="n">
        <v>6059001.569018544</v>
      </c>
      <c r="AC36" s="6" t="n">
        <v>613239.8348084645</v>
      </c>
      <c r="AD36" s="6" t="n">
        <v>1298423.823980642</v>
      </c>
      <c r="AE36" s="6" t="n">
        <v>865493.2808271929</v>
      </c>
      <c r="AF36" s="6" t="n">
        <v>7983158.366475264</v>
      </c>
      <c r="AG36" s="6" t="n">
        <v>1087029.27546903</v>
      </c>
      <c r="AH36" s="6" t="n">
        <v>1181651.78326542</v>
      </c>
      <c r="AI36" s="6" t="n">
        <v>1070092.759448133</v>
      </c>
      <c r="AJ36" s="6" t="n">
        <v>1697915.241480795</v>
      </c>
      <c r="AK36" s="6" t="n">
        <v>1724493.373689438</v>
      </c>
      <c r="AL36" s="6" t="n">
        <v>1139849.954444335</v>
      </c>
      <c r="AM36" s="6" t="n">
        <v>1031978.302039826</v>
      </c>
      <c r="AN36" s="6" t="n">
        <v>1117758.905423799</v>
      </c>
      <c r="AO36" s="6" t="n">
        <v>993449.9797603165</v>
      </c>
      <c r="AP36" s="6" t="n">
        <v>1587695.654151875</v>
      </c>
      <c r="AQ36" s="6" t="n">
        <v>1611228.44010256</v>
      </c>
      <c r="AR36" s="6" t="n">
        <v>1085117.329376648</v>
      </c>
    </row>
    <row r="37">
      <c r="A37" t="inlineStr">
        <is>
          <t>Agro</t>
        </is>
      </c>
      <c r="B37" s="8" t="n">
        <v>202410</v>
      </c>
      <c r="C37" s="8" t="n">
        <v>2024</v>
      </c>
      <c r="D37" s="9" t="n">
        <v>1204556.855920478</v>
      </c>
      <c r="E37" s="10" t="n">
        <v>0.06808684035306974</v>
      </c>
      <c r="F37" s="22">
        <f>D37*(1-E37)</f>
        <v/>
      </c>
      <c r="G37" s="10" t="n">
        <v>1.11768</v>
      </c>
      <c r="H37" s="10" t="n">
        <v>0.02527363180816316</v>
      </c>
      <c r="I37" s="10" t="n">
        <v>0.09910605429375353</v>
      </c>
      <c r="J37" s="10" t="n">
        <v>0.05139670713678365</v>
      </c>
      <c r="K37" s="9" t="n">
        <v>6113264.459869372</v>
      </c>
      <c r="L37" s="18" t="n">
        <v>5469601.728463757</v>
      </c>
      <c r="M37" s="18" t="n">
        <v>5656800.667341144</v>
      </c>
      <c r="N37" s="23">
        <f>IF(L37=0,"",M37/L37)</f>
        <v/>
      </c>
      <c r="O37" s="9" t="n">
        <v>6873630.374445927</v>
      </c>
      <c r="P37" s="22">
        <f>M37*G37*(1+H37+I37)</f>
        <v/>
      </c>
      <c r="Q37" s="9" t="n">
        <v>6559428.711352313</v>
      </c>
      <c r="R37" s="22">
        <f>P37-M37*G37*J37</f>
        <v/>
      </c>
      <c r="S37" s="22">
        <f>IF(A37=A36,O37-O36,"")</f>
        <v/>
      </c>
      <c r="T37" s="22">
        <f>IF(A37=A36,P37-P36,"")</f>
        <v/>
      </c>
      <c r="U37" s="22">
        <f>IF(A37=A36,Q37-Q36,"")</f>
        <v/>
      </c>
      <c r="V37" s="22">
        <f>IF(A37=A36,R37-R36,"")</f>
        <v/>
      </c>
      <c r="W37" s="22">
        <f>IF(S37="","",D37-S37)</f>
        <v/>
      </c>
      <c r="X37" s="22">
        <f>IF(T37="","",D37-T37)</f>
        <v/>
      </c>
      <c r="Y37" s="22">
        <f>IF(U37="","",F37-U37)</f>
        <v/>
      </c>
      <c r="Z37" s="22">
        <f>IF(V37="","",F37-V37)</f>
        <v/>
      </c>
      <c r="AA37" s="9" t="n">
        <v>6911818.955097175</v>
      </c>
      <c r="AB37" s="9" t="n">
        <v>5932752.242929407</v>
      </c>
      <c r="AC37" s="9" t="n">
        <v>732797.3424717543</v>
      </c>
      <c r="AD37" s="9" t="n">
        <v>1112130.500069553</v>
      </c>
      <c r="AE37" s="9" t="n">
        <v>701164.8199629755</v>
      </c>
      <c r="AF37" s="9" t="n">
        <v>7834620.938845727</v>
      </c>
      <c r="AG37" s="9" t="n">
        <v>1323872.002144154</v>
      </c>
      <c r="AH37" s="9" t="n">
        <v>1336557.128286055</v>
      </c>
      <c r="AI37" s="9" t="n">
        <v>1051611.357084975</v>
      </c>
      <c r="AJ37" s="9" t="n">
        <v>1432958.587634925</v>
      </c>
      <c r="AK37" s="9" t="n">
        <v>1407260.113513028</v>
      </c>
      <c r="AL37" s="9" t="n">
        <v>1356101.101222548</v>
      </c>
      <c r="AM37" s="9" t="n">
        <v>1109482.580260624</v>
      </c>
      <c r="AN37" s="9" t="n">
        <v>1139139.884183714</v>
      </c>
      <c r="AO37" s="9" t="n">
        <v>965518.8292622864</v>
      </c>
      <c r="AP37" s="9" t="n">
        <v>1317066.219975011</v>
      </c>
      <c r="AQ37" s="9" t="n">
        <v>1300357.128696041</v>
      </c>
      <c r="AR37" s="9" t="n">
        <v>1123058.207743551</v>
      </c>
    </row>
    <row r="38">
      <c r="A38" s="4" t="inlineStr">
        <is>
          <t>Agro</t>
        </is>
      </c>
      <c r="B38" s="5" t="n">
        <v>202411</v>
      </c>
      <c r="C38" s="5" t="n">
        <v>2024</v>
      </c>
      <c r="D38" s="6" t="n">
        <v>1131684.680628939</v>
      </c>
      <c r="E38" s="11" t="n">
        <v>0.06808684035306974</v>
      </c>
      <c r="F38" s="22">
        <f>D38*(1-E38)</f>
        <v/>
      </c>
      <c r="G38" s="11" t="n">
        <v>1.113332141548738</v>
      </c>
      <c r="H38" s="11" t="n">
        <v>0.02537243035669047</v>
      </c>
      <c r="I38" s="11" t="n">
        <v>0.08549091306546153</v>
      </c>
      <c r="J38" s="11" t="n">
        <v>0.03840873693404059</v>
      </c>
      <c r="K38" s="6" t="n">
        <v>6078840.44624308</v>
      </c>
      <c r="L38" s="18" t="n">
        <v>5460042.17374602</v>
      </c>
      <c r="M38" s="18" t="n">
        <v>5558110.502126054</v>
      </c>
      <c r="N38" s="23">
        <f>IF(L38=0,"",M38/L38)</f>
        <v/>
      </c>
      <c r="O38" s="6" t="n">
        <v>6752761.022243395</v>
      </c>
      <c r="P38" s="22">
        <f>M38*G38*(1+H38+I38)</f>
        <v/>
      </c>
      <c r="Q38" s="6" t="n">
        <v>6519280.438679638</v>
      </c>
      <c r="R38" s="22">
        <f>P38-M38*G38*J38</f>
        <v/>
      </c>
      <c r="S38" s="22">
        <f>IF(A38=A37,O38-O37,"")</f>
        <v/>
      </c>
      <c r="T38" s="22">
        <f>IF(A38=A37,P38-P37,"")</f>
        <v/>
      </c>
      <c r="U38" s="22">
        <f>IF(A38=A37,Q38-Q37,"")</f>
        <v/>
      </c>
      <c r="V38" s="22">
        <f>IF(A38=A37,R38-R37,"")</f>
        <v/>
      </c>
      <c r="W38" s="22">
        <f>IF(S38="","",D38-S38)</f>
        <v/>
      </c>
      <c r="X38" s="22">
        <f>IF(T38="","",D38-T38)</f>
        <v/>
      </c>
      <c r="Y38" s="22">
        <f>IF(U38="","",F38-U38)</f>
        <v/>
      </c>
      <c r="Z38" s="22">
        <f>IF(V38="","",F38-V38)</f>
        <v/>
      </c>
      <c r="AA38" s="6" t="n">
        <v>6748805.084504262</v>
      </c>
      <c r="AB38" s="6" t="n">
        <v>5806647.432096435</v>
      </c>
      <c r="AC38" s="6" t="n">
        <v>1403012.385097212</v>
      </c>
      <c r="AD38" s="6" t="n">
        <v>1187638.04590021</v>
      </c>
      <c r="AE38" s="6" t="n">
        <v>784351.3987560933</v>
      </c>
      <c r="AF38" s="6" t="n">
        <v>7614829.433971469</v>
      </c>
      <c r="AG38" s="6" t="n">
        <v>1471093.400631634</v>
      </c>
      <c r="AH38" s="6" t="n">
        <v>1405926.277642801</v>
      </c>
      <c r="AI38" s="6" t="n">
        <v>317399.2654410128</v>
      </c>
      <c r="AJ38" s="6" t="n">
        <v>1060472.326768072</v>
      </c>
      <c r="AK38" s="6" t="n">
        <v>1042781.857194971</v>
      </c>
      <c r="AL38" s="6" t="n">
        <v>1559711.439263911</v>
      </c>
      <c r="AM38" s="6" t="n">
        <v>1285580.883947039</v>
      </c>
      <c r="AN38" s="6" t="n">
        <v>1236368.07306284</v>
      </c>
      <c r="AO38" s="6" t="n">
        <v>258246.0039650727</v>
      </c>
      <c r="AP38" s="6" t="n">
        <v>970318.4760186675</v>
      </c>
      <c r="AQ38" s="6" t="n">
        <v>958990.7442819924</v>
      </c>
      <c r="AR38" s="6" t="n">
        <v>1358221.153789027</v>
      </c>
    </row>
    <row r="39">
      <c r="A39" t="inlineStr">
        <is>
          <t>Agro</t>
        </is>
      </c>
      <c r="B39" s="8" t="n">
        <v>202412</v>
      </c>
      <c r="C39" s="8" t="n">
        <v>2024</v>
      </c>
      <c r="D39" s="9" t="n">
        <v>1221230.136658912</v>
      </c>
      <c r="E39" s="10" t="n">
        <v>0.06808684035306974</v>
      </c>
      <c r="F39" s="22">
        <f>D39*(1-E39)</f>
        <v/>
      </c>
      <c r="G39" s="10" t="n">
        <v>1.00266</v>
      </c>
      <c r="H39" s="10" t="n">
        <v>0.03033584523731231</v>
      </c>
      <c r="I39" s="10" t="n">
        <v>0.09471567288842829</v>
      </c>
      <c r="J39" s="10" t="n">
        <v>0.07645112259777824</v>
      </c>
      <c r="K39" s="9" t="n">
        <v>5306155.656063095</v>
      </c>
      <c r="L39" s="18" t="n">
        <v>5292078.726650205</v>
      </c>
      <c r="M39" s="18" t="n">
        <v>5406071.446084457</v>
      </c>
      <c r="N39" s="23">
        <f>IF(L39=0,"",M39/L39)</f>
        <v/>
      </c>
      <c r="O39" s="9" t="n">
        <v>5969698.476265269</v>
      </c>
      <c r="P39" s="22">
        <f>M39*G39*(1+H39+I39)</f>
        <v/>
      </c>
      <c r="Q39" s="9" t="n">
        <v>5564036.919680695</v>
      </c>
      <c r="R39" s="22">
        <f>P39-M39*G39*J39</f>
        <v/>
      </c>
      <c r="S39" s="22">
        <f>IF(A39=A38,O39-O38,"")</f>
        <v/>
      </c>
      <c r="T39" s="22">
        <f>IF(A39=A38,P39-P38,"")</f>
        <v/>
      </c>
      <c r="U39" s="22">
        <f>IF(A39=A38,Q39-Q38,"")</f>
        <v/>
      </c>
      <c r="V39" s="22">
        <f>IF(A39=A38,R39-R38,"")</f>
        <v/>
      </c>
      <c r="W39" s="22">
        <f>IF(S39="","",D39-S39)</f>
        <v/>
      </c>
      <c r="X39" s="22">
        <f>IF(T39="","",D39-T39)</f>
        <v/>
      </c>
      <c r="Y39" s="22">
        <f>IF(U39="","",F39-U39)</f>
        <v/>
      </c>
      <c r="Z39" s="22">
        <f>IF(V39="","",F39-V39)</f>
        <v/>
      </c>
      <c r="AA39" s="9" t="n">
        <v>6591867.530459427</v>
      </c>
      <c r="AB39" s="9" t="n">
        <v>5650927.978206214</v>
      </c>
      <c r="AC39" s="9" t="n">
        <v>1252468.522877647</v>
      </c>
      <c r="AD39" s="9" t="n">
        <v>966899.1682065458</v>
      </c>
      <c r="AE39" s="9" t="n">
        <v>569685.7539490788</v>
      </c>
      <c r="AF39" s="9" t="n">
        <v>7544576.230495103</v>
      </c>
      <c r="AG39" s="9" t="n">
        <v>2131963.763207968</v>
      </c>
      <c r="AH39" s="9" t="n">
        <v>2028162.354394793</v>
      </c>
      <c r="AI39" s="9" t="n">
        <v>1543579.748026653</v>
      </c>
      <c r="AJ39" s="9" t="n">
        <v>1599348.250766007</v>
      </c>
      <c r="AK39" s="9" t="n">
        <v>1548653.781753202</v>
      </c>
      <c r="AL39" s="9" t="n">
        <v>2128330.440179406</v>
      </c>
      <c r="AM39" s="9" t="n">
        <v>2265520.004185016</v>
      </c>
      <c r="AN39" s="9" t="n">
        <v>2129879.606160133</v>
      </c>
      <c r="AO39" s="9" t="n">
        <v>1496442.204716837</v>
      </c>
      <c r="AP39" s="9" t="n">
        <v>1539530.305194687</v>
      </c>
      <c r="AQ39" s="9" t="n">
        <v>1475632.862532449</v>
      </c>
      <c r="AR39" s="9" t="n">
        <v>2297883.416341966</v>
      </c>
    </row>
    <row r="40">
      <c r="A40" s="4" t="inlineStr">
        <is>
          <t>Agro</t>
        </is>
      </c>
      <c r="B40" s="5" t="n">
        <v>202501</v>
      </c>
      <c r="C40" s="5" t="n">
        <v>2025</v>
      </c>
      <c r="D40" s="6" t="n">
        <v>207645.2786542773</v>
      </c>
      <c r="E40" s="11" t="n">
        <v>0.1073261296434788</v>
      </c>
      <c r="F40" s="22">
        <f>D40*(1-E40)</f>
        <v/>
      </c>
      <c r="G40" s="11" t="n">
        <v>1.00266</v>
      </c>
      <c r="H40" s="11" t="n">
        <v>0.02788811382948104</v>
      </c>
      <c r="I40" s="11" t="n">
        <v>0.1109146683786734</v>
      </c>
      <c r="J40" s="11" t="n">
        <v>0.09490928585061943</v>
      </c>
      <c r="K40" s="6" t="n">
        <v>4751260.394158679</v>
      </c>
      <c r="L40" s="18" t="n">
        <v>4738655.57034157</v>
      </c>
      <c r="M40" s="18" t="n">
        <v>4604278.737019422</v>
      </c>
      <c r="N40" s="23">
        <f>IF(L40=0,"",M40/L40)</f>
        <v/>
      </c>
      <c r="O40" s="6" t="n">
        <v>5410748.555863316</v>
      </c>
      <c r="P40" s="22">
        <f>M40*G40*(1+H40+I40)</f>
        <v/>
      </c>
      <c r="Q40" s="6" t="n">
        <v>4959809.824963383</v>
      </c>
      <c r="R40" s="22">
        <f>P40-M40*G40*J40</f>
        <v/>
      </c>
      <c r="S40" s="22">
        <f>IF(A40=A39,O40-O39,"")</f>
        <v/>
      </c>
      <c r="T40" s="22">
        <f>IF(A40=A39,P40-P39,"")</f>
        <v/>
      </c>
      <c r="U40" s="22">
        <f>IF(A40=A39,Q40-Q39,"")</f>
        <v/>
      </c>
      <c r="V40" s="22">
        <f>IF(A40=A39,R40-R39,"")</f>
        <v/>
      </c>
      <c r="W40" s="22">
        <f>IF(S40="","",D40-S40)</f>
        <v/>
      </c>
      <c r="X40" s="22">
        <f>IF(T40="","",D40-T40)</f>
        <v/>
      </c>
      <c r="Y40" s="22">
        <f>IF(U40="","",F40-U40)</f>
        <v/>
      </c>
      <c r="Z40" s="22">
        <f>IF(V40="","",F40-V40)</f>
        <v/>
      </c>
      <c r="AA40" s="6" t="n">
        <v>5646261.96632145</v>
      </c>
      <c r="AB40" s="6" t="n">
        <v>4786979.510707311</v>
      </c>
      <c r="AC40" s="6" t="n">
        <v>1174578.70863708</v>
      </c>
      <c r="AD40" s="6" t="n">
        <v>992067.3308558217</v>
      </c>
      <c r="AE40" s="6" t="n">
        <v>628016.3396893116</v>
      </c>
      <c r="AF40" s="6" t="n">
        <v>6493900.615754624</v>
      </c>
      <c r="AG40" s="6" t="n">
        <v>1196480.337976517</v>
      </c>
      <c r="AH40" s="6" t="n">
        <v>1116215.178498801</v>
      </c>
      <c r="AI40" s="6" t="n">
        <v>279313.5221813645</v>
      </c>
      <c r="AJ40" s="6" t="n">
        <v>165576.0118289997</v>
      </c>
      <c r="AK40" s="6" t="n">
        <v>133186.8119982756</v>
      </c>
      <c r="AL40" s="6" t="n">
        <v>1303316.88629288</v>
      </c>
      <c r="AM40" s="6" t="n">
        <v>1206206.517977918</v>
      </c>
      <c r="AN40" s="6" t="n">
        <v>1116297.775482595</v>
      </c>
      <c r="AO40" s="6" t="n">
        <v>272795.3905372107</v>
      </c>
      <c r="AP40" s="6" t="n">
        <v>163579.950198906</v>
      </c>
      <c r="AQ40" s="6" t="n">
        <v>126995.2116885484</v>
      </c>
      <c r="AR40" s="6" t="n">
        <v>1320676.446468777</v>
      </c>
    </row>
    <row r="41">
      <c r="A41" t="inlineStr">
        <is>
          <t>Agro</t>
        </is>
      </c>
      <c r="B41" s="8" t="n">
        <v>202502</v>
      </c>
      <c r="C41" s="8" t="n">
        <v>2025</v>
      </c>
      <c r="D41" s="9" t="n">
        <v>2366052.587550476</v>
      </c>
      <c r="E41" s="10" t="n">
        <v>0.1073261296434788</v>
      </c>
      <c r="F41" s="22">
        <f>D41*(1-E41)</f>
        <v/>
      </c>
      <c r="G41" s="10" t="n">
        <v>0.99917</v>
      </c>
      <c r="H41" s="10" t="n">
        <v>0.02828174618484888</v>
      </c>
      <c r="I41" s="10" t="n">
        <v>0.118468817990517</v>
      </c>
      <c r="J41" s="10" t="n">
        <v>0.07294756462993651</v>
      </c>
      <c r="K41" s="9" t="n">
        <v>6146560.801236261</v>
      </c>
      <c r="L41" s="18" t="n">
        <v>6151666.684584466</v>
      </c>
      <c r="M41" s="18" t="n">
        <v>5853115.596806593</v>
      </c>
      <c r="N41" s="23">
        <f>IF(L41=0,"",M41/L41)</f>
        <v/>
      </c>
      <c r="O41" s="9" t="n">
        <v>7048572.066555871</v>
      </c>
      <c r="P41" s="22">
        <f>M41*G41*(1+H41+I41)</f>
        <v/>
      </c>
      <c r="Q41" s="9" t="n">
        <v>6600195.425255855</v>
      </c>
      <c r="R41" s="22">
        <f>P41-M41*G41*J41</f>
        <v/>
      </c>
      <c r="S41" s="22">
        <f>IF(A41=A40,O41-O40,"")</f>
        <v/>
      </c>
      <c r="T41" s="22">
        <f>IF(A41=A40,P41-P40,"")</f>
        <v/>
      </c>
      <c r="U41" s="22">
        <f>IF(A41=A40,Q41-Q40,"")</f>
        <v/>
      </c>
      <c r="V41" s="22">
        <f>IF(A41=A40,R41-R40,"")</f>
        <v/>
      </c>
      <c r="W41" s="22">
        <f>IF(S41="","",D41-S41)</f>
        <v/>
      </c>
      <c r="X41" s="22">
        <f>IF(T41="","",D41-T41)</f>
        <v/>
      </c>
      <c r="Y41" s="22">
        <f>IF(U41="","",F41-U41)</f>
        <v/>
      </c>
      <c r="Z41" s="22">
        <f>IF(V41="","",F41-V41)</f>
        <v/>
      </c>
      <c r="AA41" s="9" t="n">
        <v>6884147.490075794</v>
      </c>
      <c r="AB41" s="9" t="n">
        <v>6128251.032959356</v>
      </c>
      <c r="AC41" s="9" t="n">
        <v>1478837.814518847</v>
      </c>
      <c r="AD41" s="9" t="n">
        <v>2226238.980462072</v>
      </c>
      <c r="AE41" s="9" t="n">
        <v>1867026.81010798</v>
      </c>
      <c r="AF41" s="9" t="n">
        <v>7607827.259160994</v>
      </c>
      <c r="AG41" s="9" t="n">
        <v>925287.5014822339</v>
      </c>
      <c r="AH41" s="9" t="n">
        <v>810236.5228429749</v>
      </c>
      <c r="AI41" s="9" t="n">
        <v>2012773.604880441</v>
      </c>
      <c r="AJ41" s="9" t="n">
        <v>948004.9437396361</v>
      </c>
      <c r="AK41" s="9" t="n">
        <v>943904.7330667395</v>
      </c>
      <c r="AL41" s="9" t="n">
        <v>1063957.050886502</v>
      </c>
      <c r="AM41" s="9" t="n">
        <v>635805.0788858323</v>
      </c>
      <c r="AN41" s="9" t="n">
        <v>547429.8789945222</v>
      </c>
      <c r="AO41" s="9" t="n">
        <v>1754847.457729021</v>
      </c>
      <c r="AP41" s="9" t="n">
        <v>761922.740046686</v>
      </c>
      <c r="AQ41" s="9" t="n">
        <v>766284.3528179438</v>
      </c>
      <c r="AR41" s="9" t="n">
        <v>746558.7161262385</v>
      </c>
    </row>
    <row r="42">
      <c r="A42" s="4" t="inlineStr">
        <is>
          <t>Agro</t>
        </is>
      </c>
      <c r="B42" s="5" t="n">
        <v>202503</v>
      </c>
      <c r="C42" s="5" t="n">
        <v>2025</v>
      </c>
      <c r="D42" s="6" t="n">
        <v>342966.8683742105</v>
      </c>
      <c r="E42" s="11" t="n">
        <v>0.1073261296434788</v>
      </c>
      <c r="F42" s="22">
        <f>D42*(1-E42)</f>
        <v/>
      </c>
      <c r="G42" s="11" t="n">
        <v>1.03513</v>
      </c>
      <c r="H42" s="11" t="n">
        <v>0.02729928717251765</v>
      </c>
      <c r="I42" s="11" t="n">
        <v>0.1192424210008897</v>
      </c>
      <c r="J42" s="11" t="n">
        <v>0.07746359840181748</v>
      </c>
      <c r="K42" s="6" t="n">
        <v>5643379.096694102</v>
      </c>
      <c r="L42" s="18" t="n">
        <v>5451855.415932395</v>
      </c>
      <c r="M42" s="18" t="n">
        <v>5197919.473196216</v>
      </c>
      <c r="N42" s="23">
        <f>IF(L42=0,"",M42/L42)</f>
        <v/>
      </c>
      <c r="O42" s="6" t="n">
        <v>6470369.509393756</v>
      </c>
      <c r="P42" s="22">
        <f>M42*G42*(1+H42+I42)</f>
        <v/>
      </c>
      <c r="Q42" s="6" t="n">
        <v>6033213.057418233</v>
      </c>
      <c r="R42" s="22">
        <f>P42-M42*G42*J42</f>
        <v/>
      </c>
      <c r="S42" s="22">
        <f>IF(A42=A41,O42-O41,"")</f>
        <v/>
      </c>
      <c r="T42" s="22">
        <f>IF(A42=A41,P42-P41,"")</f>
        <v/>
      </c>
      <c r="U42" s="22">
        <f>IF(A42=A41,Q42-Q41,"")</f>
        <v/>
      </c>
      <c r="V42" s="22">
        <f>IF(A42=A41,R42-R41,"")</f>
        <v/>
      </c>
      <c r="W42" s="22">
        <f>IF(S42="","",D42-S42)</f>
        <v/>
      </c>
      <c r="X42" s="22">
        <f>IF(T42="","",D42-T42)</f>
        <v/>
      </c>
      <c r="Y42" s="22">
        <f>IF(U42="","",F42-U42)</f>
        <v/>
      </c>
      <c r="Z42" s="22">
        <f>IF(V42="","",F42-V42)</f>
        <v/>
      </c>
      <c r="AA42" s="6" t="n">
        <v>6180713.820845166</v>
      </c>
      <c r="AB42" s="6" t="n">
        <v>5364611.436974434</v>
      </c>
      <c r="AC42" s="6" t="n">
        <v>-32528.21277720761</v>
      </c>
      <c r="AD42" s="6" t="n">
        <v>1303912.043825796</v>
      </c>
      <c r="AE42" s="6" t="n">
        <v>944537.0038510736</v>
      </c>
      <c r="AF42" s="6" t="n">
        <v>6798511.187203242</v>
      </c>
      <c r="AG42" s="6" t="n">
        <v>895421.4982176756</v>
      </c>
      <c r="AH42" s="6" t="n">
        <v>997882.675448789</v>
      </c>
      <c r="AI42" s="6" t="n">
        <v>2076022.528603821</v>
      </c>
      <c r="AJ42" s="6" t="n">
        <v>1346280.209690983</v>
      </c>
      <c r="AK42" s="6" t="n">
        <v>1361208.733624904</v>
      </c>
      <c r="AL42" s="6" t="n">
        <v>991398.7847881911</v>
      </c>
      <c r="AM42" s="6" t="n">
        <v>852447.0949355345</v>
      </c>
      <c r="AN42" s="6" t="n">
        <v>944564.2273123497</v>
      </c>
      <c r="AO42" s="6" t="n">
        <v>1928816.872082106</v>
      </c>
      <c r="AP42" s="6" t="n">
        <v>1251761.031954049</v>
      </c>
      <c r="AQ42" s="6" t="n">
        <v>1264055.010161576</v>
      </c>
      <c r="AR42" s="6" t="n">
        <v>945215.5377550405</v>
      </c>
    </row>
    <row r="43">
      <c r="A43" t="inlineStr">
        <is>
          <t>Agro</t>
        </is>
      </c>
      <c r="B43" s="8" t="n">
        <v>202504</v>
      </c>
      <c r="C43" s="8" t="n">
        <v>2025</v>
      </c>
      <c r="D43" s="9" t="n">
        <v>1989412.107989813</v>
      </c>
      <c r="E43" s="10" t="n">
        <v>0.1073261296434788</v>
      </c>
      <c r="F43" s="22">
        <f>D43*(1-E43)</f>
        <v/>
      </c>
      <c r="G43" s="10" t="n">
        <v>1.09271</v>
      </c>
      <c r="H43" s="10" t="n">
        <v>0.02586083556480649</v>
      </c>
      <c r="I43" s="10" t="n">
        <v>0.111960969690233</v>
      </c>
      <c r="J43" s="10" t="n">
        <v>0.1417035320040406</v>
      </c>
      <c r="K43" s="9" t="n">
        <v>6830504.339845821</v>
      </c>
      <c r="L43" s="18" t="n">
        <v>6250976.324775851</v>
      </c>
      <c r="M43" s="18" t="n">
        <v>5939908.393394072</v>
      </c>
      <c r="N43" s="23">
        <f>IF(L43=0,"",M43/L43)</f>
        <v/>
      </c>
      <c r="O43" s="9" t="n">
        <v>7771896.778765755</v>
      </c>
      <c r="P43" s="22">
        <f>M43*G43*(1+H43+I43)</f>
        <v/>
      </c>
      <c r="Q43" s="9" t="n">
        <v>6803990.188440674</v>
      </c>
      <c r="R43" s="22">
        <f>P43-M43*G43*J43</f>
        <v/>
      </c>
      <c r="S43" s="22">
        <f>IF(A43=A42,O43-O42,"")</f>
        <v/>
      </c>
      <c r="T43" s="22">
        <f>IF(A43=A42,P43-P42,"")</f>
        <v/>
      </c>
      <c r="U43" s="22">
        <f>IF(A43=A42,Q43-Q42,"")</f>
        <v/>
      </c>
      <c r="V43" s="22">
        <f>IF(A43=A42,R43-R42,"")</f>
        <v/>
      </c>
      <c r="W43" s="22">
        <f>IF(S43="","",D43-S43)</f>
        <v/>
      </c>
      <c r="X43" s="22">
        <f>IF(T43="","",D43-T43)</f>
        <v/>
      </c>
      <c r="Y43" s="22">
        <f>IF(U43="","",F43-U43)</f>
        <v/>
      </c>
      <c r="Z43" s="22">
        <f>IF(V43="","",F43-V43)</f>
        <v/>
      </c>
      <c r="AA43" s="9" t="n">
        <v>7005751.004438212</v>
      </c>
      <c r="AB43" s="9" t="n">
        <v>6122189.406431096</v>
      </c>
      <c r="AC43" s="9" t="n">
        <v>-150584.0143493147</v>
      </c>
      <c r="AD43" s="9" t="n">
        <v>1410409.905267298</v>
      </c>
      <c r="AE43" s="9" t="n">
        <v>1046985.525201445</v>
      </c>
      <c r="AF43" s="9" t="n">
        <v>7588323.539964693</v>
      </c>
      <c r="AG43" s="9" t="n">
        <v>614490.0134004708</v>
      </c>
      <c r="AH43" s="9" t="n">
        <v>744463.9328461252</v>
      </c>
      <c r="AI43" s="9" t="n">
        <v>2138029.483836439</v>
      </c>
      <c r="AJ43" s="9" t="n">
        <v>1783344.930224381</v>
      </c>
      <c r="AK43" s="9" t="n">
        <v>1808680.445285652</v>
      </c>
      <c r="AL43" s="9" t="n">
        <v>623386.2789085303</v>
      </c>
      <c r="AM43" s="9" t="n">
        <v>990150.7809254576</v>
      </c>
      <c r="AN43" s="9" t="n">
        <v>1048752.340612966</v>
      </c>
      <c r="AO43" s="9" t="n">
        <v>1903805.294077239</v>
      </c>
      <c r="AP43" s="9" t="n">
        <v>1683664.070378193</v>
      </c>
      <c r="AQ43" s="9" t="n">
        <v>1681543.089245942</v>
      </c>
      <c r="AR43" s="9" t="n">
        <v>1039715.065893959</v>
      </c>
    </row>
    <row r="44">
      <c r="A44" s="4" t="inlineStr">
        <is>
          <t>Agro</t>
        </is>
      </c>
      <c r="B44" s="5" t="n">
        <v>202505</v>
      </c>
      <c r="C44" s="5" t="n">
        <v>2025</v>
      </c>
      <c r="D44" s="6" t="n">
        <v>1348974.186245941</v>
      </c>
      <c r="E44" s="11" t="n">
        <v>0.1073261296434788</v>
      </c>
      <c r="F44" s="22">
        <f>D44*(1-E44)</f>
        <v/>
      </c>
      <c r="G44" s="11" t="n">
        <v>1.11525</v>
      </c>
      <c r="H44" s="11" t="n">
        <v>0.02533802531401304</v>
      </c>
      <c r="I44" s="11" t="n">
        <v>0.1343487094447884</v>
      </c>
      <c r="J44" s="11" t="n">
        <v>0.1210642162141768</v>
      </c>
      <c r="K44" s="6" t="n">
        <v>7056784.003670916</v>
      </c>
      <c r="L44" s="18" t="n">
        <v>6327535.533441753</v>
      </c>
      <c r="M44" s="18" t="n">
        <v>6091848.365967191</v>
      </c>
      <c r="N44" s="23">
        <f>IF(L44=0,"",M44/L44)</f>
        <v/>
      </c>
      <c r="O44" s="6" t="n">
        <v>8183658.799115267</v>
      </c>
      <c r="P44" s="22">
        <f>M44*G44*(1+H44+I44)</f>
        <v/>
      </c>
      <c r="Q44" s="6" t="n">
        <v>7329334.774718107</v>
      </c>
      <c r="R44" s="22">
        <f>P44-M44*G44*J44</f>
        <v/>
      </c>
      <c r="S44" s="22">
        <f>IF(A44=A43,O44-O43,"")</f>
        <v/>
      </c>
      <c r="T44" s="22">
        <f>IF(A44=A43,P44-P43,"")</f>
        <v/>
      </c>
      <c r="U44" s="22">
        <f>IF(A44=A43,Q44-Q43,"")</f>
        <v/>
      </c>
      <c r="V44" s="22">
        <f>IF(A44=A43,R44-R43,"")</f>
        <v/>
      </c>
      <c r="W44" s="22">
        <f>IF(S44="","",D44-S44)</f>
        <v/>
      </c>
      <c r="X44" s="22">
        <f>IF(T44="","",D44-T44)</f>
        <v/>
      </c>
      <c r="Y44" s="22">
        <f>IF(U44="","",F44-U44)</f>
        <v/>
      </c>
      <c r="Z44" s="22">
        <f>IF(V44="","",F44-V44)</f>
        <v/>
      </c>
      <c r="AA44" s="6" t="n">
        <v>7192870.096206862</v>
      </c>
      <c r="AB44" s="6" t="n">
        <v>6283975.722720915</v>
      </c>
      <c r="AC44" s="6" t="n">
        <v>-173383.1595351374</v>
      </c>
      <c r="AD44" s="6" t="n">
        <v>1280926.066604926</v>
      </c>
      <c r="AE44" s="6" t="n">
        <v>916012.2869548653</v>
      </c>
      <c r="AF44" s="6" t="n">
        <v>7734547.53180551</v>
      </c>
      <c r="AG44" s="6" t="n">
        <v>756458.1685917643</v>
      </c>
      <c r="AH44" s="6" t="n">
        <v>833427.8702120543</v>
      </c>
      <c r="AI44" s="6" t="n">
        <v>1385995.171019118</v>
      </c>
      <c r="AJ44" s="6" t="n">
        <v>1445876.161489009</v>
      </c>
      <c r="AK44" s="6" t="n">
        <v>1465985.080702804</v>
      </c>
      <c r="AL44" s="6" t="n">
        <v>780202.5631186706</v>
      </c>
      <c r="AM44" s="6" t="n">
        <v>498060.2205733629</v>
      </c>
      <c r="AN44" s="6" t="n">
        <v>589125.2947336845</v>
      </c>
      <c r="AO44" s="6" t="n">
        <v>1241121.900862639</v>
      </c>
      <c r="AP44" s="6" t="n">
        <v>1255653.515842182</v>
      </c>
      <c r="AQ44" s="6" t="n">
        <v>1282765.865654696</v>
      </c>
      <c r="AR44" s="6" t="n">
        <v>504734.1692768913</v>
      </c>
    </row>
    <row r="45">
      <c r="A45" t="inlineStr">
        <is>
          <t>Agro</t>
        </is>
      </c>
      <c r="B45" s="8" t="n">
        <v>202506</v>
      </c>
      <c r="C45" s="8" t="n">
        <v>2025</v>
      </c>
      <c r="D45" s="9" t="n">
        <v>1168810.810314558</v>
      </c>
      <c r="E45" s="10" t="n">
        <v>0.1073261296434788</v>
      </c>
      <c r="F45" s="22">
        <f>D45*(1-E45)</f>
        <v/>
      </c>
      <c r="G45" s="10" t="n">
        <v>1.11525</v>
      </c>
      <c r="H45" s="10" t="n">
        <v>0.02321040617454628</v>
      </c>
      <c r="I45" s="10" t="n">
        <v>0.1424408208546928</v>
      </c>
      <c r="J45" s="10" t="n">
        <v>0.1145513865411354</v>
      </c>
      <c r="K45" s="9" t="n">
        <v>7945746.138105235</v>
      </c>
      <c r="L45" s="18" t="n">
        <v>7124632.269092342</v>
      </c>
      <c r="M45" s="18" t="n">
        <v>6101115.907667236</v>
      </c>
      <c r="N45" s="23">
        <f>IF(L45=0,"",M45/L45)</f>
        <v/>
      </c>
      <c r="O45" s="9" t="n">
        <v>9261968.735545203</v>
      </c>
      <c r="P45" s="22">
        <f>M45*G45*(1+H45+I45)</f>
        <v/>
      </c>
      <c r="Q45" s="9" t="n">
        <v>8351772.498321378</v>
      </c>
      <c r="R45" s="22">
        <f>P45-M45*G45*J45</f>
        <v/>
      </c>
      <c r="S45" s="22">
        <f>IF(A45=A44,O45-O44,"")</f>
        <v/>
      </c>
      <c r="T45" s="22">
        <f>IF(A45=A44,P45-P44,"")</f>
        <v/>
      </c>
      <c r="U45" s="22">
        <f>IF(A45=A44,Q45-Q44,"")</f>
        <v/>
      </c>
      <c r="V45" s="22">
        <f>IF(A45=A44,R45-R44,"")</f>
        <v/>
      </c>
      <c r="W45" s="22">
        <f>IF(S45="","",D45-S45)</f>
        <v/>
      </c>
      <c r="X45" s="22">
        <f>IF(T45="","",D45-T45)</f>
        <v/>
      </c>
      <c r="Y45" s="22">
        <f>IF(U45="","",F45-U45)</f>
        <v/>
      </c>
      <c r="Z45" s="22">
        <f>IF(V45="","",F45-V45)</f>
        <v/>
      </c>
      <c r="AA45" s="9" t="n">
        <v>7221056.210260492</v>
      </c>
      <c r="AB45" s="9" t="n">
        <v>6284258.55821789</v>
      </c>
      <c r="AC45" s="9" t="n">
        <v>289218.3127064562</v>
      </c>
      <c r="AD45" s="9" t="n">
        <v>1442838.125053811</v>
      </c>
      <c r="AE45" s="9" t="n">
        <v>1085407.0684132</v>
      </c>
      <c r="AF45" s="9" t="n">
        <v>7681980.570688748</v>
      </c>
      <c r="AG45" s="9" t="n">
        <v>1084322.819942408</v>
      </c>
      <c r="AH45" s="9" t="n">
        <v>1126642.748142095</v>
      </c>
      <c r="AI45" s="9" t="n">
        <v>568585.6790363322</v>
      </c>
      <c r="AJ45" s="9" t="n">
        <v>949805.7515528325</v>
      </c>
      <c r="AK45" s="9" t="n">
        <v>942505.6375019576</v>
      </c>
      <c r="AL45" s="9" t="n">
        <v>1185698.030378352</v>
      </c>
      <c r="AM45" s="9" t="n">
        <v>910234.8201148447</v>
      </c>
      <c r="AN45" s="9" t="n">
        <v>955591.7023155943</v>
      </c>
      <c r="AO45" s="9" t="n">
        <v>503500.0220715048</v>
      </c>
      <c r="AP45" s="9" t="n">
        <v>835742.7114053913</v>
      </c>
      <c r="AQ45" s="9" t="n">
        <v>832049.0678095804</v>
      </c>
      <c r="AR45" s="9" t="n">
        <v>997359.1099849141</v>
      </c>
    </row>
    <row r="46">
      <c r="A46" s="4" t="inlineStr">
        <is>
          <t>Agro</t>
        </is>
      </c>
      <c r="B46" s="5" t="n">
        <v>202507</v>
      </c>
      <c r="C46" s="5" t="n">
        <v>2025</v>
      </c>
      <c r="D46" s="6" t="n">
        <v>1500223.088457187</v>
      </c>
      <c r="E46" s="11" t="n">
        <v>0.1073261296434788</v>
      </c>
      <c r="F46" s="22">
        <f>D46*(1-E46)</f>
        <v/>
      </c>
      <c r="G46" s="11" t="n">
        <v>1.257489</v>
      </c>
      <c r="H46" s="11" t="n">
        <v>0.02247205333494986</v>
      </c>
      <c r="I46" s="11" t="n">
        <v>0.1597378285180844</v>
      </c>
      <c r="J46" s="11" t="n">
        <v>0.1438840239373141</v>
      </c>
      <c r="K46" s="6" t="n">
        <v>8581336.652003393</v>
      </c>
      <c r="L46" s="18" t="n">
        <v>6824184.26881141</v>
      </c>
      <c r="M46" s="18" t="n">
        <v>6239460.62283792</v>
      </c>
      <c r="N46" s="23">
        <f>IF(L46=0,"",M46/L46)</f>
        <v/>
      </c>
      <c r="O46" s="6" t="n">
        <v>10144940.98950604</v>
      </c>
      <c r="P46" s="22">
        <f>M46*G46*(1+H46+I46)</f>
        <v/>
      </c>
      <c r="Q46" s="6" t="n">
        <v>8910223.741255037</v>
      </c>
      <c r="R46" s="22">
        <f>P46-M46*G46*J46</f>
        <v/>
      </c>
      <c r="S46" s="22">
        <f>IF(A46=A45,O46-O45,"")</f>
        <v/>
      </c>
      <c r="T46" s="22">
        <f>IF(A46=A45,P46-P45,"")</f>
        <v/>
      </c>
      <c r="U46" s="22">
        <f>IF(A46=A45,Q46-Q45,"")</f>
        <v/>
      </c>
      <c r="V46" s="22">
        <f>IF(A46=A45,R46-R45,"")</f>
        <v/>
      </c>
      <c r="W46" s="22">
        <f>IF(S46="","",D46-S46)</f>
        <v/>
      </c>
      <c r="X46" s="22">
        <f>IF(T46="","",D46-T46)</f>
        <v/>
      </c>
      <c r="Y46" s="22">
        <f>IF(U46="","",F46-U46)</f>
        <v/>
      </c>
      <c r="Z46" s="22">
        <f>IF(V46="","",F46-V46)</f>
        <v/>
      </c>
      <c r="AA46" s="6" t="n">
        <v>7416700.753798383</v>
      </c>
      <c r="AB46" s="6" t="n">
        <v>6431796.703924235</v>
      </c>
      <c r="AC46" s="6" t="n">
        <v>459138.1257342771</v>
      </c>
      <c r="AD46" s="6" t="n">
        <v>1391071.052069115</v>
      </c>
      <c r="AE46" s="6" t="n">
        <v>1047755.3147138</v>
      </c>
      <c r="AF46" s="6" t="n">
        <v>7951954.485231524</v>
      </c>
      <c r="AG46" s="6" t="n">
        <v>-138243.2028819311</v>
      </c>
      <c r="AH46" s="6" t="n">
        <v>108100.8887613213</v>
      </c>
      <c r="AI46" s="6" t="n">
        <v>1193642.686618315</v>
      </c>
      <c r="AJ46" s="6" t="n">
        <v>1307913.499580666</v>
      </c>
      <c r="AK46" s="6" t="n">
        <v>1353634.437087611</v>
      </c>
      <c r="AL46" s="6" t="n">
        <v>-334761.6965183399</v>
      </c>
      <c r="AM46" s="6" t="n">
        <v>120151.7156377342</v>
      </c>
      <c r="AN46" s="6" t="n">
        <v>307973.6959299957</v>
      </c>
      <c r="AO46" s="6" t="n">
        <v>1078753.960815864</v>
      </c>
      <c r="AP46" s="6" t="n">
        <v>1214262.90770915</v>
      </c>
      <c r="AQ46" s="6" t="n">
        <v>1243529.888849242</v>
      </c>
      <c r="AR46" s="6" t="n">
        <v>-38406.61060508527</v>
      </c>
    </row>
    <row r="47">
      <c r="A47" t="inlineStr">
        <is>
          <t>Agro</t>
        </is>
      </c>
      <c r="B47" s="8" t="n">
        <v>202508</v>
      </c>
      <c r="C47" s="8" t="n">
        <v>2025</v>
      </c>
      <c r="D47" s="9" t="n">
        <v>637148.6443837365</v>
      </c>
      <c r="E47" s="10" t="n">
        <v>0.1073261296434788</v>
      </c>
      <c r="F47" s="22">
        <f>D47*(1-E47)</f>
        <v/>
      </c>
      <c r="G47" s="10" t="n">
        <v>1.32122</v>
      </c>
      <c r="H47" s="10" t="n">
        <v>0.02138808558601582</v>
      </c>
      <c r="I47" s="10" t="n">
        <v>0.1698889232794832</v>
      </c>
      <c r="J47" s="10" t="n">
        <v>0.1382357415054407</v>
      </c>
      <c r="K47" s="9" t="n">
        <v>8159991.569809501</v>
      </c>
      <c r="L47" s="18" t="n">
        <v>6176103.578366586</v>
      </c>
      <c r="M47" s="18" t="n">
        <v>5685953.078603338</v>
      </c>
      <c r="N47" s="23">
        <f>IF(L47=0,"",M47/L47)</f>
        <v/>
      </c>
      <c r="O47" s="9" t="n">
        <v>9720810.349650349</v>
      </c>
      <c r="P47" s="22">
        <f>M47*G47*(1+H47+I47)</f>
        <v/>
      </c>
      <c r="Q47" s="9" t="n">
        <v>8592807.864319589</v>
      </c>
      <c r="R47" s="22">
        <f>P47-M47*G47*J47</f>
        <v/>
      </c>
      <c r="S47" s="22">
        <f>IF(A47=A46,O47-O46,"")</f>
        <v/>
      </c>
      <c r="T47" s="22">
        <f>IF(A47=A46,P47-P46,"")</f>
        <v/>
      </c>
      <c r="U47" s="22">
        <f>IF(A47=A46,Q47-Q46,"")</f>
        <v/>
      </c>
      <c r="V47" s="22">
        <f>IF(A47=A46,R47-R46,"")</f>
        <v/>
      </c>
      <c r="W47" s="22">
        <f>IF(S47="","",D47-S47)</f>
        <v/>
      </c>
      <c r="X47" s="22">
        <f>IF(T47="","",D47-T47)</f>
        <v/>
      </c>
      <c r="Y47" s="22">
        <f>IF(U47="","",F47-U47)</f>
        <v/>
      </c>
      <c r="Z47" s="22">
        <f>IF(V47="","",F47-V47)</f>
        <v/>
      </c>
      <c r="AA47" s="9" t="n">
        <v>6816635.845171025</v>
      </c>
      <c r="AB47" s="9" t="n">
        <v>5865806.258417605</v>
      </c>
      <c r="AC47" s="9" t="n">
        <v>835236.1166516752</v>
      </c>
      <c r="AD47" s="9" t="n">
        <v>1368678.731459152</v>
      </c>
      <c r="AE47" s="9" t="n">
        <v>1034191.908388293</v>
      </c>
      <c r="AF47" s="9" t="n">
        <v>7351712.285557183</v>
      </c>
      <c r="AG47" s="9" t="n">
        <v>933965.0032753764</v>
      </c>
      <c r="AH47" s="9" t="n">
        <v>966338.7390942393</v>
      </c>
      <c r="AI47" s="9" t="n">
        <v>5099.986283947132</v>
      </c>
      <c r="AJ47" s="9" t="n">
        <v>550920.1720656579</v>
      </c>
      <c r="AK47" s="9" t="n">
        <v>567003.3896445843</v>
      </c>
      <c r="AL47" s="9" t="n">
        <v>887504.0401286358</v>
      </c>
      <c r="AM47" s="9" t="n">
        <v>768648.7095863562</v>
      </c>
      <c r="AN47" s="9" t="n">
        <v>805564.3229650551</v>
      </c>
      <c r="AO47" s="9" t="n">
        <v>6191.623154983739</v>
      </c>
      <c r="AP47" s="9" t="n">
        <v>480822.6491909622</v>
      </c>
      <c r="AQ47" s="9" t="n">
        <v>497932.2526876273</v>
      </c>
      <c r="AR47" s="9" t="n">
        <v>723069.1774392895</v>
      </c>
    </row>
    <row r="48">
      <c r="A48" s="4" t="inlineStr">
        <is>
          <t>Agro</t>
        </is>
      </c>
      <c r="B48" s="5" t="n">
        <v>202509</v>
      </c>
      <c r="C48" s="5" t="n">
        <v>2025</v>
      </c>
      <c r="D48" s="6" t="n">
        <v>606439.2721977374</v>
      </c>
      <c r="E48" s="11" t="n">
        <v>0.1073261296434788</v>
      </c>
      <c r="F48" s="22">
        <f>D48*(1-E48)</f>
        <v/>
      </c>
      <c r="G48" s="11" t="n">
        <v>1.250259562</v>
      </c>
      <c r="H48" s="11" t="n">
        <v>0.02260200814435265</v>
      </c>
      <c r="I48" s="11" t="n">
        <v>0.1579618660328106</v>
      </c>
      <c r="J48" s="11" t="n">
        <v>0.1348721690112503</v>
      </c>
      <c r="K48" s="6" t="n">
        <v>7072119.416097452</v>
      </c>
      <c r="L48" s="18" t="n">
        <v>5656520.958563523</v>
      </c>
      <c r="M48" s="18" t="n">
        <v>5235809.236676561</v>
      </c>
      <c r="N48" s="23">
        <f>IF(L48=0,"",M48/L48)</f>
        <v/>
      </c>
      <c r="O48" s="6" t="n">
        <v>8349088.696511546</v>
      </c>
      <c r="P48" s="22">
        <f>M48*G48*(1+H48+I48)</f>
        <v/>
      </c>
      <c r="Q48" s="6" t="n">
        <v>7395256.611355906</v>
      </c>
      <c r="R48" s="22">
        <f>P48-M48*G48*J48</f>
        <v/>
      </c>
      <c r="S48" s="22">
        <f>IF(A48=A47,O48-O47,"")</f>
        <v/>
      </c>
      <c r="T48" s="22">
        <f>IF(A48=A47,P48-P47,"")</f>
        <v/>
      </c>
      <c r="U48" s="22">
        <f>IF(A48=A47,Q48-Q47,"")</f>
        <v/>
      </c>
      <c r="V48" s="22">
        <f>IF(A48=A47,R48-R47,"")</f>
        <v/>
      </c>
      <c r="W48" s="22">
        <f>IF(S48="","",D48-S48)</f>
        <v/>
      </c>
      <c r="X48" s="22">
        <f>IF(T48="","",D48-T48)</f>
        <v/>
      </c>
      <c r="Y48" s="22">
        <f>IF(U48="","",F48-U48)</f>
        <v/>
      </c>
      <c r="Z48" s="22">
        <f>IF(V48="","",F48-V48)</f>
        <v/>
      </c>
      <c r="AA48" s="6" t="n">
        <v>6279854.205352003</v>
      </c>
      <c r="AB48" s="6" t="n">
        <v>5414692.826338902</v>
      </c>
      <c r="AC48" s="6" t="n">
        <v>958688.7408517989</v>
      </c>
      <c r="AD48" s="6" t="n">
        <v>1337916.349426806</v>
      </c>
      <c r="AE48" s="6" t="n">
        <v>1008434.308635649</v>
      </c>
      <c r="AF48" s="6" t="n">
        <v>6791801.673528501</v>
      </c>
      <c r="AG48" s="6" t="n">
        <v>2066272.748378835</v>
      </c>
      <c r="AH48" s="6" t="n">
        <v>1846712.917986689</v>
      </c>
      <c r="AI48" s="6" t="n">
        <v>506014.5903986038</v>
      </c>
      <c r="AJ48" s="6" t="n">
        <v>785876.5062535384</v>
      </c>
      <c r="AK48" s="6" t="n">
        <v>745733.8534162894</v>
      </c>
      <c r="AL48" s="6" t="n">
        <v>2152810.197224879</v>
      </c>
      <c r="AM48" s="6" t="n">
        <v>1815138.571468414</v>
      </c>
      <c r="AN48" s="6" t="n">
        <v>1623350.064762492</v>
      </c>
      <c r="AO48" s="6" t="n">
        <v>450039.5299432392</v>
      </c>
      <c r="AP48" s="6" t="n">
        <v>696420.9177690996</v>
      </c>
      <c r="AQ48" s="6" t="n">
        <v>661809.8989580448</v>
      </c>
      <c r="AR48" s="6" t="n">
        <v>1890277.006050184</v>
      </c>
    </row>
    <row r="49">
      <c r="A49" t="inlineStr">
        <is>
          <t>Agro</t>
        </is>
      </c>
      <c r="B49" s="8" t="n">
        <v>202510</v>
      </c>
      <c r="C49" s="8" t="n">
        <v>2025</v>
      </c>
      <c r="D49" s="9" t="n">
        <v>352159.2968566277</v>
      </c>
      <c r="E49" s="10" t="n">
        <v>0.1073261296434788</v>
      </c>
      <c r="F49" s="22">
        <f>D49*(1-E49)</f>
        <v/>
      </c>
      <c r="G49" s="10" t="n">
        <v>1.237934</v>
      </c>
      <c r="H49" s="10" t="n">
        <v>0.02282705482704915</v>
      </c>
      <c r="I49" s="10" t="n">
        <v>0.1421069789200896</v>
      </c>
      <c r="J49" s="10" t="n">
        <v>0.12887734572811</v>
      </c>
      <c r="K49" s="9" t="n">
        <v>6105718.29210532</v>
      </c>
      <c r="L49" s="18" t="n">
        <v>4932184.019588539</v>
      </c>
      <c r="M49" s="18" t="n">
        <v>4575087.95707933</v>
      </c>
      <c r="N49" s="23">
        <f>IF(L49=0,"",M49/L49)</f>
        <v/>
      </c>
      <c r="O49" s="9" t="n">
        <v>7112759.038945941</v>
      </c>
      <c r="P49" s="22">
        <f>M49*G49*(1+H49+I49)</f>
        <v/>
      </c>
      <c r="Q49" s="9" t="n">
        <v>6325870.271695839</v>
      </c>
      <c r="R49" s="22">
        <f>P49-M49*G49*J49</f>
        <v/>
      </c>
      <c r="S49" s="22">
        <f>IF(A49=A48,O49-O48,"")</f>
        <v/>
      </c>
      <c r="T49" s="22">
        <f>IF(A49=A48,P49-P48,"")</f>
        <v/>
      </c>
      <c r="U49" s="22">
        <f>IF(A49=A48,Q49-Q48,"")</f>
        <v/>
      </c>
      <c r="V49" s="22">
        <f>IF(A49=A48,R49-R48,"")</f>
        <v/>
      </c>
      <c r="W49" s="22">
        <f>IF(S49="","",D49-S49)</f>
        <v/>
      </c>
      <c r="X49" s="22">
        <f>IF(T49="","",D49-T49)</f>
        <v/>
      </c>
      <c r="Y49" s="22">
        <f>IF(U49="","",F49-U49)</f>
        <v/>
      </c>
      <c r="Z49" s="22">
        <f>IF(V49="","",F49-V49)</f>
        <v/>
      </c>
      <c r="AA49" s="9" t="n">
        <v>5545410.622536748</v>
      </c>
      <c r="AB49" s="9" t="n">
        <v>4749835.660388717</v>
      </c>
      <c r="AC49" s="9" t="n">
        <v>884650.5584565796</v>
      </c>
      <c r="AD49" s="9" t="n">
        <v>1176621.304540784</v>
      </c>
      <c r="AE49" s="9" t="n">
        <v>854893.0693625206</v>
      </c>
      <c r="AF49" s="9" t="n">
        <v>6047507.269235373</v>
      </c>
      <c r="AG49" s="9" t="n">
        <v>1624194.74863393</v>
      </c>
      <c r="AH49" s="9" t="n">
        <v>1494514.561663803</v>
      </c>
      <c r="AI49" s="9" t="n">
        <v>491429.9869778992</v>
      </c>
      <c r="AJ49" s="9" t="n">
        <v>630119.8565320114</v>
      </c>
      <c r="AK49" s="9" t="n">
        <v>607768.6214611561</v>
      </c>
      <c r="AL49" s="9" t="n">
        <v>1655755.66018493</v>
      </c>
      <c r="AM49" s="9" t="n">
        <v>1412181.014054947</v>
      </c>
      <c r="AN49" s="9" t="n">
        <v>1301461.513398017</v>
      </c>
      <c r="AO49" s="9" t="n">
        <v>433113.6018880143</v>
      </c>
      <c r="AP49" s="9" t="n">
        <v>554437.626941948</v>
      </c>
      <c r="AQ49" s="9" t="n">
        <v>536316.3202581487</v>
      </c>
      <c r="AR49" s="9" t="n">
        <v>1437519.998214829</v>
      </c>
    </row>
    <row r="50">
      <c r="A50" s="4" t="inlineStr">
        <is>
          <t>Agro</t>
        </is>
      </c>
      <c r="B50" s="5" t="n">
        <v>202511</v>
      </c>
      <c r="C50" s="5" t="n">
        <v>2025</v>
      </c>
      <c r="D50" s="6" t="n">
        <v>1117642.419751914</v>
      </c>
      <c r="E50" s="11" t="n">
        <v>0.1073261296434788</v>
      </c>
      <c r="F50" s="22">
        <f>D50*(1-E50)</f>
        <v/>
      </c>
      <c r="G50" s="11" t="n">
        <v>1.0925536</v>
      </c>
      <c r="H50" s="11" t="n">
        <v>0.02586446544452533</v>
      </c>
      <c r="I50" s="11" t="n">
        <v>0.1143574896469437</v>
      </c>
      <c r="J50" s="11" t="n">
        <v>0.1049932224657693</v>
      </c>
      <c r="K50" s="6" t="n">
        <v>5502030.12085071</v>
      </c>
      <c r="L50" s="18" t="n">
        <v>5035936.104966118</v>
      </c>
      <c r="M50" s="18" t="n">
        <v>4646521.887885259</v>
      </c>
      <c r="N50" s="23">
        <f>IF(L50=0,"",M50/L50)</f>
        <v/>
      </c>
      <c r="O50" s="6" t="n">
        <v>6273535.541368548</v>
      </c>
      <c r="P50" s="22">
        <f>M50*G50*(1+H50+I50)</f>
        <v/>
      </c>
      <c r="Q50" s="6" t="n">
        <v>5695859.668876706</v>
      </c>
      <c r="R50" s="22">
        <f>P50-M50*G50*J50</f>
        <v/>
      </c>
      <c r="S50" s="22">
        <f>IF(A50=A49,O50-O49,"")</f>
        <v/>
      </c>
      <c r="T50" s="22">
        <f>IF(A50=A49,P50-P49,"")</f>
        <v/>
      </c>
      <c r="U50" s="22">
        <f>IF(A50=A49,Q50-Q49,"")</f>
        <v/>
      </c>
      <c r="V50" s="22">
        <f>IF(A50=A49,R50-R49,"")</f>
        <v/>
      </c>
      <c r="W50" s="22">
        <f>IF(S50="","",D50-S50)</f>
        <v/>
      </c>
      <c r="X50" s="22">
        <f>IF(T50="","",D50-T50)</f>
        <v/>
      </c>
      <c r="Y50" s="22">
        <f>IF(U50="","",F50-U50)</f>
        <v/>
      </c>
      <c r="Z50" s="22">
        <f>IF(V50="","",F50-V50)</f>
        <v/>
      </c>
      <c r="AA50" s="6" t="n">
        <v>5629839.893419218</v>
      </c>
      <c r="AB50" s="6" t="n">
        <v>4824547.647467853</v>
      </c>
      <c r="AC50" s="6" t="n">
        <v>1185261.983232017</v>
      </c>
      <c r="AD50" s="6" t="n">
        <v>1028359.566530199</v>
      </c>
      <c r="AE50" s="6" t="n">
        <v>705263.3984053445</v>
      </c>
      <c r="AF50" s="6" t="n">
        <v>6087222.804327441</v>
      </c>
      <c r="AG50" s="6" t="n">
        <v>2101349.238132023</v>
      </c>
      <c r="AH50" s="6" t="n">
        <v>1957237.193293669</v>
      </c>
      <c r="AI50" s="6" t="n">
        <v>916862.7329707015</v>
      </c>
      <c r="AJ50" s="6" t="n">
        <v>1533378.839161372</v>
      </c>
      <c r="AK50" s="6" t="n">
        <v>1471909.083203631</v>
      </c>
      <c r="AL50" s="6" t="n">
        <v>2255642.151723825</v>
      </c>
      <c r="AM50" s="6" t="n">
        <v>1742476.0583124</v>
      </c>
      <c r="AN50" s="6" t="n">
        <v>1632915.698222681</v>
      </c>
      <c r="AO50" s="6" t="n">
        <v>791734.1488937751</v>
      </c>
      <c r="AP50" s="6" t="n">
        <v>1343670.371366617</v>
      </c>
      <c r="AQ50" s="6" t="n">
        <v>1296467.073189164</v>
      </c>
      <c r="AR50" s="6" t="n">
        <v>1869130.369861835</v>
      </c>
    </row>
    <row r="51">
      <c r="A51" t="inlineStr">
        <is>
          <t>Agro</t>
        </is>
      </c>
      <c r="B51" s="8" t="n">
        <v>202512</v>
      </c>
      <c r="C51" s="8" t="n">
        <v>2025</v>
      </c>
      <c r="D51" s="9" t="n">
        <v>-570506.0561427032</v>
      </c>
      <c r="E51" s="10" t="n">
        <v>0.1073261296434788</v>
      </c>
      <c r="F51" s="22">
        <f>D51*(1-E51)</f>
        <v/>
      </c>
      <c r="G51" s="10" t="n">
        <v>0.9623249999999999</v>
      </c>
      <c r="H51" s="10" t="n">
        <v>0.02936463337650548</v>
      </c>
      <c r="I51" s="10" t="n">
        <v>0.161974045098852</v>
      </c>
      <c r="J51" s="10" t="n">
        <v>0.1208748687396834</v>
      </c>
      <c r="K51" s="9" t="n">
        <v>4266782.937583297</v>
      </c>
      <c r="L51" s="18" t="n">
        <v>4433827.384286283</v>
      </c>
      <c r="M51" s="18" t="n">
        <v>3199646.211971062</v>
      </c>
      <c r="N51" s="23">
        <f>IF(L51=0,"",M51/L51)</f>
        <v/>
      </c>
      <c r="O51" s="9" t="n">
        <v>5083183.546201688</v>
      </c>
      <c r="P51" s="22">
        <f>M51*G51*(1+H51+I51)</f>
        <v/>
      </c>
      <c r="Q51" s="9" t="n">
        <v>4567436.718680587</v>
      </c>
      <c r="R51" s="22">
        <f>P51-M51*G51*J51</f>
        <v/>
      </c>
      <c r="S51" s="22">
        <f>IF(A51=A50,O51-O50,"")</f>
        <v/>
      </c>
      <c r="T51" s="22">
        <f>IF(A51=A50,P51-P50,"")</f>
        <v/>
      </c>
      <c r="U51" s="22">
        <f>IF(A51=A50,Q51-Q50,"")</f>
        <v/>
      </c>
      <c r="V51" s="22">
        <f>IF(A51=A50,R51-R50,"")</f>
        <v/>
      </c>
      <c r="W51" s="22">
        <f>IF(S51="","",D51-S51)</f>
        <v/>
      </c>
      <c r="X51" s="22">
        <f>IF(T51="","",D51-T51)</f>
        <v/>
      </c>
      <c r="Y51" s="22">
        <f>IF(U51="","",F51-U51)</f>
        <v/>
      </c>
      <c r="Z51" s="22">
        <f>IF(V51="","",F51-V51)</f>
        <v/>
      </c>
      <c r="AA51" s="9" t="n">
        <v>4078051.286709527</v>
      </c>
      <c r="AB51" s="9" t="n">
        <v>3369963.388827791</v>
      </c>
      <c r="AC51" s="9" t="n">
        <v>341384.8876961573</v>
      </c>
      <c r="AD51" s="9" t="n">
        <v>892307.3687463159</v>
      </c>
      <c r="AE51" s="9" t="n">
        <v>581790.1886678999</v>
      </c>
      <c r="AF51" s="9" t="n">
        <v>4570421.804806577</v>
      </c>
      <c r="AG51" s="9" t="n">
        <v>1767585.006361263</v>
      </c>
      <c r="AH51" s="9" t="n">
        <v>1576180.196988407</v>
      </c>
      <c r="AI51" s="9" t="n">
        <v>514655.9192910031</v>
      </c>
      <c r="AJ51" s="9" t="n">
        <v>-312413.661028477</v>
      </c>
      <c r="AK51" s="9" t="n">
        <v>-358917.904458497</v>
      </c>
      <c r="AL51" s="9" t="n">
        <v>1772890.775788173</v>
      </c>
      <c r="AM51" s="9" t="n">
        <v>1657374.836525203</v>
      </c>
      <c r="AN51" s="9" t="n">
        <v>1475980.2557893</v>
      </c>
      <c r="AO51" s="9" t="n">
        <v>479634.0671147245</v>
      </c>
      <c r="AP51" s="9" t="n">
        <v>-265353.3202497337</v>
      </c>
      <c r="AQ51" s="9" t="n">
        <v>-310914.6089322041</v>
      </c>
      <c r="AR51" s="9" t="n">
        <v>1667486.867238373</v>
      </c>
    </row>
    <row r="52">
      <c r="A52" s="4" t="inlineStr">
        <is>
          <t>Agro</t>
        </is>
      </c>
      <c r="B52" s="5" t="n">
        <v>202601</v>
      </c>
      <c r="C52" s="5" t="n">
        <v>2026</v>
      </c>
      <c r="D52" s="6" t="n">
        <v>229020.660659537</v>
      </c>
      <c r="E52" s="11" t="n">
        <v>0.1073261296434788</v>
      </c>
      <c r="F52" s="22">
        <f>D52*(1-E52)</f>
        <v/>
      </c>
      <c r="G52" s="11" t="n">
        <v>0.96715</v>
      </c>
      <c r="H52" s="11" t="n">
        <v>0.02921815821920167</v>
      </c>
      <c r="I52" s="11" t="n">
        <v>0.1691381440809077</v>
      </c>
      <c r="J52" s="11" t="n">
        <v>0.1151745795466911</v>
      </c>
      <c r="K52" s="6" t="n">
        <v>3588357.717234688</v>
      </c>
      <c r="L52" s="18" t="n">
        <v>3710239.070707427</v>
      </c>
      <c r="M52" s="18" t="n">
        <v>2596035.581184504</v>
      </c>
      <c r="N52" s="23">
        <f>IF(L52=0,"",M52/L52)</f>
        <v/>
      </c>
      <c r="O52" s="6" t="n">
        <v>4300131.085355422</v>
      </c>
      <c r="P52" s="22">
        <f>M52*G52*(1+H52+I52)</f>
        <v/>
      </c>
      <c r="Q52" s="6" t="n">
        <v>3886843.494009793</v>
      </c>
      <c r="R52" s="22">
        <f>P52-M52*G52*J52</f>
        <v/>
      </c>
      <c r="S52" s="22">
        <f>IF(A52=A51,O52-O51,"")</f>
        <v/>
      </c>
      <c r="T52" s="22">
        <f>IF(A52=A51,P52-P51,"")</f>
        <v/>
      </c>
      <c r="U52" s="22">
        <f>IF(A52=A51,Q52-Q51,"")</f>
        <v/>
      </c>
      <c r="V52" s="22">
        <f>IF(A52=A51,R52-R51,"")</f>
        <v/>
      </c>
      <c r="W52" s="22">
        <f>IF(S52="","",D52-S52)</f>
        <v/>
      </c>
      <c r="X52" s="22">
        <f>IF(T52="","",D52-T52)</f>
        <v/>
      </c>
      <c r="Y52" s="22">
        <f>IF(U52="","",F52-U52)</f>
        <v/>
      </c>
      <c r="Z52" s="22">
        <f>IF(V52="","",F52-V52)</f>
        <v/>
      </c>
      <c r="AA52" s="6" t="n">
        <v>3386741.392915599</v>
      </c>
      <c r="AB52" s="6" t="n">
        <v>2689203.174322368</v>
      </c>
      <c r="AC52" s="6" t="n">
        <v>385488.5535432732</v>
      </c>
      <c r="AD52" s="6" t="n">
        <v>800370.0499173072</v>
      </c>
      <c r="AE52" s="6" t="n">
        <v>517027.408342618</v>
      </c>
      <c r="AF52" s="6" t="n">
        <v>3881214.186812249</v>
      </c>
      <c r="AG52" s="6" t="n">
        <v>979122.5076888443</v>
      </c>
      <c r="AH52" s="6" t="n">
        <v>975771.6288116279</v>
      </c>
      <c r="AI52" s="6" t="n">
        <v>173625.5764964184</v>
      </c>
      <c r="AJ52" s="6" t="n">
        <v>324389.7770514956</v>
      </c>
      <c r="AK52" s="6" t="n">
        <v>296787.1778306031</v>
      </c>
      <c r="AL52" s="6" t="n">
        <v>970513.9763060559</v>
      </c>
      <c r="AM52" s="6" t="n">
        <v>857432.8086999668</v>
      </c>
      <c r="AN52" s="6" t="n">
        <v>858747.8113901698</v>
      </c>
      <c r="AO52" s="6" t="n">
        <v>152275.4671829526</v>
      </c>
      <c r="AP52" s="6" t="n">
        <v>285169.9684856038</v>
      </c>
      <c r="AQ52" s="6" t="n">
        <v>262125.1626253453</v>
      </c>
      <c r="AR52" s="6" t="n">
        <v>846631.15731651</v>
      </c>
    </row>
    <row r="53">
      <c r="A53" t="inlineStr">
        <is>
          <t>Agro</t>
        </is>
      </c>
      <c r="B53" s="8" t="n">
        <v>202602</v>
      </c>
      <c r="C53" s="8" t="n">
        <v>2026</v>
      </c>
      <c r="D53" s="9" t="n">
        <v>2681012.610724921</v>
      </c>
      <c r="E53" s="10" t="n">
        <v>0.1073261296434788</v>
      </c>
      <c r="F53" s="22">
        <f>D53*(1-E53)</f>
        <v/>
      </c>
      <c r="G53" s="10" t="n">
        <v>0.971034</v>
      </c>
      <c r="H53" s="10" t="n">
        <v>0.02921815821920166</v>
      </c>
      <c r="I53" s="10" t="n">
        <v>0.1691381440809077</v>
      </c>
      <c r="J53" s="10" t="n">
        <v>0.1151745795466911</v>
      </c>
      <c r="K53" s="9" t="n">
        <v>3627569.39321487</v>
      </c>
      <c r="L53" s="18" t="n">
        <v>3735779.996596278</v>
      </c>
      <c r="M53" s="18" t="n">
        <v>3896889.690844572</v>
      </c>
      <c r="N53" s="23">
        <f>IF(L53=0,"",M53/L53)</f>
        <v/>
      </c>
      <c r="O53" s="9" t="n">
        <v>4347120.644390023</v>
      </c>
      <c r="P53" s="22">
        <f>M53*G53*(1+H53+I53)</f>
        <v/>
      </c>
      <c r="Q53" s="9" t="n">
        <v>3929316.864750056</v>
      </c>
      <c r="R53" s="22">
        <f>P53-M53*G53*J53</f>
        <v/>
      </c>
      <c r="S53" s="22">
        <f>IF(A53=A52,O53-O52,"")</f>
        <v/>
      </c>
      <c r="T53" s="22">
        <f>IF(A53=A52,P53-P52,"")</f>
        <v/>
      </c>
      <c r="U53" s="22">
        <f>IF(A53=A52,Q53-Q52,"")</f>
        <v/>
      </c>
      <c r="V53" s="22">
        <f>IF(A53=A52,R53-R52,"")</f>
        <v/>
      </c>
      <c r="W53" s="22">
        <f>IF(S53="","",D53-S53)</f>
        <v/>
      </c>
      <c r="X53" s="22">
        <f>IF(T53="","",D53-T53)</f>
        <v/>
      </c>
      <c r="Y53" s="22">
        <f>IF(U53="","",F53-U53)</f>
        <v/>
      </c>
      <c r="Z53" s="22">
        <f>IF(V53="","",F53-V53)</f>
        <v/>
      </c>
      <c r="AA53" s="9" t="n">
        <v>4803024.613710416</v>
      </c>
      <c r="AB53" s="9" t="n">
        <v>4050877.232274104</v>
      </c>
      <c r="AC53" s="9" t="n">
        <v>376528.7013926528</v>
      </c>
      <c r="AD53" s="9" t="n">
        <v>825885.6339450035</v>
      </c>
      <c r="AE53" s="9" t="n">
        <v>504705.1021974373</v>
      </c>
      <c r="AF53" s="9" t="n">
        <v>5614433.977417346</v>
      </c>
      <c r="AG53" s="9" t="n">
        <v>1017198.824904798</v>
      </c>
      <c r="AH53" s="9" t="n">
        <v>1083991.121524099</v>
      </c>
      <c r="AI53" s="9" t="n">
        <v>2689644.471270605</v>
      </c>
      <c r="AJ53" s="9" t="n">
        <v>2647596.281186742</v>
      </c>
      <c r="AK53" s="9" t="n">
        <v>2692944.936551889</v>
      </c>
      <c r="AL53" s="9" t="n">
        <v>646095.778860217</v>
      </c>
      <c r="AM53" s="9" t="n">
        <v>889366.0318566924</v>
      </c>
      <c r="AN53" s="9" t="n">
        <v>949738.8898955644</v>
      </c>
      <c r="AO53" s="9" t="n">
        <v>2401072.152118987</v>
      </c>
      <c r="AP53" s="9" t="n">
        <v>2363065.233069718</v>
      </c>
      <c r="AQ53" s="9" t="n">
        <v>2404055.408152612</v>
      </c>
      <c r="AR53" s="9" t="n">
        <v>553929.8715410409</v>
      </c>
    </row>
    <row r="54">
      <c r="A54" s="4" t="inlineStr">
        <is>
          <t>Agro</t>
        </is>
      </c>
      <c r="B54" s="5" t="n">
        <v>202603</v>
      </c>
      <c r="C54" s="5" t="n">
        <v>2026</v>
      </c>
      <c r="D54" s="6" t="n">
        <v>992985.1721400262</v>
      </c>
      <c r="E54" s="11" t="n">
        <v>0.1073261296434788</v>
      </c>
      <c r="F54" s="22">
        <f>D54*(1-E54)</f>
        <v/>
      </c>
      <c r="G54" s="11" t="n">
        <v>1.015655</v>
      </c>
      <c r="H54" s="11" t="n">
        <v>0.02583565447344689</v>
      </c>
      <c r="I54" s="11" t="n">
        <v>0.1379595766179895</v>
      </c>
      <c r="J54" s="11" t="n">
        <v>0.1688969028599081</v>
      </c>
      <c r="K54" s="6" t="n">
        <v>4864165.670118046</v>
      </c>
      <c r="L54" s="18" t="n">
        <v>4789190.886785421</v>
      </c>
      <c r="M54" s="18" t="n">
        <v>3971277.578403967</v>
      </c>
      <c r="N54" s="23">
        <f>IF(L54=0,"",M54/L54)</f>
        <v/>
      </c>
      <c r="O54" s="6" t="n">
        <v>5660892.810122062</v>
      </c>
      <c r="P54" s="22">
        <f>M54*G54*(1+H54+I54)</f>
        <v/>
      </c>
      <c r="Q54" s="6" t="n">
        <v>4839350.293441635</v>
      </c>
      <c r="R54" s="22">
        <f>P54-M54*G54*J54</f>
        <v/>
      </c>
      <c r="S54" s="22">
        <f>IF(A54=A53,O54-O53,"")</f>
        <v/>
      </c>
      <c r="T54" s="22">
        <f>IF(A54=A53,P54-P53,"")</f>
        <v/>
      </c>
      <c r="U54" s="22">
        <f>IF(A54=A53,Q54-Q53,"")</f>
        <v/>
      </c>
      <c r="V54" s="22">
        <f>IF(A54=A53,R54-R53,"")</f>
        <v/>
      </c>
      <c r="W54" s="22">
        <f>IF(S54="","",D54-S54)</f>
        <v/>
      </c>
      <c r="X54" s="22">
        <f>IF(T54="","",D54-T54)</f>
        <v/>
      </c>
      <c r="Y54" s="22">
        <f>IF(U54="","",F54-U54)</f>
        <v/>
      </c>
      <c r="Z54" s="22">
        <f>IF(V54="","",F54-V54)</f>
        <v/>
      </c>
      <c r="AA54" s="6" t="n">
        <v>4812251.723310685</v>
      </c>
      <c r="AB54" s="6" t="n">
        <v>4163890.084195396</v>
      </c>
      <c r="AC54" s="6" t="n">
        <v>848641.7503827043</v>
      </c>
      <c r="AD54" s="6" t="n">
        <v>1212867.870170157</v>
      </c>
      <c r="AE54" s="6" t="n">
        <v>902928.4433973576</v>
      </c>
      <c r="AF54" s="6" t="n">
        <v>5611909.205359981</v>
      </c>
      <c r="AG54" s="6" t="n">
        <v>893848.3213851412</v>
      </c>
      <c r="AH54" s="6" t="n">
        <v>784988.820392478</v>
      </c>
      <c r="AI54" s="6" t="n">
        <v>428023.9971013163</v>
      </c>
      <c r="AJ54" s="6" t="n">
        <v>520395.2812135915</v>
      </c>
      <c r="AK54" s="6" t="n">
        <v>513008.1329740199</v>
      </c>
      <c r="AL54" s="6" t="n">
        <v>892833.8428851559</v>
      </c>
      <c r="AM54" s="6" t="n">
        <v>1075610.7164335</v>
      </c>
      <c r="AN54" s="6" t="n">
        <v>939649.6062415738</v>
      </c>
      <c r="AO54" s="6" t="n">
        <v>424917.2027784078</v>
      </c>
      <c r="AP54" s="6" t="n">
        <v>529512.8187831537</v>
      </c>
      <c r="AQ54" s="6" t="n">
        <v>504878.6836101215</v>
      </c>
      <c r="AR54" s="6" t="n">
        <v>1121023.517671359</v>
      </c>
    </row>
    <row r="55">
      <c r="A55" t="inlineStr">
        <is>
          <t>Agro</t>
        </is>
      </c>
      <c r="B55" s="8" t="n">
        <v>202604</v>
      </c>
      <c r="C55" s="8" t="n">
        <v>2026</v>
      </c>
      <c r="D55" s="9" t="n">
        <v>1496954.136099308</v>
      </c>
      <c r="E55" s="10" t="n">
        <v>0.1073261296434788</v>
      </c>
      <c r="F55" s="22">
        <f>D55*(1-E55)</f>
        <v/>
      </c>
      <c r="G55" s="10" t="n">
        <v>1.040524</v>
      </c>
      <c r="H55" s="10" t="n">
        <v>0.02521804481854597</v>
      </c>
      <c r="I55" s="10" t="n">
        <v>0.1518273406362384</v>
      </c>
      <c r="J55" s="10" t="n">
        <v>0.141905273052564</v>
      </c>
      <c r="K55" s="9" t="n">
        <v>5196154.117054406</v>
      </c>
      <c r="L55" s="18" t="n">
        <v>4993785.935792356</v>
      </c>
      <c r="M55" s="18" t="n">
        <v>4551440.077905686</v>
      </c>
      <c r="N55" s="23">
        <f>IF(L55=0,"",M55/L55)</f>
        <v/>
      </c>
      <c r="O55" s="9" t="n">
        <v>6116109.225590767</v>
      </c>
      <c r="P55" s="22">
        <f>M55*G55*(1+H55+I55)</f>
        <v/>
      </c>
      <c r="Q55" s="9" t="n">
        <v>5378747.556786957</v>
      </c>
      <c r="R55" s="22">
        <f>P55-M55*G55*J55</f>
        <v/>
      </c>
      <c r="S55" s="22">
        <f>IF(A55=A54,O55-O54,"")</f>
        <v/>
      </c>
      <c r="T55" s="22">
        <f>IF(A55=A54,P55-P54,"")</f>
        <v/>
      </c>
      <c r="U55" s="22">
        <f>IF(A55=A54,Q55-Q54,"")</f>
        <v/>
      </c>
      <c r="V55" s="22">
        <f>IF(A55=A54,R55-R54,"")</f>
        <v/>
      </c>
      <c r="W55" s="22">
        <f>IF(S55="","",D55-S55)</f>
        <v/>
      </c>
      <c r="X55" s="22">
        <f>IF(T55="","",D55-T55)</f>
        <v/>
      </c>
      <c r="Y55" s="22">
        <f>IF(U55="","",F55-U55)</f>
        <v/>
      </c>
      <c r="Z55" s="22">
        <f>IF(V55="","",F55-V55)</f>
        <v/>
      </c>
      <c r="AA55" s="9" t="n">
        <v>5372454.58287001</v>
      </c>
      <c r="AB55" s="9" t="n">
        <v>4743722.700718408</v>
      </c>
      <c r="AC55" s="9" t="n">
        <v>927427.6214913924</v>
      </c>
      <c r="AD55" s="9" t="n">
        <v>1317247.840583362</v>
      </c>
      <c r="AE55" s="9" t="n">
        <v>1004247.752460544</v>
      </c>
      <c r="AF55" s="9" t="n">
        <v>6126137.1501555</v>
      </c>
      <c r="AG55" s="9" t="n">
        <v>605223.8193855002</v>
      </c>
      <c r="AH55" s="9" t="n">
        <v>608886.5791670303</v>
      </c>
      <c r="AI55" s="9" t="n">
        <v>1364199.554554903</v>
      </c>
      <c r="AJ55" s="9" t="n">
        <v>1317290.125796187</v>
      </c>
      <c r="AK55" s="9" t="n">
        <v>1334282.217510041</v>
      </c>
      <c r="AL55" s="9" t="n">
        <v>627362.3329892713</v>
      </c>
      <c r="AM55" s="9" t="n">
        <v>412337.4372921865</v>
      </c>
      <c r="AN55" s="9" t="n">
        <v>434384.8548901388</v>
      </c>
      <c r="AO55" s="9" t="n">
        <v>1194900.526714816</v>
      </c>
      <c r="AP55" s="9" t="n">
        <v>1143070.623825394</v>
      </c>
      <c r="AQ55" s="9" t="n">
        <v>1167013.73808569</v>
      </c>
      <c r="AR55" s="9" t="n">
        <v>408587.5539906863</v>
      </c>
    </row>
    <row r="56">
      <c r="A56" s="4" t="inlineStr">
        <is>
          <t>Agro</t>
        </is>
      </c>
      <c r="B56" s="5" t="n">
        <v>202605</v>
      </c>
      <c r="C56" s="5" t="n">
        <v>2026</v>
      </c>
      <c r="D56" s="6" t="n">
        <v>1719541.873516058</v>
      </c>
      <c r="E56" s="11" t="n">
        <v>0.1073261296434788</v>
      </c>
      <c r="F56" s="22">
        <f>D56*(1-E56)</f>
        <v/>
      </c>
      <c r="G56" s="11" t="n">
        <v>1.066428</v>
      </c>
      <c r="H56" s="11" t="n">
        <v>0.02460539758494771</v>
      </c>
      <c r="I56" s="11" t="n">
        <v>0.155258114673984</v>
      </c>
      <c r="J56" s="11" t="n">
        <v>0.1078813114177442</v>
      </c>
      <c r="K56" s="6" t="n">
        <v>5927554.624252455</v>
      </c>
      <c r="L56" s="18" t="n">
        <v>5558326.135709542</v>
      </c>
      <c r="M56" s="18" t="n">
        <v>5297171.465839807</v>
      </c>
      <c r="N56" s="23">
        <f>IF(L56=0,"",M56/L56)</f>
        <v/>
      </c>
      <c r="O56" s="6" t="n">
        <v>6993705.418077174</v>
      </c>
      <c r="P56" s="22">
        <f>M56*G56*(1+H56+I56)</f>
        <v/>
      </c>
      <c r="Q56" s="6" t="n">
        <v>6354233.051712505</v>
      </c>
      <c r="R56" s="22">
        <f>P56-M56*G56*J56</f>
        <v/>
      </c>
      <c r="S56" s="22">
        <f>IF(A56=A55,O56-O55,"")</f>
        <v/>
      </c>
      <c r="T56" s="22">
        <f>IF(A56=A55,P56-P55,"")</f>
        <v/>
      </c>
      <c r="U56" s="22">
        <f>IF(A56=A55,Q56-Q55,"")</f>
        <v/>
      </c>
      <c r="V56" s="22">
        <f>IF(A56=A55,R56-R55,"")</f>
        <v/>
      </c>
      <c r="W56" s="22">
        <f>IF(S56="","",D56-S56)</f>
        <v/>
      </c>
      <c r="X56" s="22">
        <f>IF(T56="","",D56-T56)</f>
        <v/>
      </c>
      <c r="Y56" s="22">
        <f>IF(U56="","",F56-U56)</f>
        <v/>
      </c>
      <c r="Z56" s="22">
        <f>IF(V56="","",F56-V56)</f>
        <v/>
      </c>
      <c r="AA56" s="6" t="n">
        <v>6168323.62289876</v>
      </c>
      <c r="AB56" s="6" t="n">
        <v>5498721.474490215</v>
      </c>
      <c r="AC56" s="6" t="n">
        <v>1309523.158139631</v>
      </c>
      <c r="AD56" s="6" t="n">
        <v>1551769.927576444</v>
      </c>
      <c r="AE56" s="6" t="n">
        <v>1228695.371859115</v>
      </c>
      <c r="AF56" s="6" t="n">
        <v>6837031.632331558</v>
      </c>
      <c r="AG56" s="6" t="n">
        <v>538194.8996418871</v>
      </c>
      <c r="AH56" s="6" t="n">
        <v>610679.1793652594</v>
      </c>
      <c r="AI56" s="6" t="n">
        <v>1207709.518065328</v>
      </c>
      <c r="AJ56" s="6" t="n">
        <v>1380335.031240395</v>
      </c>
      <c r="AK56" s="6" t="n">
        <v>1403495.222684288</v>
      </c>
      <c r="AL56" s="6" t="n">
        <v>619868.2593802956</v>
      </c>
      <c r="AM56" s="6" t="n">
        <v>270019.963229534</v>
      </c>
      <c r="AN56" s="6" t="n">
        <v>358304.0242220664</v>
      </c>
      <c r="AO56" s="6" t="n">
        <v>1036875.200862441</v>
      </c>
      <c r="AP56" s="6" t="n">
        <v>1179811.403055055</v>
      </c>
      <c r="AQ56" s="6" t="n">
        <v>1212018.917373601</v>
      </c>
      <c r="AR56" s="6" t="n">
        <v>317340.974445679</v>
      </c>
    </row>
    <row r="57">
      <c r="A57" t="inlineStr">
        <is>
          <t>Autos</t>
        </is>
      </c>
      <c r="B57" s="8" t="n">
        <v>202201</v>
      </c>
      <c r="C57" s="8" t="n">
        <v>2022</v>
      </c>
      <c r="D57" s="9" t="n">
        <v>1458597.536155123</v>
      </c>
      <c r="E57" s="10" t="n">
        <v>0.09935868712967919</v>
      </c>
      <c r="F57" s="22">
        <f>D57*(1-E57)</f>
        <v/>
      </c>
      <c r="G57" s="10" t="n">
        <v>0.9767337331305268</v>
      </c>
      <c r="H57" s="10" t="n">
        <v>0.0390032185539503</v>
      </c>
      <c r="I57" s="10" t="n">
        <v>0.1644630645885574</v>
      </c>
      <c r="J57" s="10" t="n">
        <v>0.06275421918424035</v>
      </c>
      <c r="K57" s="9" t="n">
        <v>5713933.638798065</v>
      </c>
      <c r="L57" s="18" t="n">
        <v>5850042.283769959</v>
      </c>
      <c r="M57" s="18" t="n">
        <v>3673732.224633275</v>
      </c>
      <c r="N57" s="23">
        <f>IF(L57=0,"",M57/L57)</f>
        <v/>
      </c>
      <c r="O57" s="9" t="n">
        <v>6876526.478407251</v>
      </c>
      <c r="P57" s="22">
        <f>M57*G57*(1+H57+I57)</f>
        <v/>
      </c>
      <c r="Q57" s="9" t="n">
        <v>6517953.034433912</v>
      </c>
      <c r="R57" s="22">
        <f>P57-M57*G57*J57</f>
        <v/>
      </c>
      <c r="S57" s="22">
        <f>IF(A57=A56,O57-O56,"")</f>
        <v/>
      </c>
      <c r="T57" s="22">
        <f>IF(A57=A56,P57-P56,"")</f>
        <v/>
      </c>
      <c r="U57" s="22">
        <f>IF(A57=A56,Q57-Q56,"")</f>
        <v/>
      </c>
      <c r="V57" s="22">
        <f>IF(A57=A56,R57-R56,"")</f>
        <v/>
      </c>
      <c r="W57" s="22">
        <f>IF(S57="","",D57-S57)</f>
        <v/>
      </c>
      <c r="X57" s="22">
        <f>IF(T57="","",D57-T57)</f>
        <v/>
      </c>
      <c r="Y57" s="22">
        <f>IF(U57="","",F57-U57)</f>
        <v/>
      </c>
      <c r="Z57" s="22">
        <f>IF(V57="","",F57-V57)</f>
        <v/>
      </c>
      <c r="AA57" s="9" t="n">
        <v>3997275.817806725</v>
      </c>
      <c r="AB57" s="9" t="n">
        <v>3797745.636473689</v>
      </c>
      <c r="AC57" s="9" t="n">
        <v>2419524.502106741</v>
      </c>
      <c r="AD57" s="9" t="n">
        <v>3096877.101698804</v>
      </c>
      <c r="AE57" s="9" t="n">
        <v>2917974.794607564</v>
      </c>
      <c r="AF57" s="9" t="n">
        <v>4729699.757684053</v>
      </c>
    </row>
    <row r="58">
      <c r="A58" s="4" t="inlineStr">
        <is>
          <t>Autos</t>
        </is>
      </c>
      <c r="B58" s="5" t="n">
        <v>202202</v>
      </c>
      <c r="C58" s="5" t="n">
        <v>2022</v>
      </c>
      <c r="D58" s="6" t="n">
        <v>397349.8530592752</v>
      </c>
      <c r="E58" s="11" t="n">
        <v>0.09935868712967919</v>
      </c>
      <c r="F58" s="22">
        <f>D58*(1-E58)</f>
        <v/>
      </c>
      <c r="G58" s="11" t="n">
        <v>0.9872442690041847</v>
      </c>
      <c r="H58" s="11" t="n">
        <v>0.03858793388833227</v>
      </c>
      <c r="I58" s="11" t="n">
        <v>0.1685778756429692</v>
      </c>
      <c r="J58" s="11" t="n">
        <v>0.07789943632384319</v>
      </c>
      <c r="K58" s="6" t="n">
        <v>5324491.85525213</v>
      </c>
      <c r="L58" s="18" t="n">
        <v>5393287.175647874</v>
      </c>
      <c r="M58" s="18" t="n">
        <v>3351991.947904076</v>
      </c>
      <c r="N58" s="23">
        <f>IF(L58=0,"",M58/L58)</f>
        <v/>
      </c>
      <c r="O58" s="6" t="n">
        <v>6427544.520788259</v>
      </c>
      <c r="P58" s="22">
        <f>M58*G58*(1+H58+I58)</f>
        <v/>
      </c>
      <c r="Q58" s="6" t="n">
        <v>6012769.606553224</v>
      </c>
      <c r="R58" s="22">
        <f>P58-M58*G58*J58</f>
        <v/>
      </c>
      <c r="S58" s="22">
        <f>IF(A58=A57,O58-O57,"")</f>
        <v/>
      </c>
      <c r="T58" s="22">
        <f>IF(A58=A57,P58-P57,"")</f>
        <v/>
      </c>
      <c r="U58" s="22">
        <f>IF(A58=A57,Q58-Q57,"")</f>
        <v/>
      </c>
      <c r="V58" s="22">
        <f>IF(A58=A57,R58-R57,"")</f>
        <v/>
      </c>
      <c r="W58" s="22">
        <f>IF(S58="","",D58-S58)</f>
        <v/>
      </c>
      <c r="X58" s="22">
        <f>IF(T58="","",D58-T58)</f>
        <v/>
      </c>
      <c r="Y58" s="22">
        <f>IF(U58="","",F58-U58)</f>
        <v/>
      </c>
      <c r="Z58" s="22">
        <f>IF(V58="","",F58-V58)</f>
        <v/>
      </c>
      <c r="AA58" s="6" t="n">
        <v>3671621.290598352</v>
      </c>
      <c r="AB58" s="6" t="n">
        <v>3472537.044078929</v>
      </c>
      <c r="AC58" s="6" t="n">
        <v>2263907.603907736</v>
      </c>
      <c r="AD58" s="6" t="n">
        <v>2903622.879043095</v>
      </c>
      <c r="AE58" s="6" t="n">
        <v>2726719.880347176</v>
      </c>
      <c r="AF58" s="6" t="n">
        <v>4356389.846526028</v>
      </c>
      <c r="AG58" s="6" t="n">
        <v>720293.1046184601</v>
      </c>
      <c r="AH58" s="6" t="n">
        <v>723014.277634218</v>
      </c>
      <c r="AI58" s="6" t="n">
        <v>543367.3538266943</v>
      </c>
      <c r="AJ58" s="6" t="n">
        <v>577180.4912873456</v>
      </c>
      <c r="AK58" s="6" t="n">
        <v>577714.140638922</v>
      </c>
      <c r="AL58" s="6" t="n">
        <v>765147.6994737854</v>
      </c>
      <c r="AM58" s="6" t="n">
        <v>718172.1403598469</v>
      </c>
      <c r="AN58" s="6" t="n">
        <v>717812.6211030353</v>
      </c>
      <c r="AO58" s="6" t="n">
        <v>529692.0276011601</v>
      </c>
      <c r="AP58" s="6" t="n">
        <v>571185.2017062069</v>
      </c>
      <c r="AQ58" s="6" t="n">
        <v>569079.6564930947</v>
      </c>
      <c r="AR58" s="6" t="n">
        <v>770796.0775075583</v>
      </c>
    </row>
    <row r="59">
      <c r="A59" t="inlineStr">
        <is>
          <t>Autos</t>
        </is>
      </c>
      <c r="B59" s="8" t="n">
        <v>202203</v>
      </c>
      <c r="C59" s="8" t="n">
        <v>2022</v>
      </c>
      <c r="D59" s="9" t="n">
        <v>197281.4667705657</v>
      </c>
      <c r="E59" s="10" t="n">
        <v>0.09935868712967919</v>
      </c>
      <c r="F59" s="22">
        <f>D59*(1-E59)</f>
        <v/>
      </c>
      <c r="G59" s="10" t="n">
        <v>0.9735395345962508</v>
      </c>
      <c r="H59" s="10" t="n">
        <v>0.03913108726392749</v>
      </c>
      <c r="I59" s="10" t="n">
        <v>0.1864279373948455</v>
      </c>
      <c r="J59" s="10" t="n">
        <v>0.08096194682814956</v>
      </c>
      <c r="K59" s="9" t="n">
        <v>4513500.129203513</v>
      </c>
      <c r="L59" s="18" t="n">
        <v>4636175.490372217</v>
      </c>
      <c r="M59" s="18" t="n">
        <v>2858244.606873388</v>
      </c>
      <c r="N59" s="23">
        <f>IF(L59=0,"",M59/L59)</f>
        <v/>
      </c>
      <c r="O59" s="9" t="n">
        <v>5531560.816143904</v>
      </c>
      <c r="P59" s="22">
        <f>M59*G59*(1+H59+I59)</f>
        <v/>
      </c>
      <c r="Q59" s="9" t="n">
        <v>5166139.058674483</v>
      </c>
      <c r="R59" s="22">
        <f>P59-M59*G59*J59</f>
        <v/>
      </c>
      <c r="S59" s="22">
        <f>IF(A59=A58,O59-O58,"")</f>
        <v/>
      </c>
      <c r="T59" s="22">
        <f>IF(A59=A58,P59-P58,"")</f>
        <v/>
      </c>
      <c r="U59" s="22">
        <f>IF(A59=A58,Q59-Q58,"")</f>
        <v/>
      </c>
      <c r="V59" s="22">
        <f>IF(A59=A58,R59-R58,"")</f>
        <v/>
      </c>
      <c r="W59" s="22">
        <f>IF(S59="","",D59-S59)</f>
        <v/>
      </c>
      <c r="X59" s="22">
        <f>IF(T59="","",D59-T59)</f>
        <v/>
      </c>
      <c r="Y59" s="22">
        <f>IF(U59="","",F59-U59)</f>
        <v/>
      </c>
      <c r="Z59" s="22">
        <f>IF(V59="","",F59-V59)</f>
        <v/>
      </c>
      <c r="AA59" s="9" t="n">
        <v>3165560.177366253</v>
      </c>
      <c r="AB59" s="9" t="n">
        <v>2971938.087938054</v>
      </c>
      <c r="AC59" s="9" t="n">
        <v>1854070.140513722</v>
      </c>
      <c r="AD59" s="9" t="n">
        <v>2448859.671424801</v>
      </c>
      <c r="AE59" s="9" t="n">
        <v>2268942.258558037</v>
      </c>
      <c r="AF59" s="9" t="n">
        <v>3782001.469691956</v>
      </c>
      <c r="AG59" s="9" t="n">
        <v>796075.1642910243</v>
      </c>
      <c r="AH59" s="9" t="n">
        <v>789829.3791330295</v>
      </c>
      <c r="AI59" s="9" t="n">
        <v>683186.0256709015</v>
      </c>
      <c r="AJ59" s="9" t="n">
        <v>735916.5875682581</v>
      </c>
      <c r="AK59" s="9" t="n">
        <v>739754.2303064662</v>
      </c>
      <c r="AL59" s="9" t="n">
        <v>876665.3936156273</v>
      </c>
      <c r="AM59" s="9" t="n">
        <v>743613.0309962431</v>
      </c>
      <c r="AN59" s="9" t="n">
        <v>737416.7470341484</v>
      </c>
      <c r="AO59" s="9" t="n">
        <v>635614.0067055271</v>
      </c>
      <c r="AP59" s="9" t="n">
        <v>686027.8777037087</v>
      </c>
      <c r="AQ59" s="9" t="n">
        <v>689289.3535411331</v>
      </c>
      <c r="AR59" s="9" t="n">
        <v>820128.2964653341</v>
      </c>
    </row>
    <row r="60">
      <c r="A60" s="4" t="inlineStr">
        <is>
          <t>Autos</t>
        </is>
      </c>
      <c r="B60" s="5" t="n">
        <v>202204</v>
      </c>
      <c r="C60" s="5" t="n">
        <v>2022</v>
      </c>
      <c r="D60" s="6" t="n">
        <v>754877.8022152536</v>
      </c>
      <c r="E60" s="11" t="n">
        <v>0.09935868712967919</v>
      </c>
      <c r="F60" s="22">
        <f>D60*(1-E60)</f>
        <v/>
      </c>
      <c r="G60" s="11" t="n">
        <v>1.102123824075939</v>
      </c>
      <c r="H60" s="11" t="n">
        <v>0.03456577392845174</v>
      </c>
      <c r="I60" s="11" t="n">
        <v>0.1100663936037035</v>
      </c>
      <c r="J60" s="11" t="n">
        <v>0.06854710926482803</v>
      </c>
      <c r="K60" s="6" t="n">
        <v>5501105.776272652</v>
      </c>
      <c r="L60" s="18" t="n">
        <v>4991368.171253335</v>
      </c>
      <c r="M60" s="18" t="n">
        <v>2888638.894738204</v>
      </c>
      <c r="N60" s="23">
        <f>IF(L60=0,"",M60/L60)</f>
        <v/>
      </c>
      <c r="O60" s="6" t="n">
        <v>6296742.628518625</v>
      </c>
      <c r="P60" s="22">
        <f>M60*G60*(1+H60+I60)</f>
        <v/>
      </c>
      <c r="Q60" s="6" t="n">
        <v>5919657.729795087</v>
      </c>
      <c r="R60" s="22">
        <f>P60-M60*G60*J60</f>
        <v/>
      </c>
      <c r="S60" s="22">
        <f>IF(A60=A59,O60-O59,"")</f>
        <v/>
      </c>
      <c r="T60" s="22">
        <f>IF(A60=A59,P60-P59,"")</f>
        <v/>
      </c>
      <c r="U60" s="22">
        <f>IF(A60=A59,Q60-Q59,"")</f>
        <v/>
      </c>
      <c r="V60" s="22">
        <f>IF(A60=A59,R60-R59,"")</f>
        <v/>
      </c>
      <c r="W60" s="22">
        <f>IF(S60="","",D60-S60)</f>
        <v/>
      </c>
      <c r="X60" s="22">
        <f>IF(T60="","",D60-T60)</f>
        <v/>
      </c>
      <c r="Y60" s="22">
        <f>IF(U60="","",F60-U60)</f>
        <v/>
      </c>
      <c r="Z60" s="22">
        <f>IF(V60="","",F60-V60)</f>
        <v/>
      </c>
      <c r="AA60" s="6" t="n">
        <v>3214999.780371289</v>
      </c>
      <c r="AB60" s="6" t="n">
        <v>3012324.704322527</v>
      </c>
      <c r="AC60" s="6" t="n">
        <v>1757482.648300396</v>
      </c>
      <c r="AD60" s="6" t="n">
        <v>2354368.384901316</v>
      </c>
      <c r="AE60" s="6" t="n">
        <v>2170855.471740614</v>
      </c>
      <c r="AF60" s="6" t="n">
        <v>3797499.815792269</v>
      </c>
      <c r="AG60" s="6" t="n">
        <v>475996.0910891785</v>
      </c>
      <c r="AH60" s="6" t="n">
        <v>500659.6914053113</v>
      </c>
      <c r="AI60" s="6" t="n">
        <v>749914.0841208153</v>
      </c>
      <c r="AJ60" s="6" t="n">
        <v>706588.3102348378</v>
      </c>
      <c r="AK60" s="6" t="n">
        <v>723429.7995109545</v>
      </c>
      <c r="AL60" s="6" t="n">
        <v>476651.6283748472</v>
      </c>
      <c r="AM60" s="6" t="n">
        <v>394368.9408352457</v>
      </c>
      <c r="AN60" s="6" t="n">
        <v>418982.1921562918</v>
      </c>
      <c r="AO60" s="6" t="n">
        <v>661546.4944863049</v>
      </c>
      <c r="AP60" s="6" t="n">
        <v>616432.7811664871</v>
      </c>
      <c r="AQ60" s="6" t="n">
        <v>633591.3751814507</v>
      </c>
      <c r="AR60" s="6" t="n">
        <v>390443.1519469607</v>
      </c>
    </row>
    <row r="61">
      <c r="A61" t="inlineStr">
        <is>
          <t>Autos</t>
        </is>
      </c>
      <c r="B61" s="8" t="n">
        <v>202205</v>
      </c>
      <c r="C61" s="8" t="n">
        <v>2022</v>
      </c>
      <c r="D61" s="9" t="n">
        <v>456066.9537761296</v>
      </c>
      <c r="E61" s="10" t="n">
        <v>0.09935868712967919</v>
      </c>
      <c r="F61" s="22">
        <f>D61*(1-E61)</f>
        <v/>
      </c>
      <c r="G61" s="10" t="n">
        <v>1.07090674432367</v>
      </c>
      <c r="H61" s="10" t="n">
        <v>0.03557341311943821</v>
      </c>
      <c r="I61" s="10" t="n">
        <v>0.1080412690656904</v>
      </c>
      <c r="J61" s="10" t="n">
        <v>0.06862205024891339</v>
      </c>
      <c r="K61" s="9" t="n">
        <v>4689024.764420512</v>
      </c>
      <c r="L61" s="18" t="n">
        <v>4378555.639204475</v>
      </c>
      <c r="M61" s="18" t="n">
        <v>2579954.980719719</v>
      </c>
      <c r="N61" s="23">
        <f>IF(L61=0,"",M61/L61)</f>
        <v/>
      </c>
      <c r="O61" s="9" t="n">
        <v>5362437.565720961</v>
      </c>
      <c r="P61" s="22">
        <f>M61*G61*(1+H61+I61)</f>
        <v/>
      </c>
      <c r="Q61" s="9" t="n">
        <v>5040667.072718497</v>
      </c>
      <c r="R61" s="22">
        <f>P61-M61*G61*J61</f>
        <v/>
      </c>
      <c r="S61" s="22">
        <f>IF(A61=A60,O61-O60,"")</f>
        <v/>
      </c>
      <c r="T61" s="22">
        <f>IF(A61=A60,P61-P60,"")</f>
        <v/>
      </c>
      <c r="U61" s="22">
        <f>IF(A61=A60,Q61-Q60,"")</f>
        <v/>
      </c>
      <c r="V61" s="22">
        <f>IF(A61=A60,R61-R60,"")</f>
        <v/>
      </c>
      <c r="W61" s="22">
        <f>IF(S61="","",D61-S61)</f>
        <v/>
      </c>
      <c r="X61" s="22">
        <f>IF(T61="","",D61-T61)</f>
        <v/>
      </c>
      <c r="Y61" s="22">
        <f>IF(U61="","",F61-U61)</f>
        <v/>
      </c>
      <c r="Z61" s="22">
        <f>IF(V61="","",F61-V61)</f>
        <v/>
      </c>
      <c r="AA61" s="9" t="n">
        <v>2912191.0397093</v>
      </c>
      <c r="AB61" s="9" t="n">
        <v>2705923.721543831</v>
      </c>
      <c r="AC61" s="9" t="n">
        <v>1521303.883355802</v>
      </c>
      <c r="AD61" s="9" t="n">
        <v>2079081.936251516</v>
      </c>
      <c r="AE61" s="9" t="n">
        <v>1883084.489877905</v>
      </c>
      <c r="AF61" s="9" t="n">
        <v>3517063.055886802</v>
      </c>
      <c r="AG61" s="9" t="n">
        <v>945300.0097731907</v>
      </c>
      <c r="AH61" s="9" t="n">
        <v>942236.6035121359</v>
      </c>
      <c r="AI61" s="9" t="n">
        <v>810029.7002296242</v>
      </c>
      <c r="AJ61" s="9" t="n">
        <v>879903.4141920131</v>
      </c>
      <c r="AK61" s="9" t="n">
        <v>888436.0219375255</v>
      </c>
      <c r="AL61" s="9" t="n">
        <v>939349.5851332984</v>
      </c>
      <c r="AM61" s="9" t="n">
        <v>871111.4750555712</v>
      </c>
      <c r="AN61" s="9" t="n">
        <v>868201.5094681568</v>
      </c>
      <c r="AO61" s="9" t="n">
        <v>743739.538482473</v>
      </c>
      <c r="AP61" s="9" t="n">
        <v>809509.9767938182</v>
      </c>
      <c r="AQ61" s="9" t="n">
        <v>817503.0840392988</v>
      </c>
      <c r="AR61" s="9" t="n">
        <v>865605.4096456785</v>
      </c>
    </row>
    <row r="62">
      <c r="A62" s="4" t="inlineStr">
        <is>
          <t>Autos</t>
        </is>
      </c>
      <c r="B62" s="5" t="n">
        <v>202206</v>
      </c>
      <c r="C62" s="5" t="n">
        <v>2022</v>
      </c>
      <c r="D62" s="6" t="n">
        <v>1666662.267566413</v>
      </c>
      <c r="E62" s="11" t="n">
        <v>0.09935868712967919</v>
      </c>
      <c r="F62" s="22">
        <f>D62*(1-E62)</f>
        <v/>
      </c>
      <c r="G62" s="11" t="n">
        <v>1.030921885808776</v>
      </c>
      <c r="H62" s="11" t="n">
        <v>0.03695314706127815</v>
      </c>
      <c r="I62" s="11" t="n">
        <v>0.07610184540186544</v>
      </c>
      <c r="J62" s="11" t="n">
        <v>0.0588468999803238</v>
      </c>
      <c r="K62" s="6" t="n">
        <v>5265362.138632153</v>
      </c>
      <c r="L62" s="18" t="n">
        <v>5107430.748258281</v>
      </c>
      <c r="M62" s="18" t="n">
        <v>3328300.634613728</v>
      </c>
      <c r="N62" s="23">
        <f>IF(L62=0,"",M62/L62)</f>
        <v/>
      </c>
      <c r="O62" s="6" t="n">
        <v>5860637.615530932</v>
      </c>
      <c r="P62" s="22">
        <f>M62*G62*(1+H62+I62)</f>
        <v/>
      </c>
      <c r="Q62" s="6" t="n">
        <v>5550787.376398662</v>
      </c>
      <c r="R62" s="22">
        <f>P62-M62*G62*J62</f>
        <v/>
      </c>
      <c r="S62" s="22">
        <f>IF(A62=A61,O62-O61,"")</f>
        <v/>
      </c>
      <c r="T62" s="22">
        <f>IF(A62=A61,P62-P61,"")</f>
        <v/>
      </c>
      <c r="U62" s="22">
        <f>IF(A62=A61,Q62-Q61,"")</f>
        <v/>
      </c>
      <c r="V62" s="22">
        <f>IF(A62=A61,R62-R61,"")</f>
        <v/>
      </c>
      <c r="W62" s="22">
        <f>IF(S62="","",D62-S62)</f>
        <v/>
      </c>
      <c r="X62" s="22">
        <f>IF(T62="","",D62-T62)</f>
        <v/>
      </c>
      <c r="Y62" s="22">
        <f>IF(U62="","",F62-U62)</f>
        <v/>
      </c>
      <c r="Z62" s="22">
        <f>IF(V62="","",F62-V62)</f>
        <v/>
      </c>
      <c r="AA62" s="6" t="n">
        <v>3776539.066564252</v>
      </c>
      <c r="AB62" s="6" t="n">
        <v>3491722.085484988</v>
      </c>
      <c r="AC62" s="6" t="n">
        <v>1668555.531174647</v>
      </c>
      <c r="AD62" s="6" t="n">
        <v>2073767.782110028</v>
      </c>
      <c r="AE62" s="6" t="n">
        <v>1867245.63420194</v>
      </c>
      <c r="AF62" s="6" t="n">
        <v>4359779.461567043</v>
      </c>
      <c r="AG62" s="6" t="n">
        <v>899760.5763394539</v>
      </c>
      <c r="AH62" s="6" t="n">
        <v>973963.7523134178</v>
      </c>
      <c r="AI62" s="6" t="n">
        <v>1615188.240266813</v>
      </c>
      <c r="AJ62" s="6" t="n">
        <v>1833331.613191941</v>
      </c>
      <c r="AK62" s="6" t="n">
        <v>1830271.161498223</v>
      </c>
      <c r="AL62" s="6" t="n">
        <v>971297.7019321495</v>
      </c>
      <c r="AM62" s="6" t="n">
        <v>749262.2639653755</v>
      </c>
      <c r="AN62" s="6" t="n">
        <v>821344.709104127</v>
      </c>
      <c r="AO62" s="6" t="n">
        <v>1439019.084381809</v>
      </c>
      <c r="AP62" s="6" t="n">
        <v>1640755.398311827</v>
      </c>
      <c r="AQ62" s="6" t="n">
        <v>1639569.383297339</v>
      </c>
      <c r="AR62" s="6" t="n">
        <v>811731.8526025552</v>
      </c>
    </row>
    <row r="63">
      <c r="A63" t="inlineStr">
        <is>
          <t>Autos</t>
        </is>
      </c>
      <c r="B63" s="8" t="n">
        <v>202207</v>
      </c>
      <c r="C63" s="8" t="n">
        <v>2022</v>
      </c>
      <c r="D63" s="9" t="n">
        <v>3216289.338384097</v>
      </c>
      <c r="E63" s="10" t="n">
        <v>0.09935868712967919</v>
      </c>
      <c r="F63" s="22">
        <f>D63*(1-E63)</f>
        <v/>
      </c>
      <c r="G63" s="10" t="n">
        <v>1.059927975737296</v>
      </c>
      <c r="H63" s="10" t="n">
        <v>0.03333298066567538</v>
      </c>
      <c r="I63" s="10" t="n">
        <v>0.1410026148667965</v>
      </c>
      <c r="J63" s="10" t="n">
        <v>0.07615512134283832</v>
      </c>
      <c r="K63" s="9" t="n">
        <v>7050880.811880603</v>
      </c>
      <c r="L63" s="18" t="n">
        <v>6652226.352432995</v>
      </c>
      <c r="M63" s="18" t="n">
        <v>5633686.333728594</v>
      </c>
      <c r="N63" s="23">
        <f>IF(L63=0,"",M63/L63)</f>
        <v/>
      </c>
      <c r="O63" s="9" t="n">
        <v>8280100.317248287</v>
      </c>
      <c r="P63" s="22">
        <f>M63*G63*(1+H63+I63)</f>
        <v/>
      </c>
      <c r="Q63" s="9" t="n">
        <v>7743139.633445629</v>
      </c>
      <c r="R63" s="22">
        <f>P63-M63*G63*J63</f>
        <v/>
      </c>
      <c r="S63" s="22">
        <f>IF(A63=A62,O63-O62,"")</f>
        <v/>
      </c>
      <c r="T63" s="22">
        <f>IF(A63=A62,P63-P62,"")</f>
        <v/>
      </c>
      <c r="U63" s="22">
        <f>IF(A63=A62,Q63-Q62,"")</f>
        <v/>
      </c>
      <c r="V63" s="22">
        <f>IF(A63=A62,R63-R62,"")</f>
        <v/>
      </c>
      <c r="W63" s="22">
        <f>IF(S63="","",D63-S63)</f>
        <v/>
      </c>
      <c r="X63" s="22">
        <f>IF(T63="","",D63-T63)</f>
        <v/>
      </c>
      <c r="Y63" s="22">
        <f>IF(U63="","",F63-U63)</f>
        <v/>
      </c>
      <c r="Z63" s="22">
        <f>IF(V63="","",F63-V63)</f>
        <v/>
      </c>
      <c r="AA63" s="9" t="n">
        <v>6054175.743774997</v>
      </c>
      <c r="AB63" s="9" t="n">
        <v>5791493.804639483</v>
      </c>
      <c r="AC63" s="9" t="n">
        <v>4256517.338837358</v>
      </c>
      <c r="AD63" s="9" t="n">
        <v>4596308.485428899</v>
      </c>
      <c r="AE63" s="9" t="n">
        <v>4392648.524396002</v>
      </c>
      <c r="AF63" s="9" t="n">
        <v>6696399.886490484</v>
      </c>
      <c r="AG63" s="9" t="n">
        <v>14064.95749879163</v>
      </c>
      <c r="AH63" s="9" t="n">
        <v>14208.37115486385</v>
      </c>
      <c r="AI63" s="9" t="n">
        <v>-167223.2490741317</v>
      </c>
      <c r="AJ63" s="9" t="n">
        <v>-125195.0614551459</v>
      </c>
      <c r="AK63" s="9" t="n">
        <v>-108675.7744006994</v>
      </c>
      <c r="AL63" s="9" t="n">
        <v>-116066.1330919676</v>
      </c>
      <c r="AM63" s="9" t="n">
        <v>-45924.28107252251</v>
      </c>
      <c r="AN63" s="9" t="n">
        <v>-49705.41040190822</v>
      </c>
      <c r="AO63" s="9" t="n">
        <v>-244433.4715389633</v>
      </c>
      <c r="AP63" s="9" t="n">
        <v>-199560.5336798024</v>
      </c>
      <c r="AQ63" s="9" t="n">
        <v>-186951.4758561277</v>
      </c>
      <c r="AR63" s="9" t="n">
        <v>-159598.9040318769</v>
      </c>
    </row>
    <row r="64">
      <c r="A64" s="4" t="inlineStr">
        <is>
          <t>Autos</t>
        </is>
      </c>
      <c r="B64" s="5" t="n">
        <v>202208</v>
      </c>
      <c r="C64" s="5" t="n">
        <v>2022</v>
      </c>
      <c r="D64" s="6" t="n">
        <v>842124.0318593867</v>
      </c>
      <c r="E64" s="11" t="n">
        <v>0.09935868712967919</v>
      </c>
      <c r="F64" s="22">
        <f>D64*(1-E64)</f>
        <v/>
      </c>
      <c r="G64" s="11" t="n">
        <v>1.173767525163456</v>
      </c>
      <c r="H64" s="11" t="n">
        <v>0.03010002598429446</v>
      </c>
      <c r="I64" s="11" t="n">
        <v>0.1393462771262271</v>
      </c>
      <c r="J64" s="11" t="n">
        <v>0.06985551649051658</v>
      </c>
      <c r="K64" s="6" t="n">
        <v>7494821.805373525</v>
      </c>
      <c r="L64" s="18" t="n">
        <v>6385269.352489383</v>
      </c>
      <c r="M64" s="18" t="n">
        <v>5291050.990290495</v>
      </c>
      <c r="N64" s="23">
        <f>IF(L64=0,"",M64/L64)</f>
        <v/>
      </c>
      <c r="O64" s="6" t="n">
        <v>8764791.652766194</v>
      </c>
      <c r="P64" s="22">
        <f>M64*G64*(1+H64+I64)</f>
        <v/>
      </c>
      <c r="Q64" s="6" t="n">
        <v>8241237.00454744</v>
      </c>
      <c r="R64" s="22">
        <f>P64-M64*G64*J64</f>
        <v/>
      </c>
      <c r="S64" s="22">
        <f>IF(A64=A63,O64-O63,"")</f>
        <v/>
      </c>
      <c r="T64" s="22">
        <f>IF(A64=A63,P64-P63,"")</f>
        <v/>
      </c>
      <c r="U64" s="22">
        <f>IF(A64=A63,Q64-Q63,"")</f>
        <v/>
      </c>
      <c r="V64" s="22">
        <f>IF(A64=A63,R64-R63,"")</f>
        <v/>
      </c>
      <c r="W64" s="22">
        <f>IF(S64="","",D64-S64)</f>
        <v/>
      </c>
      <c r="X64" s="22">
        <f>IF(T64="","",D64-T64)</f>
        <v/>
      </c>
      <c r="Y64" s="22">
        <f>IF(U64="","",F64-U64)</f>
        <v/>
      </c>
      <c r="Z64" s="22">
        <f>IF(V64="","",F64-V64)</f>
        <v/>
      </c>
      <c r="AA64" s="6" t="n">
        <v>5725268.95771362</v>
      </c>
      <c r="AB64" s="6" t="n">
        <v>5447279.380360974</v>
      </c>
      <c r="AC64" s="6" t="n">
        <v>4208596.063723383</v>
      </c>
      <c r="AD64" s="6" t="n">
        <v>4229054.191042573</v>
      </c>
      <c r="AE64" s="6" t="n">
        <v>4033733.551094928</v>
      </c>
      <c r="AF64" s="6" t="n">
        <v>6607748.83545239</v>
      </c>
      <c r="AG64" s="6" t="n">
        <v>518987.318397495</v>
      </c>
      <c r="AH64" s="6" t="n">
        <v>573608.8228184655</v>
      </c>
      <c r="AI64" s="6" t="n">
        <v>363295.1791756945</v>
      </c>
      <c r="AJ64" s="6" t="n">
        <v>758154.9941838067</v>
      </c>
      <c r="AK64" s="6" t="n">
        <v>772765.6269102981</v>
      </c>
      <c r="AL64" s="6" t="n">
        <v>107027.723925991</v>
      </c>
      <c r="AM64" s="6" t="n">
        <v>416066.7953640959</v>
      </c>
      <c r="AN64" s="6" t="n">
        <v>469098.1930072756</v>
      </c>
      <c r="AO64" s="6" t="n">
        <v>281121.4589406821</v>
      </c>
      <c r="AP64" s="6" t="n">
        <v>650231.1380371751</v>
      </c>
      <c r="AQ64" s="6" t="n">
        <v>665265.8404191044</v>
      </c>
      <c r="AR64" s="6" t="n">
        <v>24625.72227293917</v>
      </c>
    </row>
    <row r="65">
      <c r="A65" t="inlineStr">
        <is>
          <t>Autos</t>
        </is>
      </c>
      <c r="B65" s="8" t="n">
        <v>202209</v>
      </c>
      <c r="C65" s="8" t="n">
        <v>2022</v>
      </c>
      <c r="D65" s="9" t="n">
        <v>75947.68593687116</v>
      </c>
      <c r="E65" s="10" t="n">
        <v>0.09935868712967919</v>
      </c>
      <c r="F65" s="22">
        <f>D65*(1-E65)</f>
        <v/>
      </c>
      <c r="G65" s="10" t="n">
        <v>1.211976190846688</v>
      </c>
      <c r="H65" s="10" t="n">
        <v>0.02915124101605419</v>
      </c>
      <c r="I65" s="10" t="n">
        <v>0.2197716872314017</v>
      </c>
      <c r="J65" s="10" t="n">
        <v>0.06942851706710425</v>
      </c>
      <c r="K65" s="9" t="n">
        <v>6630663.742416941</v>
      </c>
      <c r="L65" s="18" t="n">
        <v>5470952.146167784</v>
      </c>
      <c r="M65" s="18" t="n">
        <v>4727920.550846278</v>
      </c>
      <c r="N65" s="23">
        <f>IF(L65=0,"",M65/L65)</f>
        <v/>
      </c>
      <c r="O65" s="9" t="n">
        <v>8281187.977403601</v>
      </c>
      <c r="P65" s="22">
        <f>M65*G65*(1+H65+I65)</f>
        <v/>
      </c>
      <c r="Q65" s="9" t="n">
        <v>7820830.826596977</v>
      </c>
      <c r="R65" s="22">
        <f>P65-M65*G65*J65</f>
        <v/>
      </c>
      <c r="S65" s="22">
        <f>IF(A65=A64,O65-O64,"")</f>
        <v/>
      </c>
      <c r="T65" s="22">
        <f>IF(A65=A64,P65-P64,"")</f>
        <v/>
      </c>
      <c r="U65" s="22">
        <f>IF(A65=A64,Q65-Q64,"")</f>
        <v/>
      </c>
      <c r="V65" s="22">
        <f>IF(A65=A64,R65-R64,"")</f>
        <v/>
      </c>
      <c r="W65" s="22">
        <f>IF(S65="","",D65-S65)</f>
        <v/>
      </c>
      <c r="X65" s="22">
        <f>IF(T65="","",D65-T65)</f>
        <v/>
      </c>
      <c r="Y65" s="22">
        <f>IF(U65="","",F65-U65)</f>
        <v/>
      </c>
      <c r="Z65" s="22">
        <f>IF(V65="","",F65-V65)</f>
        <v/>
      </c>
      <c r="AA65" s="9" t="n">
        <v>4984662.091394759</v>
      </c>
      <c r="AB65" s="9" t="n">
        <v>4798026.785605511</v>
      </c>
      <c r="AC65" s="9" t="n">
        <v>3732138.243750121</v>
      </c>
      <c r="AD65" s="9" t="n">
        <v>3665307.651706315</v>
      </c>
      <c r="AE65" s="9" t="n">
        <v>3482673.279931098</v>
      </c>
      <c r="AF65" s="9" t="n">
        <v>5782925.453580746</v>
      </c>
      <c r="AG65" s="9" t="n">
        <v>389676.6424076745</v>
      </c>
      <c r="AH65" s="9" t="n">
        <v>290595.3020277332</v>
      </c>
      <c r="AI65" s="9" t="n">
        <v>203704.6460403038</v>
      </c>
      <c r="AJ65" s="9" t="n">
        <v>332945.7783707186</v>
      </c>
      <c r="AK65" s="9" t="n">
        <v>341284.5507634191</v>
      </c>
      <c r="AL65" s="9" t="n">
        <v>392716.5935385629</v>
      </c>
      <c r="AM65" s="9" t="n">
        <v>332130.0234731176</v>
      </c>
      <c r="AN65" s="9" t="n">
        <v>240137.6382510178</v>
      </c>
      <c r="AO65" s="9" t="n">
        <v>165121.8037050544</v>
      </c>
      <c r="AP65" s="9" t="n">
        <v>287061.9819532959</v>
      </c>
      <c r="AQ65" s="9" t="n">
        <v>296048.0027804534</v>
      </c>
      <c r="AR65" s="9" t="n">
        <v>329982.2359644212</v>
      </c>
    </row>
    <row r="66">
      <c r="A66" s="4" t="inlineStr">
        <is>
          <t>Autos</t>
        </is>
      </c>
      <c r="B66" s="5" t="n">
        <v>202210</v>
      </c>
      <c r="C66" s="5" t="n">
        <v>2022</v>
      </c>
      <c r="D66" s="6" t="n">
        <v>940810.4109125051</v>
      </c>
      <c r="E66" s="11" t="n">
        <v>0.09935868712967919</v>
      </c>
      <c r="F66" s="22">
        <f>D66*(1-E66)</f>
        <v/>
      </c>
      <c r="G66" s="11" t="n">
        <v>1.242493080548236</v>
      </c>
      <c r="H66" s="11" t="n">
        <v>0.02843525699646806</v>
      </c>
      <c r="I66" s="11" t="n">
        <v>0.1547941049765987</v>
      </c>
      <c r="J66" s="11" t="n">
        <v>0.06458479489741088</v>
      </c>
      <c r="K66" s="6" t="n">
        <v>6433652.622120815</v>
      </c>
      <c r="L66" s="18" t="n">
        <v>5178018.874183217</v>
      </c>
      <c r="M66" s="18" t="n">
        <v>4668597.664681841</v>
      </c>
      <c r="N66" s="23">
        <f>IF(L66=0,"",M66/L66)</f>
        <v/>
      </c>
      <c r="O66" s="6" t="n">
        <v>7612486.68722836</v>
      </c>
      <c r="P66" s="22">
        <f>M66*G66*(1+H66+I66)</f>
        <v/>
      </c>
      <c r="Q66" s="6" t="n">
        <v>7196970.552187498</v>
      </c>
      <c r="R66" s="22">
        <f>P66-M66*G66*J66</f>
        <v/>
      </c>
      <c r="S66" s="22">
        <f>IF(A66=A65,O66-O65,"")</f>
        <v/>
      </c>
      <c r="T66" s="22">
        <f>IF(A66=A65,P66-P65,"")</f>
        <v/>
      </c>
      <c r="U66" s="22">
        <f>IF(A66=A65,Q66-Q65,"")</f>
        <v/>
      </c>
      <c r="V66" s="22">
        <f>IF(A66=A65,R66-R65,"")</f>
        <v/>
      </c>
      <c r="W66" s="22">
        <f>IF(S66="","",D66-S66)</f>
        <v/>
      </c>
      <c r="X66" s="22">
        <f>IF(T66="","",D66-T66)</f>
        <v/>
      </c>
      <c r="Y66" s="22">
        <f>IF(U66="","",F66-U66)</f>
        <v/>
      </c>
      <c r="Z66" s="22">
        <f>IF(V66="","",F66-V66)</f>
        <v/>
      </c>
      <c r="AA66" s="6" t="n">
        <v>4871652.384537068</v>
      </c>
      <c r="AB66" s="6" t="n">
        <v>4753057.62255304</v>
      </c>
      <c r="AC66" s="6" t="n">
        <v>3808107.587898073</v>
      </c>
      <c r="AD66" s="6" t="n">
        <v>3470917.451070659</v>
      </c>
      <c r="AE66" s="6" t="n">
        <v>3286161.157397545</v>
      </c>
      <c r="AF66" s="6" t="n">
        <v>5894443.680136479</v>
      </c>
      <c r="AG66" s="6" t="n">
        <v>1323837.547281392</v>
      </c>
      <c r="AH66" s="6" t="n">
        <v>1215686.843224549</v>
      </c>
      <c r="AI66" s="6" t="n">
        <v>991511.1719124976</v>
      </c>
      <c r="AJ66" s="6" t="n">
        <v>1386073.581487298</v>
      </c>
      <c r="AK66" s="6" t="n">
        <v>1381246.610601002</v>
      </c>
      <c r="AL66" s="6" t="n">
        <v>1028479.726184214</v>
      </c>
      <c r="AM66" s="6" t="n">
        <v>1201853.331422314</v>
      </c>
      <c r="AN66" s="6" t="n">
        <v>1099890.413280572</v>
      </c>
      <c r="AO66" s="6" t="n">
        <v>889576.0773326689</v>
      </c>
      <c r="AP66" s="6" t="n">
        <v>1262703.780571941</v>
      </c>
      <c r="AQ66" s="6" t="n">
        <v>1258418.725260244</v>
      </c>
      <c r="AR66" s="6" t="n">
        <v>921400.1479649628</v>
      </c>
    </row>
    <row r="67">
      <c r="A67" t="inlineStr">
        <is>
          <t>Autos</t>
        </is>
      </c>
      <c r="B67" s="8" t="n">
        <v>202211</v>
      </c>
      <c r="C67" s="8" t="n">
        <v>2022</v>
      </c>
      <c r="D67" s="9" t="n">
        <v>508811.6113242629</v>
      </c>
      <c r="E67" s="10" t="n">
        <v>0.09935868712967919</v>
      </c>
      <c r="F67" s="22">
        <f>D67*(1-E67)</f>
        <v/>
      </c>
      <c r="G67" s="10" t="n">
        <v>1.287572500322268</v>
      </c>
      <c r="H67" s="10" t="n">
        <v>0.0274396565188237</v>
      </c>
      <c r="I67" s="10" t="n">
        <v>0.2456829412526032</v>
      </c>
      <c r="J67" s="10" t="n">
        <v>0.07775744727523437</v>
      </c>
      <c r="K67" s="9" t="n">
        <v>5791665.397941796</v>
      </c>
      <c r="L67" s="18" t="n">
        <v>4498127.597857358</v>
      </c>
      <c r="M67" s="18" t="n">
        <v>4088666.017134471</v>
      </c>
      <c r="N67" s="23">
        <f>IF(L67=0,"",M67/L67)</f>
        <v/>
      </c>
      <c r="O67" s="9" t="n">
        <v>7373500.096850544</v>
      </c>
      <c r="P67" s="22">
        <f>M67*G67*(1+H67+I67)</f>
        <v/>
      </c>
      <c r="Q67" s="9" t="n">
        <v>6923154.980034286</v>
      </c>
      <c r="R67" s="22">
        <f>P67-M67*G67*J67</f>
        <v/>
      </c>
      <c r="S67" s="22">
        <f>IF(A67=A66,O67-O66,"")</f>
        <v/>
      </c>
      <c r="T67" s="22">
        <f>IF(A67=A66,P67-P66,"")</f>
        <v/>
      </c>
      <c r="U67" s="22">
        <f>IF(A67=A66,Q67-Q66,"")</f>
        <v/>
      </c>
      <c r="V67" s="22">
        <f>IF(A67=A66,R67-R66,"")</f>
        <v/>
      </c>
      <c r="W67" s="22">
        <f>IF(S67="","",D67-S67)</f>
        <v/>
      </c>
      <c r="X67" s="22">
        <f>IF(T67="","",D67-T67)</f>
        <v/>
      </c>
      <c r="Y67" s="22">
        <f>IF(U67="","",F67-U67)</f>
        <v/>
      </c>
      <c r="Z67" s="22">
        <f>IF(V67="","",F67-V67)</f>
        <v/>
      </c>
      <c r="AA67" s="9" t="n">
        <v>4412290.253332413</v>
      </c>
      <c r="AB67" s="9" t="n">
        <v>4238551.537689424</v>
      </c>
      <c r="AC67" s="9" t="n">
        <v>3506977.859930475</v>
      </c>
      <c r="AD67" s="9" t="n">
        <v>3017128.044589114</v>
      </c>
      <c r="AE67" s="9" t="n">
        <v>2821486.684063828</v>
      </c>
      <c r="AF67" s="9" t="n">
        <v>5615522.827203828</v>
      </c>
      <c r="AG67" s="9" t="n">
        <v>438099.9977339209</v>
      </c>
      <c r="AH67" s="9" t="n">
        <v>548546.4423684375</v>
      </c>
      <c r="AI67" s="9" t="n">
        <v>358547.2041236489</v>
      </c>
      <c r="AJ67" s="9" t="n">
        <v>665805.9346550405</v>
      </c>
      <c r="AK67" s="9" t="n">
        <v>714888.3593636109</v>
      </c>
      <c r="AL67" s="9" t="n">
        <v>-30623.11870011402</v>
      </c>
      <c r="AM67" s="9" t="n">
        <v>438364.9670225994</v>
      </c>
      <c r="AN67" s="9" t="n">
        <v>540933.752312131</v>
      </c>
      <c r="AO67" s="9" t="n">
        <v>353519.1763556877</v>
      </c>
      <c r="AP67" s="9" t="n">
        <v>638793.1651615209</v>
      </c>
      <c r="AQ67" s="9" t="n">
        <v>683114.2827498054</v>
      </c>
      <c r="AR67" s="9" t="n">
        <v>8032.436782195</v>
      </c>
    </row>
    <row r="68">
      <c r="A68" s="4" t="inlineStr">
        <is>
          <t>Autos</t>
        </is>
      </c>
      <c r="B68" s="5" t="n">
        <v>202212</v>
      </c>
      <c r="C68" s="5" t="n">
        <v>2022</v>
      </c>
      <c r="D68" s="6" t="n">
        <v>777257.1447985278</v>
      </c>
      <c r="E68" s="11" t="n">
        <v>0.09935868712967919</v>
      </c>
      <c r="F68" s="22">
        <f>D68*(1-E68)</f>
        <v/>
      </c>
      <c r="G68" s="11" t="n">
        <v>1.020183693200659</v>
      </c>
      <c r="H68" s="11" t="n">
        <v>0.03463148449384031</v>
      </c>
      <c r="I68" s="11" t="n">
        <v>0.1605101507773865</v>
      </c>
      <c r="J68" s="11" t="n">
        <v>0.06982193369703989</v>
      </c>
      <c r="K68" s="6" t="n">
        <v>4095427.225010124</v>
      </c>
      <c r="L68" s="18" t="n">
        <v>4014401.771274536</v>
      </c>
      <c r="M68" s="18" t="n">
        <v>3710469.136571688</v>
      </c>
      <c r="N68" s="23">
        <f>IF(L68=0,"",M68/L68)</f>
        <v/>
      </c>
      <c r="O68" s="6" t="n">
        <v>4894615.590832902</v>
      </c>
      <c r="P68" s="22">
        <f>M68*G68*(1+H68+I68)</f>
        <v/>
      </c>
      <c r="Q68" s="6" t="n">
        <v>4608664.942667193</v>
      </c>
      <c r="R68" s="22">
        <f>P68-M68*G68*J68</f>
        <v/>
      </c>
      <c r="S68" s="22">
        <f>IF(A68=A67,O68-O67,"")</f>
        <v/>
      </c>
      <c r="T68" s="22">
        <f>IF(A68=A67,P68-P67,"")</f>
        <v/>
      </c>
      <c r="U68" s="22">
        <f>IF(A68=A67,Q68-Q67,"")</f>
        <v/>
      </c>
      <c r="V68" s="22">
        <f>IF(A68=A67,R68-R67,"")</f>
        <v/>
      </c>
      <c r="W68" s="22">
        <f>IF(S68="","",D68-S68)</f>
        <v/>
      </c>
      <c r="X68" s="22">
        <f>IF(T68="","",D68-T68)</f>
        <v/>
      </c>
      <c r="Y68" s="22">
        <f>IF(U68="","",F68-U68)</f>
        <v/>
      </c>
      <c r="Z68" s="22">
        <f>IF(V68="","",F68-V68)</f>
        <v/>
      </c>
      <c r="AA68" s="6" t="n">
        <v>4146727.296435625</v>
      </c>
      <c r="AB68" s="6" t="n">
        <v>3877729.587065747</v>
      </c>
      <c r="AC68" s="6" t="n">
        <v>3393044.526581195</v>
      </c>
      <c r="AD68" s="6" t="n">
        <v>2466545.289832436</v>
      </c>
      <c r="AE68" s="6" t="n">
        <v>2240386.143417435</v>
      </c>
      <c r="AF68" s="6" t="n">
        <v>5485525.163216286</v>
      </c>
      <c r="AG68" s="6" t="n">
        <v>2954094.094116255</v>
      </c>
      <c r="AH68" s="6" t="n">
        <v>2997274.275891354</v>
      </c>
      <c r="AI68" s="6" t="n">
        <v>2389010.211330338</v>
      </c>
      <c r="AJ68" s="6" t="n">
        <v>2715677.125148817</v>
      </c>
      <c r="AK68" s="6" t="n">
        <v>2670722.148938193</v>
      </c>
      <c r="AL68" s="6" t="n">
        <v>3294130.174508456</v>
      </c>
      <c r="AM68" s="6" t="n">
        <v>2730491.975075582</v>
      </c>
      <c r="AN68" s="6" t="n">
        <v>2771905.561384597</v>
      </c>
      <c r="AO68" s="6" t="n">
        <v>2202360.749333603</v>
      </c>
      <c r="AP68" s="6" t="n">
        <v>2512074.968055575</v>
      </c>
      <c r="AQ68" s="6" t="n">
        <v>2470597.695230609</v>
      </c>
      <c r="AR68" s="6" t="n">
        <v>3045426.570713616</v>
      </c>
    </row>
    <row r="69">
      <c r="A69" t="inlineStr">
        <is>
          <t>Autos</t>
        </is>
      </c>
      <c r="B69" s="8" t="n">
        <v>202301</v>
      </c>
      <c r="C69" s="8" t="n">
        <v>2023</v>
      </c>
      <c r="D69" s="9" t="n">
        <v>2051593.616188227</v>
      </c>
      <c r="E69" s="10" t="n">
        <v>0.09935868712967919</v>
      </c>
      <c r="F69" s="22">
        <f>D69*(1-E69)</f>
        <v/>
      </c>
      <c r="G69" s="10" t="n">
        <v>0.9820634610239747</v>
      </c>
      <c r="H69" s="10" t="n">
        <v>0.02952954767939248</v>
      </c>
      <c r="I69" s="10" t="n">
        <v>0.1552898183577541</v>
      </c>
      <c r="J69" s="10" t="n">
        <v>0.08297862581776658</v>
      </c>
      <c r="K69" s="9" t="n">
        <v>4823537.314082489</v>
      </c>
      <c r="L69" s="18" t="n">
        <v>4911635.047548861</v>
      </c>
      <c r="M69" s="18" t="n">
        <v>4743803.355439278</v>
      </c>
      <c r="N69" s="23">
        <f>IF(L69=0,"",M69/L69)</f>
        <v/>
      </c>
      <c r="O69" s="9" t="n">
        <v>5715020.422527736</v>
      </c>
      <c r="P69" s="22">
        <f>M69*G69*(1+H69+I69)</f>
        <v/>
      </c>
      <c r="Q69" s="9" t="n">
        <v>5314769.924624451</v>
      </c>
      <c r="R69" s="22">
        <f>P69-M69*G69*J69</f>
        <v/>
      </c>
      <c r="S69" s="22">
        <f>IF(A69=A68,O69-O68,"")</f>
        <v/>
      </c>
      <c r="T69" s="22">
        <f>IF(A69=A68,P69-P68,"")</f>
        <v/>
      </c>
      <c r="U69" s="22">
        <f>IF(A69=A68,Q69-Q68,"")</f>
        <v/>
      </c>
      <c r="V69" s="22">
        <f>IF(A69=A68,R69-R68,"")</f>
        <v/>
      </c>
      <c r="W69" s="22">
        <f>IF(S69="","",D69-S69)</f>
        <v/>
      </c>
      <c r="X69" s="22">
        <f>IF(T69="","",D69-T69)</f>
        <v/>
      </c>
      <c r="Y69" s="22">
        <f>IF(U69="","",F69-U69)</f>
        <v/>
      </c>
      <c r="Z69" s="22">
        <f>IF(V69="","",F69-V69)</f>
        <v/>
      </c>
      <c r="AA69" s="9" t="n">
        <v>5182479.040030097</v>
      </c>
      <c r="AB69" s="9" t="n">
        <v>4913648.254295254</v>
      </c>
      <c r="AC69" s="9" t="n">
        <v>4505401.865154314</v>
      </c>
      <c r="AD69" s="9" t="n">
        <v>3699483.724288484</v>
      </c>
      <c r="AE69" s="9" t="n">
        <v>3479115.08008772</v>
      </c>
      <c r="AF69" s="9" t="n">
        <v>6557178.539936231</v>
      </c>
      <c r="AG69" s="9" t="n">
        <v>1077383.184127086</v>
      </c>
      <c r="AH69" s="9" t="n">
        <v>1062206.806919588</v>
      </c>
      <c r="AI69" s="9" t="n">
        <v>946270.113611693</v>
      </c>
      <c r="AJ69" s="9" t="n">
        <v>754363.3454186716</v>
      </c>
      <c r="AK69" s="9" t="n">
        <v>735029.4983876571</v>
      </c>
      <c r="AL69" s="9" t="n">
        <v>1110175.153434616</v>
      </c>
      <c r="AM69" s="9" t="n">
        <v>1000484.831754088</v>
      </c>
      <c r="AN69" s="9" t="n">
        <v>982562.388643225</v>
      </c>
      <c r="AO69" s="9" t="n">
        <v>867882.2818206868</v>
      </c>
      <c r="AP69" s="9" t="n">
        <v>676296.6722746089</v>
      </c>
      <c r="AQ69" s="9" t="n">
        <v>655114.510483945</v>
      </c>
      <c r="AR69" s="9" t="n">
        <v>1049937.267181683</v>
      </c>
    </row>
    <row r="70">
      <c r="A70" s="4" t="inlineStr">
        <is>
          <t>Autos</t>
        </is>
      </c>
      <c r="B70" s="5" t="n">
        <v>202302</v>
      </c>
      <c r="C70" s="5" t="n">
        <v>2023</v>
      </c>
      <c r="D70" s="6" t="n">
        <v>400581.2877393549</v>
      </c>
      <c r="E70" s="11" t="n">
        <v>0.09935868712967919</v>
      </c>
      <c r="F70" s="22">
        <f>D70*(1-E70)</f>
        <v/>
      </c>
      <c r="G70" s="11" t="n">
        <v>1.048862061896402</v>
      </c>
      <c r="H70" s="11" t="n">
        <v>0.02764886574065207</v>
      </c>
      <c r="I70" s="11" t="n">
        <v>0.15759720718307</v>
      </c>
      <c r="J70" s="11" t="n">
        <v>0.08887705100473391</v>
      </c>
      <c r="K70" s="6" t="n">
        <v>4395388.213562671</v>
      </c>
      <c r="L70" s="18" t="n">
        <v>4190625.605826145</v>
      </c>
      <c r="M70" s="18" t="n">
        <v>4052484.765422596</v>
      </c>
      <c r="N70" s="23">
        <f>IF(L70=0,"",M70/L70)</f>
        <v/>
      </c>
      <c r="O70" s="6" t="n">
        <v>5209616.61910037</v>
      </c>
      <c r="P70" s="22">
        <f>M70*G70*(1+H70+I70)</f>
        <v/>
      </c>
      <c r="Q70" s="6" t="n">
        <v>4818967.476657955</v>
      </c>
      <c r="R70" s="22">
        <f>P70-M70*G70*J70</f>
        <v/>
      </c>
      <c r="S70" s="22">
        <f>IF(A70=A69,O70-O69,"")</f>
        <v/>
      </c>
      <c r="T70" s="22">
        <f>IF(A70=A69,P70-P69,"")</f>
        <v/>
      </c>
      <c r="U70" s="22">
        <f>IF(A70=A69,Q70-Q69,"")</f>
        <v/>
      </c>
      <c r="V70" s="22">
        <f>IF(A70=A69,R70-R69,"")</f>
        <v/>
      </c>
      <c r="W70" s="22">
        <f>IF(S70="","",D70-S70)</f>
        <v/>
      </c>
      <c r="X70" s="22">
        <f>IF(T70="","",D70-T70)</f>
        <v/>
      </c>
      <c r="Y70" s="22">
        <f>IF(U70="","",F70-U70)</f>
        <v/>
      </c>
      <c r="Z70" s="22">
        <f>IF(V70="","",F70-V70)</f>
        <v/>
      </c>
      <c r="AA70" s="6" t="n">
        <v>4475569.097282088</v>
      </c>
      <c r="AB70" s="6" t="n">
        <v>4214846.276839504</v>
      </c>
      <c r="AC70" s="6" t="n">
        <v>3949100.878484896</v>
      </c>
      <c r="AD70" s="6" t="n">
        <v>3244504.429378029</v>
      </c>
      <c r="AE70" s="6" t="n">
        <v>3028722.403770999</v>
      </c>
      <c r="AF70" s="6" t="n">
        <v>5972250.474191828</v>
      </c>
      <c r="AG70" s="6" t="n">
        <v>866900.1933875119</v>
      </c>
      <c r="AH70" s="6" t="n">
        <v>878217.4330711204</v>
      </c>
      <c r="AI70" s="6" t="n">
        <v>733559.0309447616</v>
      </c>
      <c r="AJ70" s="6" t="n">
        <v>671744.4948627765</v>
      </c>
      <c r="AK70" s="6" t="n">
        <v>683582.139983542</v>
      </c>
      <c r="AL70" s="6" t="n">
        <v>605842.3946216467</v>
      </c>
      <c r="AM70" s="6" t="n">
        <v>821988.8211366201</v>
      </c>
      <c r="AN70" s="6" t="n">
        <v>830908.6353051879</v>
      </c>
      <c r="AO70" s="6" t="n">
        <v>694745.6201858541</v>
      </c>
      <c r="AP70" s="6" t="n">
        <v>632923.2594133422</v>
      </c>
      <c r="AQ70" s="6" t="n">
        <v>642603.6561296431</v>
      </c>
      <c r="AR70" s="6" t="n">
        <v>588426.6692587717</v>
      </c>
    </row>
    <row r="71">
      <c r="A71" t="inlineStr">
        <is>
          <t>Autos</t>
        </is>
      </c>
      <c r="B71" s="8" t="n">
        <v>202303</v>
      </c>
      <c r="C71" s="8" t="n">
        <v>2023</v>
      </c>
      <c r="D71" s="9" t="n">
        <v>739396.3078584468</v>
      </c>
      <c r="E71" s="10" t="n">
        <v>0.09935868712967919</v>
      </c>
      <c r="F71" s="22">
        <f>D71*(1-E71)</f>
        <v/>
      </c>
      <c r="G71" s="10" t="n">
        <v>1.035714007666289</v>
      </c>
      <c r="H71" s="10" t="n">
        <v>0.02799979455116309</v>
      </c>
      <c r="I71" s="10" t="n">
        <v>0.1452052954180941</v>
      </c>
      <c r="J71" s="10" t="n">
        <v>0.07676208890698102</v>
      </c>
      <c r="K71" s="9" t="n">
        <v>3784260.036847742</v>
      </c>
      <c r="L71" s="18" t="n">
        <v>3653769.292330595</v>
      </c>
      <c r="M71" s="18" t="n">
        <v>3583990.914996488</v>
      </c>
      <c r="N71" s="23">
        <f>IF(L71=0,"",M71/L71)</f>
        <v/>
      </c>
      <c r="O71" s="9" t="n">
        <v>4439713.13699702</v>
      </c>
      <c r="P71" s="22">
        <f>M71*G71*(1+H71+I71)</f>
        <v/>
      </c>
      <c r="Q71" s="9" t="n">
        <v>4149225.431601378</v>
      </c>
      <c r="R71" s="22">
        <f>P71-M71*G71*J71</f>
        <v/>
      </c>
      <c r="S71" s="22">
        <f>IF(A71=A70,O71-O70,"")</f>
        <v/>
      </c>
      <c r="T71" s="22">
        <f>IF(A71=A70,P71-P70,"")</f>
        <v/>
      </c>
      <c r="U71" s="22">
        <f>IF(A71=A70,Q71-Q70,"")</f>
        <v/>
      </c>
      <c r="V71" s="22">
        <f>IF(A71=A70,R71-R70,"")</f>
        <v/>
      </c>
      <c r="W71" s="22">
        <f>IF(S71="","",D71-S71)</f>
        <v/>
      </c>
      <c r="X71" s="22">
        <f>IF(T71="","",D71-T71)</f>
        <v/>
      </c>
      <c r="Y71" s="22">
        <f>IF(U71="","",F71-U71)</f>
        <v/>
      </c>
      <c r="Z71" s="22">
        <f>IF(V71="","",F71-V71)</f>
        <v/>
      </c>
      <c r="AA71" s="9" t="n">
        <v>4016714.850207292</v>
      </c>
      <c r="AB71" s="9" t="n">
        <v>3746558.070395164</v>
      </c>
      <c r="AC71" s="9" t="n">
        <v>3299608.3885387</v>
      </c>
      <c r="AD71" s="9" t="n">
        <v>2730969.092215825</v>
      </c>
      <c r="AE71" s="9" t="n">
        <v>2505855.484094028</v>
      </c>
      <c r="AF71" s="9" t="n">
        <v>5694536.203162394</v>
      </c>
      <c r="AG71" s="9" t="n">
        <v>1422513.095852288</v>
      </c>
      <c r="AH71" s="9" t="n">
        <v>1426661.847499456</v>
      </c>
      <c r="AI71" s="9" t="n">
        <v>1639388.662609738</v>
      </c>
      <c r="AJ71" s="9" t="n">
        <v>1454419.215856282</v>
      </c>
      <c r="AK71" s="9" t="n">
        <v>1459704.369144075</v>
      </c>
      <c r="AL71" s="9" t="n">
        <v>1244397.953699168</v>
      </c>
      <c r="AM71" s="9" t="n">
        <v>1251179.314349369</v>
      </c>
      <c r="AN71" s="9" t="n">
        <v>1258154.157908174</v>
      </c>
      <c r="AO71" s="9" t="n">
        <v>1460119.601478871</v>
      </c>
      <c r="AP71" s="9" t="n">
        <v>1295623.617000522</v>
      </c>
      <c r="AQ71" s="9" t="n">
        <v>1303126.584764618</v>
      </c>
      <c r="AR71" s="9" t="n">
        <v>1066936.671630789</v>
      </c>
    </row>
    <row r="72">
      <c r="A72" s="4" t="inlineStr">
        <is>
          <t>Autos</t>
        </is>
      </c>
      <c r="B72" s="5" t="n">
        <v>202304</v>
      </c>
      <c r="C72" s="5" t="n">
        <v>2023</v>
      </c>
      <c r="D72" s="6" t="n">
        <v>1339355.400430838</v>
      </c>
      <c r="E72" s="11" t="n">
        <v>0.09935868712967919</v>
      </c>
      <c r="F72" s="22">
        <f>D72*(1-E72)</f>
        <v/>
      </c>
      <c r="G72" s="11" t="n">
        <v>1.05052854845652</v>
      </c>
      <c r="H72" s="11" t="n">
        <v>0.02760514961477797</v>
      </c>
      <c r="I72" s="11" t="n">
        <v>0.1534883581690459</v>
      </c>
      <c r="J72" s="11" t="n">
        <v>0.05564523293977295</v>
      </c>
      <c r="K72" s="6" t="n">
        <v>4181207.912409246</v>
      </c>
      <c r="L72" s="18" t="n">
        <v>3980099.273410941</v>
      </c>
      <c r="M72" s="18" t="n">
        <v>3869822.550322463</v>
      </c>
      <c r="N72" s="23">
        <f>IF(L72=0,"",M72/L72)</f>
        <v/>
      </c>
      <c r="O72" s="6" t="n">
        <v>4938397.520040915</v>
      </c>
      <c r="P72" s="22">
        <f>M72*G72*(1+H72+I72)</f>
        <v/>
      </c>
      <c r="Q72" s="6" t="n">
        <v>4705733.231785281</v>
      </c>
      <c r="R72" s="22">
        <f>P72-M72*G72*J72</f>
        <v/>
      </c>
      <c r="S72" s="22">
        <f>IF(A72=A71,O72-O71,"")</f>
        <v/>
      </c>
      <c r="T72" s="22">
        <f>IF(A72=A71,P72-P71,"")</f>
        <v/>
      </c>
      <c r="U72" s="22">
        <f>IF(A72=A71,Q72-Q71,"")</f>
        <v/>
      </c>
      <c r="V72" s="22">
        <f>IF(A72=A71,R72-R71,"")</f>
        <v/>
      </c>
      <c r="W72" s="22">
        <f>IF(S72="","",D72-S72)</f>
        <v/>
      </c>
      <c r="X72" s="22">
        <f>IF(T72="","",D72-T72)</f>
        <v/>
      </c>
      <c r="Y72" s="22">
        <f>IF(U72="","",F72-U72)</f>
        <v/>
      </c>
      <c r="Z72" s="22">
        <f>IF(V72="","",F72-V72)</f>
        <v/>
      </c>
      <c r="AA72" s="6" t="n">
        <v>4329366.965787497</v>
      </c>
      <c r="AB72" s="6" t="n">
        <v>4042142.282905278</v>
      </c>
      <c r="AC72" s="6" t="n">
        <v>3303671.918940649</v>
      </c>
      <c r="AD72" s="6" t="n">
        <v>2847842.43981479</v>
      </c>
      <c r="AE72" s="6" t="n">
        <v>2611597.221686668</v>
      </c>
      <c r="AF72" s="6" t="n">
        <v>5980313.635239384</v>
      </c>
      <c r="AG72" s="6" t="n">
        <v>848326.2299366875</v>
      </c>
      <c r="AH72" s="6" t="n">
        <v>876437.8637127711</v>
      </c>
      <c r="AI72" s="6" t="n">
        <v>1249620.776389307</v>
      </c>
      <c r="AJ72" s="6" t="n">
        <v>1124245.014028318</v>
      </c>
      <c r="AK72" s="6" t="n">
        <v>1143834.913191258</v>
      </c>
      <c r="AL72" s="6" t="n">
        <v>838606.112548589</v>
      </c>
      <c r="AM72" s="6" t="n">
        <v>648987.8593631936</v>
      </c>
      <c r="AN72" s="6" t="n">
        <v>681787.6555661578</v>
      </c>
      <c r="AO72" s="6" t="n">
        <v>1047335.971396742</v>
      </c>
      <c r="AP72" s="6" t="n">
        <v>940522.6826387625</v>
      </c>
      <c r="AQ72" s="6" t="n">
        <v>964199.753010097</v>
      </c>
      <c r="AR72" s="6" t="n">
        <v>602384.1872719424</v>
      </c>
    </row>
    <row r="73">
      <c r="A73" t="inlineStr">
        <is>
          <t>Autos</t>
        </is>
      </c>
      <c r="B73" s="8" t="n">
        <v>202305</v>
      </c>
      <c r="C73" s="8" t="n">
        <v>2023</v>
      </c>
      <c r="D73" s="9" t="n">
        <v>711289.4920135003</v>
      </c>
      <c r="E73" s="10" t="n">
        <v>0.09935868712967919</v>
      </c>
      <c r="F73" s="22">
        <f>D73*(1-E73)</f>
        <v/>
      </c>
      <c r="G73" s="10" t="n">
        <v>1.016213809</v>
      </c>
      <c r="H73" s="10" t="n">
        <v>0.02853698678588991</v>
      </c>
      <c r="I73" s="10" t="n">
        <v>0.1464567884084823</v>
      </c>
      <c r="J73" s="10" t="n">
        <v>0.03789402965943518</v>
      </c>
      <c r="K73" s="9" t="n">
        <v>3659710.426489377</v>
      </c>
      <c r="L73" s="18" t="n">
        <v>3601319.322840827</v>
      </c>
      <c r="M73" s="18" t="n">
        <v>3619326.753305699</v>
      </c>
      <c r="N73" s="23">
        <f>IF(L73=0,"",M73/L73)</f>
        <v/>
      </c>
      <c r="O73" s="9" t="n">
        <v>4300136.97013896</v>
      </c>
      <c r="P73" s="22">
        <f>M73*G73*(1+H73+I73)</f>
        <v/>
      </c>
      <c r="Q73" s="9" t="n">
        <v>4161455.794692627</v>
      </c>
      <c r="R73" s="22">
        <f>P73-M73*G73*J73</f>
        <v/>
      </c>
      <c r="S73" s="22">
        <f>IF(A73=A72,O73-O72,"")</f>
        <v/>
      </c>
      <c r="T73" s="22">
        <f>IF(A73=A72,P73-P72,"")</f>
        <v/>
      </c>
      <c r="U73" s="22">
        <f>IF(A73=A72,Q73-Q72,"")</f>
        <v/>
      </c>
      <c r="V73" s="22">
        <f>IF(A73=A72,R73-R72,"")</f>
        <v/>
      </c>
      <c r="W73" s="22">
        <f>IF(S73="","",D73-S73)</f>
        <v/>
      </c>
      <c r="X73" s="22">
        <f>IF(T73="","",D73-T73)</f>
        <v/>
      </c>
      <c r="Y73" s="22">
        <f>IF(U73="","",F73-U73)</f>
        <v/>
      </c>
      <c r="Z73" s="22">
        <f>IF(V73="","",F73-V73)</f>
        <v/>
      </c>
      <c r="AA73" s="9" t="n">
        <v>4032238.930304881</v>
      </c>
      <c r="AB73" s="9" t="n">
        <v>3760121.515925206</v>
      </c>
      <c r="AC73" s="9" t="n">
        <v>2974554.800029291</v>
      </c>
      <c r="AD73" s="9" t="n">
        <v>2524946.173222594</v>
      </c>
      <c r="AE73" s="9" t="n">
        <v>2274106.959508943</v>
      </c>
      <c r="AF73" s="9" t="n">
        <v>5622000.879679468</v>
      </c>
      <c r="AG73" s="9" t="n">
        <v>1268374.412171655</v>
      </c>
      <c r="AH73" s="9" t="n">
        <v>1236914.349971048</v>
      </c>
      <c r="AI73" s="9" t="n">
        <v>1258642.599061068</v>
      </c>
      <c r="AJ73" s="9" t="n">
        <v>1229914.827991328</v>
      </c>
      <c r="AK73" s="9" t="n">
        <v>1236301.554104819</v>
      </c>
      <c r="AL73" s="9" t="n">
        <v>1418576.405666191</v>
      </c>
      <c r="AM73" s="9" t="n">
        <v>1099895.440897809</v>
      </c>
      <c r="AN73" s="9" t="n">
        <v>1074746.828829047</v>
      </c>
      <c r="AO73" s="9" t="n">
        <v>1109392.824638616</v>
      </c>
      <c r="AP73" s="9" t="n">
        <v>1089997.709357162</v>
      </c>
      <c r="AQ73" s="9" t="n">
        <v>1100535.174067401</v>
      </c>
      <c r="AR73" s="9" t="n">
        <v>1214807.447104162</v>
      </c>
    </row>
    <row r="74">
      <c r="A74" s="4" t="inlineStr">
        <is>
          <t>Autos</t>
        </is>
      </c>
      <c r="B74" s="5" t="n">
        <v>202306</v>
      </c>
      <c r="C74" s="5" t="n">
        <v>2023</v>
      </c>
      <c r="D74" s="6" t="n">
        <v>2262130.243904975</v>
      </c>
      <c r="E74" s="11" t="n">
        <v>0.09935868712967919</v>
      </c>
      <c r="F74" s="22">
        <f>D74*(1-E74)</f>
        <v/>
      </c>
      <c r="G74" s="11" t="n">
        <v>0.9888450289447044</v>
      </c>
      <c r="H74" s="11" t="n">
        <v>0.02932670994581999</v>
      </c>
      <c r="I74" s="11" t="n">
        <v>0.1214021536254659</v>
      </c>
      <c r="J74" s="11" t="n">
        <v>0.02732673946402792</v>
      </c>
      <c r="K74" s="6" t="n">
        <v>3200811.748346538</v>
      </c>
      <c r="L74" s="18" t="n">
        <v>3236919.491583474</v>
      </c>
      <c r="M74" s="18" t="n">
        <v>3305249.783232407</v>
      </c>
      <c r="N74" s="23">
        <f>IF(L74=0,"",M74/L74)</f>
        <v/>
      </c>
      <c r="O74" s="6" t="n">
        <v>3683266.465680432</v>
      </c>
      <c r="P74" s="22">
        <f>M74*G74*(1+H74+I74)</f>
        <v/>
      </c>
      <c r="Q74" s="6" t="n">
        <v>3595798.716959966</v>
      </c>
      <c r="R74" s="22">
        <f>P74-M74*G74*J74</f>
        <v/>
      </c>
      <c r="S74" s="22">
        <f>IF(A74=A73,O74-O73,"")</f>
        <v/>
      </c>
      <c r="T74" s="22">
        <f>IF(A74=A73,P74-P73,"")</f>
        <v/>
      </c>
      <c r="U74" s="22">
        <f>IF(A74=A73,Q74-Q73,"")</f>
        <v/>
      </c>
      <c r="V74" s="22">
        <f>IF(A74=A73,R74-R73,"")</f>
        <v/>
      </c>
      <c r="W74" s="22">
        <f>IF(S74="","",D74-S74)</f>
        <v/>
      </c>
      <c r="X74" s="22">
        <f>IF(T74="","",D74-T74)</f>
        <v/>
      </c>
      <c r="Y74" s="22">
        <f>IF(U74="","",F74-U74)</f>
        <v/>
      </c>
      <c r="Z74" s="22">
        <f>IF(V74="","",F74-V74)</f>
        <v/>
      </c>
      <c r="AA74" s="6" t="n">
        <v>3671700.399736558</v>
      </c>
      <c r="AB74" s="6" t="n">
        <v>3447047.537595342</v>
      </c>
      <c r="AC74" s="6" t="n">
        <v>2702769.993447003</v>
      </c>
      <c r="AD74" s="6" t="n">
        <v>2338675.785116217</v>
      </c>
      <c r="AE74" s="6" t="n">
        <v>2075392.999934866</v>
      </c>
      <c r="AF74" s="6" t="n">
        <v>6755868.676983892</v>
      </c>
      <c r="AG74" s="6" t="n">
        <v>2898804.166234235</v>
      </c>
      <c r="AH74" s="6" t="n">
        <v>2829514.566055712</v>
      </c>
      <c r="AI74" s="6" t="n">
        <v>2738420.483070083</v>
      </c>
      <c r="AJ74" s="6" t="n">
        <v>2615867.670233022</v>
      </c>
      <c r="AK74" s="6" t="n">
        <v>2615941.897374265</v>
      </c>
      <c r="AL74" s="6" t="n">
        <v>1287599.311831679</v>
      </c>
      <c r="AM74" s="6" t="n">
        <v>2617983.018915171</v>
      </c>
      <c r="AN74" s="6" t="n">
        <v>2553101.685303233</v>
      </c>
      <c r="AO74" s="6" t="n">
        <v>2472146.746924641</v>
      </c>
      <c r="AP74" s="6" t="n">
        <v>2357069.138113842</v>
      </c>
      <c r="AQ74" s="6" t="n">
        <v>2359688.387266381</v>
      </c>
      <c r="AR74" s="6" t="n">
        <v>1028899.036963942</v>
      </c>
    </row>
    <row r="75">
      <c r="A75" t="inlineStr">
        <is>
          <t>Autos</t>
        </is>
      </c>
      <c r="B75" s="8" t="n">
        <v>202307</v>
      </c>
      <c r="C75" s="8" t="n">
        <v>2023</v>
      </c>
      <c r="D75" s="9" t="n">
        <v>4091041.938081246</v>
      </c>
      <c r="E75" s="10" t="n">
        <v>0.09935868712967919</v>
      </c>
      <c r="F75" s="22">
        <f>D75*(1-E75)</f>
        <v/>
      </c>
      <c r="G75" s="10" t="n">
        <v>0.980104</v>
      </c>
      <c r="H75" s="10" t="n">
        <v>0.02967076645073167</v>
      </c>
      <c r="I75" s="10" t="n">
        <v>0.1088292219187756</v>
      </c>
      <c r="J75" s="10" t="n">
        <v>0.1171648823959394</v>
      </c>
      <c r="K75" s="9" t="n">
        <v>6046780.66554389</v>
      </c>
      <c r="L75" s="18" t="n">
        <v>6169529.627002737</v>
      </c>
      <c r="M75" s="18" t="n">
        <v>6393007.049660456</v>
      </c>
      <c r="N75" s="23">
        <f>IF(L75=0,"",M75/L75)</f>
        <v/>
      </c>
      <c r="O75" s="9" t="n">
        <v>6884259.71739468</v>
      </c>
      <c r="P75" s="22">
        <f>M75*G75*(1+H75+I75)</f>
        <v/>
      </c>
      <c r="Q75" s="9" t="n">
        <v>6175789.37184219</v>
      </c>
      <c r="R75" s="22">
        <f>P75-M75*G75*J75</f>
        <v/>
      </c>
      <c r="S75" s="22">
        <f>IF(A75=A74,O75-O74,"")</f>
        <v/>
      </c>
      <c r="T75" s="22">
        <f>IF(A75=A74,P75-P74,"")</f>
        <v/>
      </c>
      <c r="U75" s="22">
        <f>IF(A75=A74,Q75-Q74,"")</f>
        <v/>
      </c>
      <c r="V75" s="22">
        <f>IF(A75=A74,R75-R74,"")</f>
        <v/>
      </c>
      <c r="W75" s="22">
        <f>IF(S75="","",D75-S75)</f>
        <v/>
      </c>
      <c r="X75" s="22">
        <f>IF(T75="","",D75-T75)</f>
        <v/>
      </c>
      <c r="Y75" s="22">
        <f>IF(U75="","",F75-U75)</f>
        <v/>
      </c>
      <c r="Z75" s="22">
        <f>IF(V75="","",F75-V75)</f>
        <v/>
      </c>
      <c r="AA75" s="9" t="n">
        <v>6718664.490940499</v>
      </c>
      <c r="AB75" s="9" t="n">
        <v>6512541.691363155</v>
      </c>
      <c r="AC75" s="9" t="n">
        <v>5846302.702339993</v>
      </c>
      <c r="AD75" s="9" t="n">
        <v>5574868.862943528</v>
      </c>
      <c r="AE75" s="9" t="n">
        <v>5322890.269271052</v>
      </c>
      <c r="AF75" s="9" t="n">
        <v>9617983.172815908</v>
      </c>
      <c r="AG75" s="9" t="n">
        <v>772031.3727843775</v>
      </c>
      <c r="AH75" s="9" t="n">
        <v>746402.3567515551</v>
      </c>
      <c r="AI75" s="9" t="n">
        <v>642916.2141259303</v>
      </c>
      <c r="AJ75" s="9" t="n">
        <v>531495.1525877239</v>
      </c>
      <c r="AK75" s="9" t="n">
        <v>513077.5503506986</v>
      </c>
      <c r="AL75" s="9" t="n">
        <v>1046283.283991384</v>
      </c>
      <c r="AM75" s="9" t="n">
        <v>1037864.029486471</v>
      </c>
      <c r="AN75" s="9" t="n">
        <v>994635.7048457265</v>
      </c>
      <c r="AO75" s="9" t="n">
        <v>834754.6286264868</v>
      </c>
      <c r="AP75" s="9" t="n">
        <v>702002.3171355394</v>
      </c>
      <c r="AQ75" s="9" t="n">
        <v>661763.4669051785</v>
      </c>
      <c r="AR75" s="9" t="n">
        <v>1561715.51598099</v>
      </c>
    </row>
    <row r="76">
      <c r="A76" s="4" t="inlineStr">
        <is>
          <t>Autos</t>
        </is>
      </c>
      <c r="B76" s="5" t="n">
        <v>202308</v>
      </c>
      <c r="C76" s="5" t="n">
        <v>2023</v>
      </c>
      <c r="D76" s="6" t="n">
        <v>641791.6010184577</v>
      </c>
      <c r="E76" s="11" t="n">
        <v>0.09935868712967919</v>
      </c>
      <c r="F76" s="22">
        <f>D76*(1-E76)</f>
        <v/>
      </c>
      <c r="G76" s="11" t="n">
        <v>1.076142842457607</v>
      </c>
      <c r="H76" s="11" t="n">
        <v>0.02686406262634298</v>
      </c>
      <c r="I76" s="11" t="n">
        <v>0.1809081267444214</v>
      </c>
      <c r="J76" s="11" t="n">
        <v>0.1118571260318442</v>
      </c>
      <c r="K76" s="6" t="n">
        <v>6313354.541137015</v>
      </c>
      <c r="L76" s="18" t="n">
        <v>5866651.054165908</v>
      </c>
      <c r="M76" s="18" t="n">
        <v>6058620.285743534</v>
      </c>
      <c r="N76" s="23">
        <f>IF(L76=0,"",M76/L76)</f>
        <v/>
      </c>
      <c r="O76" s="6" t="n">
        <v>7625094.03642291</v>
      </c>
      <c r="P76" s="22">
        <f>M76*G76*(1+H76+I76)</f>
        <v/>
      </c>
      <c r="Q76" s="6" t="n">
        <v>6918900.341831232</v>
      </c>
      <c r="R76" s="22">
        <f>P76-M76*G76*J76</f>
        <v/>
      </c>
      <c r="S76" s="22">
        <f>IF(A76=A75,O76-O75,"")</f>
        <v/>
      </c>
      <c r="T76" s="22">
        <f>IF(A76=A75,P76-P75,"")</f>
        <v/>
      </c>
      <c r="U76" s="22">
        <f>IF(A76=A75,Q76-Q75,"")</f>
        <v/>
      </c>
      <c r="V76" s="22">
        <f>IF(A76=A75,R76-R75,"")</f>
        <v/>
      </c>
      <c r="W76" s="22">
        <f>IF(S76="","",D76-S76)</f>
        <v/>
      </c>
      <c r="X76" s="22">
        <f>IF(T76="","",D76-T76)</f>
        <v/>
      </c>
      <c r="Y76" s="22">
        <f>IF(U76="","",F76-U76)</f>
        <v/>
      </c>
      <c r="Z76" s="22">
        <f>IF(V76="","",F76-V76)</f>
        <v/>
      </c>
      <c r="AA76" s="6" t="n">
        <v>6415680.655938482</v>
      </c>
      <c r="AB76" s="6" t="n">
        <v>6194903.308370971</v>
      </c>
      <c r="AC76" s="6" t="n">
        <v>5600646.992441814</v>
      </c>
      <c r="AD76" s="6" t="n">
        <v>5168314.625332187</v>
      </c>
      <c r="AE76" s="6" t="n">
        <v>4932613.082365578</v>
      </c>
      <c r="AF76" s="6" t="n">
        <v>9026864.018300261</v>
      </c>
      <c r="AG76" s="6" t="n">
        <v>-199884.6701393034</v>
      </c>
      <c r="AH76" s="6" t="n">
        <v>-142934.3312565312</v>
      </c>
      <c r="AI76" s="6" t="n">
        <v>-113980.0675952071</v>
      </c>
      <c r="AJ76" s="6" t="n">
        <v>145058.5997793311</v>
      </c>
      <c r="AK76" s="6" t="n">
        <v>170238.3295602296</v>
      </c>
      <c r="AL76" s="6" t="n">
        <v>-358532.0232167533</v>
      </c>
      <c r="AM76" s="6" t="n">
        <v>-262899.0944934887</v>
      </c>
      <c r="AN76" s="6" t="n">
        <v>-208854.8041233009</v>
      </c>
      <c r="AO76" s="6" t="n">
        <v>-174926.9613983695</v>
      </c>
      <c r="AP76" s="6" t="n">
        <v>63239.79451063939</v>
      </c>
      <c r="AQ76" s="6" t="n">
        <v>88982.78072474909</v>
      </c>
      <c r="AR76" s="6" t="n">
        <v>-440166.9146845693</v>
      </c>
    </row>
    <row r="77">
      <c r="A77" t="inlineStr">
        <is>
          <t>Autos</t>
        </is>
      </c>
      <c r="B77" s="8" t="n">
        <v>202309</v>
      </c>
      <c r="C77" s="8" t="n">
        <v>2023</v>
      </c>
      <c r="D77" s="9" t="n">
        <v>358295.5739412092</v>
      </c>
      <c r="E77" s="10" t="n">
        <v>0.09935868712967919</v>
      </c>
      <c r="F77" s="22">
        <f>D77*(1-E77)</f>
        <v/>
      </c>
      <c r="G77" s="10" t="n">
        <v>1.098392985891337</v>
      </c>
      <c r="H77" s="10" t="n">
        <v>0.02640220781839472</v>
      </c>
      <c r="I77" s="10" t="n">
        <v>0.1969735126702385</v>
      </c>
      <c r="J77" s="10" t="n">
        <v>0.1229360812214613</v>
      </c>
      <c r="K77" s="9" t="n">
        <v>5815968.402963066</v>
      </c>
      <c r="L77" s="18" t="n">
        <v>5294979.554374571</v>
      </c>
      <c r="M77" s="18" t="n">
        <v>5483701.610069082</v>
      </c>
      <c r="N77" s="23">
        <f>IF(L77=0,"",M77/L77)</f>
        <v/>
      </c>
      <c r="O77" s="9" t="n">
        <v>7115114.535314065</v>
      </c>
      <c r="P77" s="22">
        <f>M77*G77*(1+H77+I77)</f>
        <v/>
      </c>
      <c r="Q77" s="9" t="n">
        <v>6400122.171345945</v>
      </c>
      <c r="R77" s="22">
        <f>P77-M77*G77*J77</f>
        <v/>
      </c>
      <c r="S77" s="22">
        <f>IF(A77=A76,O77-O76,"")</f>
        <v/>
      </c>
      <c r="T77" s="22">
        <f>IF(A77=A76,P77-P76,"")</f>
        <v/>
      </c>
      <c r="U77" s="22">
        <f>IF(A77=A76,Q77-Q76,"")</f>
        <v/>
      </c>
      <c r="V77" s="22">
        <f>IF(A77=A76,R77-R76,"")</f>
        <v/>
      </c>
      <c r="W77" s="22">
        <f>IF(S77="","",D77-S77)</f>
        <v/>
      </c>
      <c r="X77" s="22">
        <f>IF(T77="","",D77-T77)</f>
        <v/>
      </c>
      <c r="Y77" s="22">
        <f>IF(U77="","",F77-U77)</f>
        <v/>
      </c>
      <c r="Z77" s="22">
        <f>IF(V77="","",F77-V77)</f>
        <v/>
      </c>
      <c r="AA77" s="9" t="n">
        <v>5848024.961399152</v>
      </c>
      <c r="AB77" s="9" t="n">
        <v>5625099.136095948</v>
      </c>
      <c r="AC77" s="9" t="n">
        <v>5100623.190773964</v>
      </c>
      <c r="AD77" s="9" t="n">
        <v>4612152.622573466</v>
      </c>
      <c r="AE77" s="9" t="n">
        <v>4392034.802713157</v>
      </c>
      <c r="AF77" s="9" t="n">
        <v>8143087.81498963</v>
      </c>
      <c r="AG77" s="9" t="n">
        <v>838715.0041550518</v>
      </c>
      <c r="AH77" s="9" t="n">
        <v>851318.8488764436</v>
      </c>
      <c r="AI77" s="9" t="n">
        <v>783706.0211710333</v>
      </c>
      <c r="AJ77" s="9" t="n">
        <v>878169.352683585</v>
      </c>
      <c r="AK77" s="9" t="n">
        <v>867602.4426126144</v>
      </c>
      <c r="AL77" s="9" t="n">
        <v>1148577.911112976</v>
      </c>
      <c r="AM77" s="9" t="n">
        <v>820503.7705232967</v>
      </c>
      <c r="AN77" s="9" t="n">
        <v>829581.3730216278</v>
      </c>
      <c r="AO77" s="9" t="n">
        <v>762680.5973362802</v>
      </c>
      <c r="AP77" s="9" t="n">
        <v>843226.3904320486</v>
      </c>
      <c r="AQ77" s="9" t="n">
        <v>831308.8978538448</v>
      </c>
      <c r="AR77" s="9" t="n">
        <v>1125954.674284561</v>
      </c>
    </row>
    <row r="78">
      <c r="A78" s="4" t="inlineStr">
        <is>
          <t>Autos</t>
        </is>
      </c>
      <c r="B78" s="5" t="n">
        <v>202310</v>
      </c>
      <c r="C78" s="5" t="n">
        <v>2023</v>
      </c>
      <c r="D78" s="6" t="n">
        <v>390710.7743652049</v>
      </c>
      <c r="E78" s="11" t="n">
        <v>0.09935868712967919</v>
      </c>
      <c r="F78" s="22">
        <f>D78*(1-E78)</f>
        <v/>
      </c>
      <c r="G78" s="11" t="n">
        <v>0.9812211329548908</v>
      </c>
      <c r="H78" s="11" t="n">
        <v>0.0295548620097538</v>
      </c>
      <c r="I78" s="11" t="n">
        <v>0.1565966770624507</v>
      </c>
      <c r="J78" s="11" t="n">
        <v>0.1398235370623037</v>
      </c>
      <c r="K78" s="6" t="n">
        <v>4625266.923525007</v>
      </c>
      <c r="L78" s="18" t="n">
        <v>4713786.493362901</v>
      </c>
      <c r="M78" s="18" t="n">
        <v>4898080.357889246</v>
      </c>
      <c r="N78" s="23">
        <f>IF(L78=0,"",M78/L78)</f>
        <v/>
      </c>
      <c r="O78" s="6" t="n">
        <v>5486267.479958947</v>
      </c>
      <c r="P78" s="22">
        <f>M78*G78*(1+H78+I78)</f>
        <v/>
      </c>
      <c r="Q78" s="6" t="n">
        <v>4839546.2988544</v>
      </c>
      <c r="R78" s="22">
        <f>P78-M78*G78*J78</f>
        <v/>
      </c>
      <c r="S78" s="22">
        <f>IF(A78=A77,O78-O77,"")</f>
        <v/>
      </c>
      <c r="T78" s="22">
        <f>IF(A78=A77,P78-P77,"")</f>
        <v/>
      </c>
      <c r="U78" s="22">
        <f>IF(A78=A77,Q78-Q77,"")</f>
        <v/>
      </c>
      <c r="V78" s="22">
        <f>IF(A78=A77,R78-R77,"")</f>
        <v/>
      </c>
      <c r="W78" s="22">
        <f>IF(S78="","",D78-S78)</f>
        <v/>
      </c>
      <c r="X78" s="22">
        <f>IF(T78="","",D78-T78)</f>
        <v/>
      </c>
      <c r="Y78" s="22">
        <f>IF(U78="","",F78-U78)</f>
        <v/>
      </c>
      <c r="Z78" s="22">
        <f>IF(V78="","",F78-V78)</f>
        <v/>
      </c>
      <c r="AA78" s="6" t="n">
        <v>5266679.478570715</v>
      </c>
      <c r="AB78" s="6" t="n">
        <v>5041954.568557491</v>
      </c>
      <c r="AC78" s="6" t="n">
        <v>4523667.81172561</v>
      </c>
      <c r="AD78" s="6" t="n">
        <v>4023771.726342009</v>
      </c>
      <c r="AE78" s="6" t="n">
        <v>3806636.400018472</v>
      </c>
      <c r="AF78" s="6" t="n">
        <v>7341254.468972882</v>
      </c>
      <c r="AG78" s="6" t="n">
        <v>2119211.702806999</v>
      </c>
      <c r="AH78" s="6" t="n">
        <v>2081207.869049879</v>
      </c>
      <c r="AI78" s="6" t="n">
        <v>1979666.741512062</v>
      </c>
      <c r="AJ78" s="6" t="n">
        <v>1905103.263921718</v>
      </c>
      <c r="AK78" s="6" t="n">
        <v>1862039.338356505</v>
      </c>
      <c r="AL78" s="6" t="n">
        <v>2788646.212786335</v>
      </c>
      <c r="AM78" s="6" t="n">
        <v>2013296.817861044</v>
      </c>
      <c r="AN78" s="6" t="n">
        <v>1974563.367593839</v>
      </c>
      <c r="AO78" s="6" t="n">
        <v>1872735.536029145</v>
      </c>
      <c r="AP78" s="6" t="n">
        <v>1795546.631509021</v>
      </c>
      <c r="AQ78" s="6" t="n">
        <v>1752415.192736472</v>
      </c>
      <c r="AR78" s="6" t="n">
        <v>2657451.248004627</v>
      </c>
    </row>
    <row r="79">
      <c r="A79" t="inlineStr">
        <is>
          <t>Autos</t>
        </is>
      </c>
      <c r="B79" s="8" t="n">
        <v>202311</v>
      </c>
      <c r="C79" s="8" t="n">
        <v>2023</v>
      </c>
      <c r="D79" s="9" t="n">
        <v>384440.9442634452</v>
      </c>
      <c r="E79" s="10" t="n">
        <v>0.09935868712967919</v>
      </c>
      <c r="F79" s="22">
        <f>D79*(1-E79)</f>
        <v/>
      </c>
      <c r="G79" s="10" t="n">
        <v>1.190840985835924</v>
      </c>
      <c r="H79" s="10" t="n">
        <v>0.02435230928646919</v>
      </c>
      <c r="I79" s="10" t="n">
        <v>0.2318427891225983</v>
      </c>
      <c r="J79" s="10" t="n">
        <v>0.1375969679901488</v>
      </c>
      <c r="K79" s="9" t="n">
        <v>5061851.489305412</v>
      </c>
      <c r="L79" s="18" t="n">
        <v>4250652.731567003</v>
      </c>
      <c r="M79" s="18" t="n">
        <v>4390516.700169103</v>
      </c>
      <c r="N79" s="23">
        <f>IF(L79=0,"",M79/L79)</f>
        <v/>
      </c>
      <c r="O79" s="9" t="n">
        <v>6358673.029740097</v>
      </c>
      <c r="P79" s="22">
        <f>M79*G79*(1+H79+I79)</f>
        <v/>
      </c>
      <c r="Q79" s="9" t="n">
        <v>5662177.612395253</v>
      </c>
      <c r="R79" s="22">
        <f>P79-M79*G79*J79</f>
        <v/>
      </c>
      <c r="S79" s="22">
        <f>IF(A79=A78,O79-O78,"")</f>
        <v/>
      </c>
      <c r="T79" s="22">
        <f>IF(A79=A78,P79-P78,"")</f>
        <v/>
      </c>
      <c r="U79" s="22">
        <f>IF(A79=A78,Q79-Q78,"")</f>
        <v/>
      </c>
      <c r="V79" s="22">
        <f>IF(A79=A78,R79-R78,"")</f>
        <v/>
      </c>
      <c r="W79" s="22">
        <f>IF(S79="","",D79-S79)</f>
        <v/>
      </c>
      <c r="X79" s="22">
        <f>IF(T79="","",D79-T79)</f>
        <v/>
      </c>
      <c r="Y79" s="22">
        <f>IF(U79="","",F79-U79)</f>
        <v/>
      </c>
      <c r="Z79" s="22">
        <f>IF(V79="","",F79-V79)</f>
        <v/>
      </c>
      <c r="AA79" s="9" t="n">
        <v>4758845.963505424</v>
      </c>
      <c r="AB79" s="9" t="n">
        <v>4531494.456647446</v>
      </c>
      <c r="AC79" s="9" t="n">
        <v>4133118.602212159</v>
      </c>
      <c r="AD79" s="9" t="n">
        <v>3449663.673235464</v>
      </c>
      <c r="AE79" s="9" t="n">
        <v>3219253.167558812</v>
      </c>
      <c r="AF79" s="9" t="n">
        <v>6563788.549642345</v>
      </c>
      <c r="AG79" s="9" t="n">
        <v>-604685.9950896986</v>
      </c>
      <c r="AH79" s="9" t="n">
        <v>-526136.5160263572</v>
      </c>
      <c r="AI79" s="9" t="n">
        <v>-533416.6914933883</v>
      </c>
      <c r="AJ79" s="9" t="n">
        <v>-92834.44469215535</v>
      </c>
      <c r="AK79" s="9" t="n">
        <v>-875.5802100263536</v>
      </c>
      <c r="AL79" s="9" t="n">
        <v>-890201.2210527305</v>
      </c>
      <c r="AM79" s="9" t="n">
        <v>-585694.4471707604</v>
      </c>
      <c r="AN79" s="9" t="n">
        <v>-513566.1360159254</v>
      </c>
      <c r="AO79" s="9" t="n">
        <v>-515014.8212097314</v>
      </c>
      <c r="AP79" s="9" t="n">
        <v>-117836.191886654</v>
      </c>
      <c r="AQ79" s="9" t="n">
        <v>-33841.0052137872</v>
      </c>
      <c r="AR79" s="9" t="n">
        <v>-860085.9482069936</v>
      </c>
    </row>
    <row r="80">
      <c r="A80" s="4" t="inlineStr">
        <is>
          <t>Autos</t>
        </is>
      </c>
      <c r="B80" s="5" t="n">
        <v>202312</v>
      </c>
      <c r="C80" s="5" t="n">
        <v>2023</v>
      </c>
      <c r="D80" s="6" t="n">
        <v>2774166.245701172</v>
      </c>
      <c r="E80" s="11" t="n">
        <v>0.09935868712967919</v>
      </c>
      <c r="F80" s="22">
        <f>D80*(1-E80)</f>
        <v/>
      </c>
      <c r="G80" s="11" t="n">
        <v>0.989027235</v>
      </c>
      <c r="H80" s="11" t="n">
        <v>0.02941857938913439</v>
      </c>
      <c r="I80" s="11" t="n">
        <v>0.1634739908781701</v>
      </c>
      <c r="J80" s="11" t="n">
        <v>0.09653729261529673</v>
      </c>
      <c r="K80" s="6" t="n">
        <v>5698912.647790365</v>
      </c>
      <c r="L80" s="18" t="n">
        <v>5762139.247652128</v>
      </c>
      <c r="M80" s="18" t="n">
        <v>5711959.081892095</v>
      </c>
      <c r="N80" s="23">
        <f>IF(L80=0,"",M80/L80)</f>
        <v/>
      </c>
      <c r="O80" s="6" t="n">
        <v>6798190.556151498</v>
      </c>
      <c r="P80" s="22">
        <f>M80*G80*(1+H80+I80)</f>
        <v/>
      </c>
      <c r="Q80" s="6" t="n">
        <v>6248032.958282745</v>
      </c>
      <c r="R80" s="22">
        <f>P80-M80*G80*J80</f>
        <v/>
      </c>
      <c r="S80" s="22">
        <f>IF(A80=A79,O80-O79,"")</f>
        <v/>
      </c>
      <c r="T80" s="22">
        <f>IF(A80=A79,P80-P79,"")</f>
        <v/>
      </c>
      <c r="U80" s="22">
        <f>IF(A80=A79,Q80-Q79,"")</f>
        <v/>
      </c>
      <c r="V80" s="22">
        <f>IF(A80=A79,R80-R79,"")</f>
        <v/>
      </c>
      <c r="W80" s="22">
        <f>IF(S80="","",D80-S80)</f>
        <v/>
      </c>
      <c r="X80" s="22">
        <f>IF(T80="","",D80-T80)</f>
        <v/>
      </c>
      <c r="Y80" s="22">
        <f>IF(U80="","",F80-U80)</f>
        <v/>
      </c>
      <c r="Z80" s="22">
        <f>IF(V80="","",F80-V80)</f>
        <v/>
      </c>
      <c r="AA80" s="6" t="n">
        <v>6385463.135009635</v>
      </c>
      <c r="AB80" s="6" t="n">
        <v>5969423.315975002</v>
      </c>
      <c r="AC80" s="6" t="n">
        <v>5824323.78915671</v>
      </c>
      <c r="AD80" s="6" t="n">
        <v>3940589.376025428</v>
      </c>
      <c r="AE80" s="6" t="n">
        <v>3672392.84241898</v>
      </c>
      <c r="AF80" s="6" t="n">
        <v>8038229.445148441</v>
      </c>
      <c r="AG80" s="6" t="n">
        <v>2359469.971907923</v>
      </c>
      <c r="AH80" s="6" t="n">
        <v>2510213.475053033</v>
      </c>
      <c r="AI80" s="6" t="n">
        <v>2085460.529036558</v>
      </c>
      <c r="AJ80" s="6" t="n">
        <v>3285496.712260118</v>
      </c>
      <c r="AK80" s="6" t="n">
        <v>3257238.184333244</v>
      </c>
      <c r="AL80" s="6" t="n">
        <v>3109596.176455021</v>
      </c>
      <c r="AM80" s="6" t="n">
        <v>1913737.796110393</v>
      </c>
      <c r="AN80" s="6" t="n">
        <v>2062011.577883118</v>
      </c>
      <c r="AO80" s="6" t="n">
        <v>1688681.134994498</v>
      </c>
      <c r="AP80" s="6" t="n">
        <v>2820850.367434639</v>
      </c>
      <c r="AQ80" s="6" t="n">
        <v>2804739.136698843</v>
      </c>
      <c r="AR80" s="6" t="n">
        <v>2525915.972422177</v>
      </c>
    </row>
    <row r="81">
      <c r="A81" t="inlineStr">
        <is>
          <t>Autos</t>
        </is>
      </c>
      <c r="B81" s="8" t="n">
        <v>202401</v>
      </c>
      <c r="C81" s="8" t="n">
        <v>2024</v>
      </c>
      <c r="D81" s="9" t="n">
        <v>1802683.575173548</v>
      </c>
      <c r="E81" s="10" t="n">
        <v>0.09372552607990496</v>
      </c>
      <c r="F81" s="22">
        <f>D81*(1-E81)</f>
        <v/>
      </c>
      <c r="G81" s="10" t="n">
        <v>0.9776600000000001</v>
      </c>
      <c r="H81" s="10" t="n">
        <v>0.02889322598768611</v>
      </c>
      <c r="I81" s="10" t="n">
        <v>0.1776085101839857</v>
      </c>
      <c r="J81" s="10" t="n">
        <v>0.07983409791936136</v>
      </c>
      <c r="K81" s="9" t="n">
        <v>6174899.37958164</v>
      </c>
      <c r="L81" s="18" t="n">
        <v>6315998.792608513</v>
      </c>
      <c r="M81" s="18" t="n">
        <v>6274972.199836533</v>
      </c>
      <c r="N81" s="23">
        <f>IF(L81=0,"",M81/L81)</f>
        <v/>
      </c>
      <c r="O81" s="9" t="n">
        <v>7450026.822150627</v>
      </c>
      <c r="P81" s="22">
        <f>M81*G81*(1+H81+I81)</f>
        <v/>
      </c>
      <c r="Q81" s="9" t="n">
        <v>6957059.300438903</v>
      </c>
      <c r="R81" s="22">
        <f>P81-M81*G81*J81</f>
        <v/>
      </c>
      <c r="S81" s="22">
        <f>IF(A81=A80,O81-O80,"")</f>
        <v/>
      </c>
      <c r="T81" s="22">
        <f>IF(A81=A80,P81-P80,"")</f>
        <v/>
      </c>
      <c r="U81" s="22">
        <f>IF(A81=A80,Q81-Q80,"")</f>
        <v/>
      </c>
      <c r="V81" s="22">
        <f>IF(A81=A80,R81-R80,"")</f>
        <v/>
      </c>
      <c r="W81" s="22">
        <f>IF(S81="","",D81-S81)</f>
        <v/>
      </c>
      <c r="X81" s="22">
        <f>IF(T81="","",D81-T81)</f>
        <v/>
      </c>
      <c r="Y81" s="22">
        <f>IF(U81="","",F81-U81)</f>
        <v/>
      </c>
      <c r="Z81" s="22">
        <f>IF(V81="","",F81-V81)</f>
        <v/>
      </c>
      <c r="AA81" s="9" t="n">
        <v>6945620.840642643</v>
      </c>
      <c r="AB81" s="9" t="n">
        <v>6530794.965400593</v>
      </c>
      <c r="AC81" s="9" t="n">
        <v>6479777.140623223</v>
      </c>
      <c r="AD81" s="9" t="n">
        <v>4709797.054022073</v>
      </c>
      <c r="AE81" s="9" t="n">
        <v>4447804.506452267</v>
      </c>
      <c r="AF81" s="9" t="n">
        <v>8520068.144120144</v>
      </c>
      <c r="AG81" s="9" t="n">
        <v>1143577.116928907</v>
      </c>
      <c r="AH81" s="9" t="n">
        <v>1142039.223956799</v>
      </c>
      <c r="AI81" s="9" t="n">
        <v>1031028.330078512</v>
      </c>
      <c r="AJ81" s="9" t="n">
        <v>896369.6992219493</v>
      </c>
      <c r="AK81" s="9" t="n">
        <v>888983.4729949723</v>
      </c>
      <c r="AL81" s="9" t="n">
        <v>1236379.230008271</v>
      </c>
      <c r="AM81" s="9" t="n">
        <v>907058.230240857</v>
      </c>
      <c r="AN81" s="9" t="n">
        <v>912865.5817435568</v>
      </c>
      <c r="AO81" s="9" t="n">
        <v>811726.5301210776</v>
      </c>
      <c r="AP81" s="9" t="n">
        <v>718775.1002620168</v>
      </c>
      <c r="AQ81" s="9" t="n">
        <v>716547.0691526879</v>
      </c>
      <c r="AR81" s="9" t="n">
        <v>964944.0656788831</v>
      </c>
    </row>
    <row r="82">
      <c r="A82" s="4" t="inlineStr">
        <is>
          <t>Autos</t>
        </is>
      </c>
      <c r="B82" s="5" t="n">
        <v>202402</v>
      </c>
      <c r="C82" s="5" t="n">
        <v>2024</v>
      </c>
      <c r="D82" s="6" t="n">
        <v>299440.1268815841</v>
      </c>
      <c r="E82" s="11" t="n">
        <v>0.09372552607990496</v>
      </c>
      <c r="F82" s="22">
        <f>D82*(1-E82)</f>
        <v/>
      </c>
      <c r="G82" s="11" t="n">
        <v>1.031579</v>
      </c>
      <c r="H82" s="11" t="n">
        <v>0.02738286192804566</v>
      </c>
      <c r="I82" s="11" t="n">
        <v>0.199350301450843</v>
      </c>
      <c r="J82" s="11" t="n">
        <v>0.07594300809685348</v>
      </c>
      <c r="K82" s="6" t="n">
        <v>5752083.065854359</v>
      </c>
      <c r="L82" s="18" t="n">
        <v>5575998.605879297</v>
      </c>
      <c r="M82" s="18" t="n">
        <v>5506996.792705103</v>
      </c>
      <c r="N82" s="23">
        <f>IF(L82=0,"",M82/L82)</f>
        <v/>
      </c>
      <c r="O82" s="6" t="n">
        <v>7056271.055393655</v>
      </c>
      <c r="P82" s="22">
        <f>M82*G82*(1+H82+I82)</f>
        <v/>
      </c>
      <c r="Q82" s="6" t="n">
        <v>6619440.564549703</v>
      </c>
      <c r="R82" s="22">
        <f>P82-M82*G82*J82</f>
        <v/>
      </c>
      <c r="S82" s="22">
        <f>IF(A82=A81,O82-O81,"")</f>
        <v/>
      </c>
      <c r="T82" s="22">
        <f>IF(A82=A81,P82-P81,"")</f>
        <v/>
      </c>
      <c r="U82" s="22">
        <f>IF(A82=A81,Q82-Q81,"")</f>
        <v/>
      </c>
      <c r="V82" s="22">
        <f>IF(A82=A81,R82-R81,"")</f>
        <v/>
      </c>
      <c r="W82" s="22">
        <f>IF(S82="","",D82-S82)</f>
        <v/>
      </c>
      <c r="X82" s="22">
        <f>IF(T82="","",D82-T82)</f>
        <v/>
      </c>
      <c r="Y82" s="22">
        <f>IF(U82="","",F82-U82)</f>
        <v/>
      </c>
      <c r="Z82" s="22">
        <f>IF(V82="","",F82-V82)</f>
        <v/>
      </c>
      <c r="AA82" s="6" t="n">
        <v>6171758.481764635</v>
      </c>
      <c r="AB82" s="6" t="n">
        <v>5754658.752067449</v>
      </c>
      <c r="AC82" s="6" t="n">
        <v>5623573.614138415</v>
      </c>
      <c r="AD82" s="6" t="n">
        <v>3996750.858985843</v>
      </c>
      <c r="AE82" s="6" t="n">
        <v>3735322.184236994</v>
      </c>
      <c r="AF82" s="6" t="n">
        <v>7511425.710300579</v>
      </c>
      <c r="AG82" s="6" t="n">
        <v>681948.0851189182</v>
      </c>
      <c r="AH82" s="6" t="n">
        <v>720468.9514722205</v>
      </c>
      <c r="AI82" s="6" t="n">
        <v>826175.5473689926</v>
      </c>
      <c r="AJ82" s="6" t="n">
        <v>797097.1355951824</v>
      </c>
      <c r="AK82" s="6" t="n">
        <v>818894.934723251</v>
      </c>
      <c r="AL82" s="6" t="n">
        <v>843773.4257042403</v>
      </c>
      <c r="AM82" s="6" t="n">
        <v>595276.0405268299</v>
      </c>
      <c r="AN82" s="6" t="n">
        <v>633498.2185737428</v>
      </c>
      <c r="AO82" s="6" t="n">
        <v>732917.4178915538</v>
      </c>
      <c r="AP82" s="6" t="n">
        <v>714539.7543326172</v>
      </c>
      <c r="AQ82" s="6" t="n">
        <v>736305.5907642695</v>
      </c>
      <c r="AR82" s="6" t="n">
        <v>739165.9726674634</v>
      </c>
    </row>
    <row r="83">
      <c r="A83" t="inlineStr">
        <is>
          <t>Autos</t>
        </is>
      </c>
      <c r="B83" s="8" t="n">
        <v>202403</v>
      </c>
      <c r="C83" s="8" t="n">
        <v>2024</v>
      </c>
      <c r="D83" s="9" t="n">
        <v>699101.8976340105</v>
      </c>
      <c r="E83" s="10" t="n">
        <v>0.09372552607990496</v>
      </c>
      <c r="F83" s="22">
        <f>D83*(1-E83)</f>
        <v/>
      </c>
      <c r="G83" s="10" t="n">
        <v>0.9899</v>
      </c>
      <c r="H83" s="10" t="n">
        <v>0.0285358136549649</v>
      </c>
      <c r="I83" s="10" t="n">
        <v>0.1660452927717714</v>
      </c>
      <c r="J83" s="10" t="n">
        <v>0.07538218059421203</v>
      </c>
      <c r="K83" s="9" t="n">
        <v>5028291.876830189</v>
      </c>
      <c r="L83" s="18" t="n">
        <v>5079595.794353156</v>
      </c>
      <c r="M83" s="18" t="n">
        <v>5001861.504919631</v>
      </c>
      <c r="N83" s="23">
        <f>IF(L83=0,"",M83/L83)</f>
        <v/>
      </c>
      <c r="O83" s="9" t="n">
        <v>6006702.473660379</v>
      </c>
      <c r="P83" s="22">
        <f>M83*G83*(1+H83+I83)</f>
        <v/>
      </c>
      <c r="Q83" s="9" t="n">
        <v>5627658.867320756</v>
      </c>
      <c r="R83" s="22">
        <f>P83-M83*G83*J83</f>
        <v/>
      </c>
      <c r="S83" s="22">
        <f>IF(A83=A82,O83-O82,"")</f>
        <v/>
      </c>
      <c r="T83" s="22">
        <f>IF(A83=A82,P83-P82,"")</f>
        <v/>
      </c>
      <c r="U83" s="22">
        <f>IF(A83=A82,Q83-Q82,"")</f>
        <v/>
      </c>
      <c r="V83" s="22">
        <f>IF(A83=A82,R83-R82,"")</f>
        <v/>
      </c>
      <c r="W83" s="22">
        <f>IF(S83="","",D83-S83)</f>
        <v/>
      </c>
      <c r="X83" s="22">
        <f>IF(T83="","",D83-T83)</f>
        <v/>
      </c>
      <c r="Y83" s="22">
        <f>IF(U83="","",F83-U83)</f>
        <v/>
      </c>
      <c r="Z83" s="22">
        <f>IF(V83="","",F83-V83)</f>
        <v/>
      </c>
      <c r="AA83" s="9" t="n">
        <v>5668750.217181944</v>
      </c>
      <c r="AB83" s="9" t="n">
        <v>5247892.702364594</v>
      </c>
      <c r="AC83" s="9" t="n">
        <v>4803044.062989226</v>
      </c>
      <c r="AD83" s="9" t="n">
        <v>3329986.374214437</v>
      </c>
      <c r="AE83" s="9" t="n">
        <v>3050830.486664076</v>
      </c>
      <c r="AF83" s="9" t="n">
        <v>6913275.162459456</v>
      </c>
      <c r="AG83" s="9" t="n">
        <v>1805903.586688205</v>
      </c>
      <c r="AH83" s="9" t="n">
        <v>1775746.1631627</v>
      </c>
      <c r="AI83" s="9" t="n">
        <v>2135902.130461375</v>
      </c>
      <c r="AJ83" s="9" t="n">
        <v>1819117.254543931</v>
      </c>
      <c r="AK83" s="9" t="n">
        <v>1818392.80031399</v>
      </c>
      <c r="AL83" s="9" t="n">
        <v>2029544.72374248</v>
      </c>
      <c r="AM83" s="9" t="n">
        <v>1679883.644572651</v>
      </c>
      <c r="AN83" s="9" t="n">
        <v>1650997.586443479</v>
      </c>
      <c r="AO83" s="9" t="n">
        <v>1988227.951868791</v>
      </c>
      <c r="AP83" s="9" t="n">
        <v>1688969.569384192</v>
      </c>
      <c r="AQ83" s="9" t="n">
        <v>1687894.913080998</v>
      </c>
      <c r="AR83" s="9" t="n">
        <v>1891441.09943517</v>
      </c>
    </row>
    <row r="84">
      <c r="A84" s="4" t="inlineStr">
        <is>
          <t>Autos</t>
        </is>
      </c>
      <c r="B84" s="5" t="n">
        <v>202404</v>
      </c>
      <c r="C84" s="5" t="n">
        <v>2024</v>
      </c>
      <c r="D84" s="6" t="n">
        <v>5517188.137751507</v>
      </c>
      <c r="E84" s="11" t="n">
        <v>0.09372552607990496</v>
      </c>
      <c r="F84" s="22">
        <f>D84*(1-E84)</f>
        <v/>
      </c>
      <c r="G84" s="11" t="n">
        <v>0.97497</v>
      </c>
      <c r="H84" s="11" t="n">
        <v>0.0289728754316561</v>
      </c>
      <c r="I84" s="11" t="n">
        <v>0.175771347916485</v>
      </c>
      <c r="J84" s="11" t="n">
        <v>0.05913046787500022</v>
      </c>
      <c r="K84" s="6" t="n">
        <v>10027128.91491697</v>
      </c>
      <c r="L84" s="18" t="n">
        <v>10284551.23226045</v>
      </c>
      <c r="M84" s="18" t="n">
        <v>8867911.487117505</v>
      </c>
      <c r="N84" s="23">
        <f>IF(L84=0,"",M84/L84)</f>
        <v/>
      </c>
      <c r="O84" s="6" t="n">
        <v>12080125.63701334</v>
      </c>
      <c r="P84" s="22">
        <f>M84*G84*(1+H84+I84)</f>
        <v/>
      </c>
      <c r="Q84" s="6" t="n">
        <v>11487216.81283135</v>
      </c>
      <c r="R84" s="22">
        <f>P84-M84*G84*J84</f>
        <v/>
      </c>
      <c r="S84" s="22">
        <f>IF(A84=A83,O84-O83,"")</f>
        <v/>
      </c>
      <c r="T84" s="22">
        <f>IF(A84=A83,P84-P83,"")</f>
        <v/>
      </c>
      <c r="U84" s="22">
        <f>IF(A84=A83,Q84-Q83,"")</f>
        <v/>
      </c>
      <c r="V84" s="22">
        <f>IF(A84=A83,R84-R83,"")</f>
        <v/>
      </c>
      <c r="W84" s="22">
        <f>IF(S84="","",D84-S84)</f>
        <v/>
      </c>
      <c r="X84" s="22">
        <f>IF(T84="","",D84-T84)</f>
        <v/>
      </c>
      <c r="Y84" s="22">
        <f>IF(U84="","",F84-U84)</f>
        <v/>
      </c>
      <c r="Z84" s="22">
        <f>IF(V84="","",F84-V84)</f>
        <v/>
      </c>
      <c r="AA84" s="6" t="n">
        <v>10137757.50313583</v>
      </c>
      <c r="AB84" s="6" t="n">
        <v>9336278.573518725</v>
      </c>
      <c r="AC84" s="6" t="n">
        <v>4499844.151697273</v>
      </c>
      <c r="AD84" s="6" t="n">
        <v>4790754.231658998</v>
      </c>
      <c r="AE84" s="6" t="n">
        <v>4444825.682426059</v>
      </c>
      <c r="AF84" s="6" t="n">
        <v>10846437.15123906</v>
      </c>
      <c r="AG84" s="6" t="n">
        <v>312871.7792705856</v>
      </c>
      <c r="AH84" s="6" t="n">
        <v>756609.8182859793</v>
      </c>
      <c r="AI84" s="6" t="n">
        <v>5911394.227560954</v>
      </c>
      <c r="AJ84" s="6" t="n">
        <v>3827780.263177403</v>
      </c>
      <c r="AK84" s="6" t="n">
        <v>3903998.038269466</v>
      </c>
      <c r="AL84" s="6" t="n">
        <v>952134.5807972355</v>
      </c>
      <c r="AM84" s="6" t="n">
        <v>-42790.27199136931</v>
      </c>
      <c r="AN84" s="6" t="n">
        <v>386146.8933798494</v>
      </c>
      <c r="AO84" s="6" t="n">
        <v>5295303.73811963</v>
      </c>
      <c r="AP84" s="6" t="n">
        <v>3338381.639079486</v>
      </c>
      <c r="AQ84" s="6" t="n">
        <v>3415487.325171794</v>
      </c>
      <c r="AR84" s="6" t="n">
        <v>544460.7449484905</v>
      </c>
    </row>
    <row r="85">
      <c r="A85" t="inlineStr">
        <is>
          <t>Autos</t>
        </is>
      </c>
      <c r="B85" s="8" t="n">
        <v>202405</v>
      </c>
      <c r="C85" s="8" t="n">
        <v>2024</v>
      </c>
      <c r="D85" s="9" t="n">
        <v>412591.4661884172</v>
      </c>
      <c r="E85" s="10" t="n">
        <v>0.09372552607990496</v>
      </c>
      <c r="F85" s="22">
        <f>D85*(1-E85)</f>
        <v/>
      </c>
      <c r="G85" s="10" t="n">
        <v>0.9347700000000001</v>
      </c>
      <c r="H85" s="10" t="n">
        <v>0.03021888366769321</v>
      </c>
      <c r="I85" s="10" t="n">
        <v>0.152606681189323</v>
      </c>
      <c r="J85" s="10" t="n">
        <v>0.05492468780180472</v>
      </c>
      <c r="K85" s="9" t="n">
        <v>8475910.437170707</v>
      </c>
      <c r="L85" s="18" t="n">
        <v>9067375.32994288</v>
      </c>
      <c r="M85" s="18" t="n">
        <v>7677131.172577832</v>
      </c>
      <c r="N85" s="23">
        <f>IF(L85=0,"",M85/L85)</f>
        <v/>
      </c>
      <c r="O85" s="9" t="n">
        <v>10025523.55052392</v>
      </c>
      <c r="P85" s="22">
        <f>M85*G85*(1+H85+I85)</f>
        <v/>
      </c>
      <c r="Q85" s="9" t="n">
        <v>9559986.815926259</v>
      </c>
      <c r="R85" s="22">
        <f>P85-M85*G85*J85</f>
        <v/>
      </c>
      <c r="S85" s="22">
        <f>IF(A85=A84,O85-O84,"")</f>
        <v/>
      </c>
      <c r="T85" s="22">
        <f>IF(A85=A84,P85-P84,"")</f>
        <v/>
      </c>
      <c r="U85" s="22">
        <f>IF(A85=A84,Q85-Q84,"")</f>
        <v/>
      </c>
      <c r="V85" s="22">
        <f>IF(A85=A84,R85-R84,"")</f>
        <v/>
      </c>
      <c r="W85" s="22">
        <f>IF(S85="","",D85-S85)</f>
        <v/>
      </c>
      <c r="X85" s="22">
        <f>IF(T85="","",D85-T85)</f>
        <v/>
      </c>
      <c r="Y85" s="22">
        <f>IF(U85="","",F85-U85)</f>
        <v/>
      </c>
      <c r="Z85" s="22">
        <f>IF(V85="","",F85-V85)</f>
        <v/>
      </c>
      <c r="AA85" s="9" t="n">
        <v>8926229.716265315</v>
      </c>
      <c r="AB85" s="9" t="n">
        <v>8145019.038650667</v>
      </c>
      <c r="AC85" s="9" t="n">
        <v>3746879.458512235</v>
      </c>
      <c r="AD85" s="9" t="n">
        <v>3797181.547453974</v>
      </c>
      <c r="AE85" s="9" t="n">
        <v>3394247.058104337</v>
      </c>
      <c r="AF85" s="9" t="n">
        <v>9652070.709380791</v>
      </c>
      <c r="AG85" s="9" t="n">
        <v>2450831.633351158</v>
      </c>
      <c r="AH85" s="9" t="n">
        <v>2373184.013122223</v>
      </c>
      <c r="AI85" s="9" t="n">
        <v>1555249.386800735</v>
      </c>
      <c r="AJ85" s="9" t="n">
        <v>1841331.801723573</v>
      </c>
      <c r="AK85" s="9" t="n">
        <v>1880520.286254286</v>
      </c>
      <c r="AL85" s="9" t="n">
        <v>2480698.785121036</v>
      </c>
      <c r="AM85" s="9" t="n">
        <v>2286005.222380999</v>
      </c>
      <c r="AN85" s="9" t="n">
        <v>2214454.329020123</v>
      </c>
      <c r="AO85" s="9" t="n">
        <v>1449533.173485278</v>
      </c>
      <c r="AP85" s="9" t="n">
        <v>1721427.103904633</v>
      </c>
      <c r="AQ85" s="9" t="n">
        <v>1759871.07625783</v>
      </c>
      <c r="AR85" s="9" t="n">
        <v>2312282.778379754</v>
      </c>
    </row>
    <row r="86">
      <c r="A86" s="4" t="inlineStr">
        <is>
          <t>Autos</t>
        </is>
      </c>
      <c r="B86" s="5" t="n">
        <v>202406</v>
      </c>
      <c r="C86" s="5" t="n">
        <v>2024</v>
      </c>
      <c r="D86" s="6" t="n">
        <v>4375053.325888287</v>
      </c>
      <c r="E86" s="11" t="n">
        <v>0.09372552607990496</v>
      </c>
      <c r="F86" s="22">
        <f>D86*(1-E86)</f>
        <v/>
      </c>
      <c r="G86" s="11" t="n">
        <v>0.9252099999999999</v>
      </c>
      <c r="H86" s="11" t="n">
        <v>0.03053096140847649</v>
      </c>
      <c r="I86" s="11" t="n">
        <v>0.118267186143597</v>
      </c>
      <c r="J86" s="11" t="n">
        <v>0.04401514924993391</v>
      </c>
      <c r="K86" s="6" t="n">
        <v>9525537.755793989</v>
      </c>
      <c r="L86" s="18" t="n">
        <v>10295541.28878199</v>
      </c>
      <c r="M86" s="18" t="n">
        <v>8682707.538947169</v>
      </c>
      <c r="N86" s="23">
        <f>IF(L86=0,"",M86/L86)</f>
        <v/>
      </c>
      <c r="O86" s="6" t="n">
        <v>10942920.12829347</v>
      </c>
      <c r="P86" s="22">
        <f>M86*G86*(1+H86+I86)</f>
        <v/>
      </c>
      <c r="Q86" s="6" t="n">
        <v>10523652.16228632</v>
      </c>
      <c r="R86" s="22">
        <f>P86-M86*G86*J86</f>
        <v/>
      </c>
      <c r="S86" s="22">
        <f>IF(A86=A85,O86-O85,"")</f>
        <v/>
      </c>
      <c r="T86" s="22">
        <f>IF(A86=A85,P86-P85,"")</f>
        <v/>
      </c>
      <c r="U86" s="22">
        <f>IF(A86=A85,Q86-Q85,"")</f>
        <v/>
      </c>
      <c r="V86" s="22">
        <f>IF(A86=A85,R86-R85,"")</f>
        <v/>
      </c>
      <c r="W86" s="22">
        <f>IF(S86="","",D86-S86)</f>
        <v/>
      </c>
      <c r="X86" s="22">
        <f>IF(T86="","",D86-T86)</f>
        <v/>
      </c>
      <c r="Y86" s="22">
        <f>IF(U86="","",F86-U86)</f>
        <v/>
      </c>
      <c r="Z86" s="22">
        <f>IF(V86="","",F86-V86)</f>
        <v/>
      </c>
      <c r="AA86" s="6" t="n">
        <v>10227465.1299515</v>
      </c>
      <c r="AB86" s="6" t="n">
        <v>9259673.154306805</v>
      </c>
      <c r="AC86" s="6" t="n">
        <v>3336389.290771601</v>
      </c>
      <c r="AD86" s="6" t="n">
        <v>3945998.294207995</v>
      </c>
      <c r="AE86" s="6" t="n">
        <v>3484580.977929389</v>
      </c>
      <c r="AF86" s="6" t="n">
        <v>12248776.73241095</v>
      </c>
      <c r="AG86" s="6" t="n">
        <v>3373953.054136222</v>
      </c>
      <c r="AH86" s="6" t="n">
        <v>3538838.243027518</v>
      </c>
      <c r="AI86" s="6" t="n">
        <v>4971685.092029255</v>
      </c>
      <c r="AJ86" s="6" t="n">
        <v>4379361.661774609</v>
      </c>
      <c r="AK86" s="6" t="n">
        <v>4424280.166211775</v>
      </c>
      <c r="AL86" s="6" t="n">
        <v>2028082.824199054</v>
      </c>
      <c r="AM86" s="6" t="n">
        <v>2922104.519188416</v>
      </c>
      <c r="AN86" s="6" t="n">
        <v>3087686.947345831</v>
      </c>
      <c r="AO86" s="6" t="n">
        <v>4505127.454053474</v>
      </c>
      <c r="AP86" s="6" t="n">
        <v>3935046.680094182</v>
      </c>
      <c r="AQ86" s="6" t="n">
        <v>3981862.211501383</v>
      </c>
      <c r="AR86" s="6" t="n">
        <v>1621282.587295308</v>
      </c>
    </row>
    <row r="87">
      <c r="A87" t="inlineStr">
        <is>
          <t>Autos</t>
        </is>
      </c>
      <c r="B87" s="8" t="n">
        <v>202407</v>
      </c>
      <c r="C87" s="8" t="n">
        <v>2024</v>
      </c>
      <c r="D87" s="9" t="n">
        <v>5118124.587388402</v>
      </c>
      <c r="E87" s="10" t="n">
        <v>0.09372552607990496</v>
      </c>
      <c r="F87" s="22">
        <f>D87*(1-E87)</f>
        <v/>
      </c>
      <c r="G87" s="10" t="n">
        <v>0.9057899999999999</v>
      </c>
      <c r="H87" s="10" t="n">
        <v>0.03118568455138099</v>
      </c>
      <c r="I87" s="10" t="n">
        <v>0.1191789473822728</v>
      </c>
      <c r="J87" s="10" t="n">
        <v>0.08554039895175301</v>
      </c>
      <c r="K87" s="9" t="n">
        <v>12226037.08243882</v>
      </c>
      <c r="L87" s="18" t="n">
        <v>13497650.76059442</v>
      </c>
      <c r="M87" s="18" t="n">
        <v>11802258.59650084</v>
      </c>
      <c r="N87" s="23">
        <f>IF(L87=0,"",M87/L87)</f>
        <v/>
      </c>
      <c r="O87" s="9" t="n">
        <v>14064400.64834693</v>
      </c>
      <c r="P87" s="22">
        <f>M87*G87*(1+H87+I87)</f>
        <v/>
      </c>
      <c r="Q87" s="9" t="n">
        <v>13018580.55871619</v>
      </c>
      <c r="R87" s="22">
        <f>P87-M87*G87*J87</f>
        <v/>
      </c>
      <c r="S87" s="22">
        <f>IF(A87=A86,O87-O86,"")</f>
        <v/>
      </c>
      <c r="T87" s="22">
        <f>IF(A87=A86,P87-P86,"")</f>
        <v/>
      </c>
      <c r="U87" s="22">
        <f>IF(A87=A86,Q87-Q86,"")</f>
        <v/>
      </c>
      <c r="V87" s="22">
        <f>IF(A87=A86,R87-R86,"")</f>
        <v/>
      </c>
      <c r="W87" s="22">
        <f>IF(S87="","",D87-S87)</f>
        <v/>
      </c>
      <c r="X87" s="22">
        <f>IF(T87="","",D87-T87)</f>
        <v/>
      </c>
      <c r="Y87" s="22">
        <f>IF(U87="","",F87-U87)</f>
        <v/>
      </c>
      <c r="Z87" s="22">
        <f>IF(V87="","",F87-V87)</f>
        <v/>
      </c>
      <c r="AA87" s="9" t="n">
        <v>13431647.29555305</v>
      </c>
      <c r="AB87" s="9" t="n">
        <v>12403836.93017782</v>
      </c>
      <c r="AC87" s="9" t="n">
        <v>6892134.095196297</v>
      </c>
      <c r="AD87" s="9" t="n">
        <v>7046222.448162088</v>
      </c>
      <c r="AE87" s="9" t="n">
        <v>6616901.57004426</v>
      </c>
      <c r="AF87" s="9" t="n">
        <v>15457485.20001457</v>
      </c>
      <c r="AG87" s="9" t="n">
        <v>1993062.181365628</v>
      </c>
      <c r="AH87" s="9" t="n">
        <v>2035382.765836645</v>
      </c>
      <c r="AI87" s="9" t="n">
        <v>1482778.0851601</v>
      </c>
      <c r="AJ87" s="9" t="n">
        <v>1970160.683800957</v>
      </c>
      <c r="AK87" s="9" t="n">
        <v>1927077.199651624</v>
      </c>
      <c r="AL87" s="9" t="n">
        <v>2030572.549186954</v>
      </c>
      <c r="AM87" s="9" t="n">
        <v>2137573.611770593</v>
      </c>
      <c r="AN87" s="9" t="n">
        <v>2139669.406222189</v>
      </c>
      <c r="AO87" s="9" t="n">
        <v>1401224.368449007</v>
      </c>
      <c r="AP87" s="9" t="n">
        <v>1875720.721417568</v>
      </c>
      <c r="AQ87" s="9" t="n">
        <v>1818163.168021693</v>
      </c>
      <c r="AR87" s="9" t="n">
        <v>2249734.828361386</v>
      </c>
    </row>
    <row r="88">
      <c r="A88" s="4" t="inlineStr">
        <is>
          <t>Autos</t>
        </is>
      </c>
      <c r="B88" s="5" t="n">
        <v>202408</v>
      </c>
      <c r="C88" s="5" t="n">
        <v>2024</v>
      </c>
      <c r="D88" s="6" t="n">
        <v>990224.1032426622</v>
      </c>
      <c r="E88" s="11" t="n">
        <v>0.09372552607990496</v>
      </c>
      <c r="F88" s="22">
        <f>D88*(1-E88)</f>
        <v/>
      </c>
      <c r="G88" s="11" t="n">
        <v>0.98843</v>
      </c>
      <c r="H88" s="11" t="n">
        <v>0.02857847019092102</v>
      </c>
      <c r="I88" s="11" t="n">
        <v>0.1761004651628946</v>
      </c>
      <c r="J88" s="11" t="n">
        <v>0.08546327034273277</v>
      </c>
      <c r="K88" s="6" t="n">
        <v>12009420.59768458</v>
      </c>
      <c r="L88" s="18" t="n">
        <v>12149996.05200629</v>
      </c>
      <c r="M88" s="18" t="n">
        <v>10492613.48166952</v>
      </c>
      <c r="N88" s="23">
        <f>IF(L88=0,"",M88/L88)</f>
        <v/>
      </c>
      <c r="O88" s="6" t="n">
        <v>14467496.01983484</v>
      </c>
      <c r="P88" s="22">
        <f>M88*G88*(1+H88+I88)</f>
        <v/>
      </c>
      <c r="Q88" s="6" t="n">
        <v>13441131.66063534</v>
      </c>
      <c r="R88" s="22">
        <f>P88-M88*G88*J88</f>
        <v/>
      </c>
      <c r="S88" s="22">
        <f>IF(A88=A87,O88-O87,"")</f>
        <v/>
      </c>
      <c r="T88" s="22">
        <f>IF(A88=A87,P88-P87,"")</f>
        <v/>
      </c>
      <c r="U88" s="22">
        <f>IF(A88=A87,Q88-Q87,"")</f>
        <v/>
      </c>
      <c r="V88" s="22">
        <f>IF(A88=A87,R88-R87,"")</f>
        <v/>
      </c>
      <c r="W88" s="22">
        <f>IF(S88="","",D88-S88)</f>
        <v/>
      </c>
      <c r="X88" s="22">
        <f>IF(T88="","",D88-T88)</f>
        <v/>
      </c>
      <c r="Y88" s="22">
        <f>IF(U88="","",F88-U88)</f>
        <v/>
      </c>
      <c r="Z88" s="22">
        <f>IF(V88="","",F88-V88)</f>
        <v/>
      </c>
      <c r="AA88" s="6" t="n">
        <v>12102093.27540641</v>
      </c>
      <c r="AB88" s="6" t="n">
        <v>11087526.5349391</v>
      </c>
      <c r="AC88" s="6" t="n">
        <v>6288753.855460144</v>
      </c>
      <c r="AD88" s="6" t="n">
        <v>6220702.957639369</v>
      </c>
      <c r="AE88" s="6" t="n">
        <v>5792719.413160263</v>
      </c>
      <c r="AF88" s="6" t="n">
        <v>14497038.84260902</v>
      </c>
      <c r="AG88" s="6" t="n">
        <v>575393.6522774253</v>
      </c>
      <c r="AH88" s="6" t="n">
        <v>712512.7959009431</v>
      </c>
      <c r="AI88" s="6" t="n">
        <v>683474.7031062947</v>
      </c>
      <c r="AJ88" s="6" t="n">
        <v>925064.0185357494</v>
      </c>
      <c r="AK88" s="6" t="n">
        <v>987333.9487053551</v>
      </c>
      <c r="AL88" s="6" t="n">
        <v>-165465.3820768256</v>
      </c>
      <c r="AM88" s="6" t="n">
        <v>464196.1422152543</v>
      </c>
      <c r="AN88" s="6" t="n">
        <v>595246.7386227534</v>
      </c>
      <c r="AO88" s="6" t="n">
        <v>587890.677242395</v>
      </c>
      <c r="AP88" s="6" t="n">
        <v>811792.4118258269</v>
      </c>
      <c r="AQ88" s="6" t="n">
        <v>871173.1479059854</v>
      </c>
      <c r="AR88" s="6" t="n">
        <v>-231316.3969823415</v>
      </c>
    </row>
    <row r="89">
      <c r="A89" t="inlineStr">
        <is>
          <t>Autos</t>
        </is>
      </c>
      <c r="B89" s="8" t="n">
        <v>202409</v>
      </c>
      <c r="C89" s="8" t="n">
        <v>2024</v>
      </c>
      <c r="D89" s="9" t="n">
        <v>725756.6790979938</v>
      </c>
      <c r="E89" s="10" t="n">
        <v>0.09372552607990496</v>
      </c>
      <c r="F89" s="22">
        <f>D89*(1-E89)</f>
        <v/>
      </c>
      <c r="G89" s="10" t="n">
        <v>1.0505</v>
      </c>
      <c r="H89" s="10" t="n">
        <v>0.02688991733059403</v>
      </c>
      <c r="I89" s="10" t="n">
        <v>0.1895466500371256</v>
      </c>
      <c r="J89" s="10" t="n">
        <v>0.07662675983018008</v>
      </c>
      <c r="K89" s="9" t="n">
        <v>13444187.65393229</v>
      </c>
      <c r="L89" s="18" t="n">
        <v>12797894.00659904</v>
      </c>
      <c r="M89" s="18" t="n">
        <v>10994654.36701081</v>
      </c>
      <c r="N89" s="23">
        <f>IF(L89=0,"",M89/L89)</f>
        <v/>
      </c>
      <c r="O89" s="9" t="n">
        <v>16354001.48079687</v>
      </c>
      <c r="P89" s="22">
        <f>M89*G89*(1+H89+I89)</f>
        <v/>
      </c>
      <c r="Q89" s="9" t="n">
        <v>15323816.94232712</v>
      </c>
      <c r="R89" s="22">
        <f>P89-M89*G89*J89</f>
        <v/>
      </c>
      <c r="S89" s="22">
        <f>IF(A89=A88,O89-O88,"")</f>
        <v/>
      </c>
      <c r="T89" s="22">
        <f>IF(A89=A88,P89-P88,"")</f>
        <v/>
      </c>
      <c r="U89" s="22">
        <f>IF(A89=A88,Q89-Q88,"")</f>
        <v/>
      </c>
      <c r="V89" s="22">
        <f>IF(A89=A88,R89-R88,"")</f>
        <v/>
      </c>
      <c r="W89" s="22">
        <f>IF(S89="","",D89-S89)</f>
        <v/>
      </c>
      <c r="X89" s="22">
        <f>IF(T89="","",D89-T89)</f>
        <v/>
      </c>
      <c r="Y89" s="22">
        <f>IF(U89="","",F89-U89)</f>
        <v/>
      </c>
      <c r="Z89" s="22">
        <f>IF(V89="","",F89-V89)</f>
        <v/>
      </c>
      <c r="AA89" s="9" t="n">
        <v>12901972.3313606</v>
      </c>
      <c r="AB89" s="9" t="n">
        <v>11696645.26565025</v>
      </c>
      <c r="AC89" s="9" t="n">
        <v>5502483.615981233</v>
      </c>
      <c r="AD89" s="9" t="n">
        <v>5541921.591651207</v>
      </c>
      <c r="AE89" s="9" t="n">
        <v>5055525.043206982</v>
      </c>
      <c r="AF89" s="9" t="n">
        <v>13262571.64730832</v>
      </c>
      <c r="AG89" s="9" t="n">
        <v>-1350786.78885415</v>
      </c>
      <c r="AH89" s="9" t="n">
        <v>-1018625.584878716</v>
      </c>
      <c r="AI89" s="9" t="n">
        <v>1182592.36934974</v>
      </c>
      <c r="AJ89" s="9" t="n">
        <v>1051164.916399844</v>
      </c>
      <c r="AK89" s="9" t="n">
        <v>1163097.358660573</v>
      </c>
      <c r="AL89" s="9" t="n">
        <v>1040174.785077068</v>
      </c>
      <c r="AM89" s="9" t="n">
        <v>-1402564.043310814</v>
      </c>
      <c r="AN89" s="9" t="n">
        <v>-1081722.364604976</v>
      </c>
      <c r="AO89" s="9" t="n">
        <v>1026261.538647242</v>
      </c>
      <c r="AP89" s="9" t="n">
        <v>903757.2640705073</v>
      </c>
      <c r="AQ89" s="9" t="n">
        <v>1012690.208699864</v>
      </c>
      <c r="AR89" s="9" t="n">
        <v>815112.7471869757</v>
      </c>
    </row>
    <row r="90">
      <c r="A90" s="4" t="inlineStr">
        <is>
          <t>Autos</t>
        </is>
      </c>
      <c r="B90" s="5" t="n">
        <v>202410</v>
      </c>
      <c r="C90" s="5" t="n">
        <v>2024</v>
      </c>
      <c r="D90" s="6" t="n">
        <v>3732212.590272152</v>
      </c>
      <c r="E90" s="11" t="n">
        <v>0.09372552607990496</v>
      </c>
      <c r="F90" s="22">
        <f>D90*(1-E90)</f>
        <v/>
      </c>
      <c r="G90" s="11" t="n">
        <v>0.93698</v>
      </c>
      <c r="H90" s="11" t="n">
        <v>0.03014771462861133</v>
      </c>
      <c r="I90" s="11" t="n">
        <v>0.165104068271616</v>
      </c>
      <c r="J90" s="11" t="n">
        <v>0.06319483907989625</v>
      </c>
      <c r="K90" s="6" t="n">
        <v>15121809.61825805</v>
      </c>
      <c r="L90" s="18" t="n">
        <v>16138881.95933536</v>
      </c>
      <c r="M90" s="18" t="n">
        <v>11970585.22590075</v>
      </c>
      <c r="N90" s="23">
        <f>IF(L90=0,"",M90/L90)</f>
        <v/>
      </c>
      <c r="O90" s="6" t="n">
        <v>18074369.90690074</v>
      </c>
      <c r="P90" s="22">
        <f>M90*G90*(1+H90+I90)</f>
        <v/>
      </c>
      <c r="Q90" s="6" t="n">
        <v>17118749.58147809</v>
      </c>
      <c r="R90" s="22">
        <f>P90-M90*G90*J90</f>
        <v/>
      </c>
      <c r="S90" s="22">
        <f>IF(A90=A89,O90-O89,"")</f>
        <v/>
      </c>
      <c r="T90" s="22">
        <f>IF(A90=A89,P90-P89,"")</f>
        <v/>
      </c>
      <c r="U90" s="22">
        <f>IF(A90=A89,Q90-Q89,"")</f>
        <v/>
      </c>
      <c r="V90" s="22">
        <f>IF(A90=A89,R90-R89,"")</f>
        <v/>
      </c>
      <c r="W90" s="22">
        <f>IF(S90="","",D90-S90)</f>
        <v/>
      </c>
      <c r="X90" s="22">
        <f>IF(T90="","",D90-T90)</f>
        <v/>
      </c>
      <c r="Y90" s="22">
        <f>IF(U90="","",F90-U90)</f>
        <v/>
      </c>
      <c r="Z90" s="22">
        <f>IF(V90="","",F90-V90)</f>
        <v/>
      </c>
      <c r="AA90" s="6" t="n">
        <v>14244009.31550489</v>
      </c>
      <c r="AB90" s="6" t="n">
        <v>12798722.11277748</v>
      </c>
      <c r="AC90" s="6" t="n">
        <v>4739414.979239699</v>
      </c>
      <c r="AD90" s="6" t="n">
        <v>4543290.956413626</v>
      </c>
      <c r="AE90" s="6" t="n">
        <v>3987094.809036685</v>
      </c>
      <c r="AF90" s="6" t="n">
        <v>14819116.12446783</v>
      </c>
      <c r="AG90" s="6" t="n">
        <v>4266961.445461155</v>
      </c>
      <c r="AH90" s="6" t="n">
        <v>4345330.412766815</v>
      </c>
      <c r="AI90" s="6" t="n">
        <v>5455853.824211179</v>
      </c>
      <c r="AJ90" s="6" t="n">
        <v>5725894.888204031</v>
      </c>
      <c r="AK90" s="6" t="n">
        <v>5727244.069160432</v>
      </c>
      <c r="AL90" s="6" t="n">
        <v>4083681.620169464</v>
      </c>
      <c r="AM90" s="6" t="n">
        <v>3722015.944264885</v>
      </c>
      <c r="AN90" s="6" t="n">
        <v>3811830.634786276</v>
      </c>
      <c r="AO90" s="6" t="n">
        <v>4943751.715060733</v>
      </c>
      <c r="AP90" s="6" t="n">
        <v>5199005.20900734</v>
      </c>
      <c r="AQ90" s="6" t="n">
        <v>5206573.913218437</v>
      </c>
      <c r="AR90" s="6" t="n">
        <v>3543762.56524666</v>
      </c>
    </row>
    <row r="91">
      <c r="A91" t="inlineStr">
        <is>
          <t>Autos</t>
        </is>
      </c>
      <c r="B91" s="8" t="n">
        <v>202411</v>
      </c>
      <c r="C91" s="8" t="n">
        <v>2024</v>
      </c>
      <c r="D91" s="9" t="n">
        <v>227083.8035539092</v>
      </c>
      <c r="E91" s="10" t="n">
        <v>0.09372552607990496</v>
      </c>
      <c r="F91" s="22">
        <f>D91*(1-E91)</f>
        <v/>
      </c>
      <c r="G91" s="10" t="n">
        <v>0.8415067705237586</v>
      </c>
      <c r="H91" s="10" t="n">
        <v>0.03356803410576809</v>
      </c>
      <c r="I91" s="10" t="n">
        <v>0.1212928088343217</v>
      </c>
      <c r="J91" s="10" t="n">
        <v>0.0664676987062553</v>
      </c>
      <c r="K91" s="9" t="n">
        <v>12310132.34943102</v>
      </c>
      <c r="L91" s="18" t="n">
        <v>14628678.9133843</v>
      </c>
      <c r="M91" s="18" t="n">
        <v>10405867.32360261</v>
      </c>
      <c r="N91" s="23">
        <f>IF(L91=0,"",M91/L91)</f>
        <v/>
      </c>
      <c r="O91" s="9" t="n">
        <v>14216489.82176798</v>
      </c>
      <c r="P91" s="22">
        <f>M91*G91*(1+H91+I91)</f>
        <v/>
      </c>
      <c r="Q91" s="9" t="n">
        <v>13398263.65373187</v>
      </c>
      <c r="R91" s="22">
        <f>P91-M91*G91*J91</f>
        <v/>
      </c>
      <c r="S91" s="22">
        <f>IF(A91=A90,O91-O90,"")</f>
        <v/>
      </c>
      <c r="T91" s="22">
        <f>IF(A91=A90,P91-P90,"")</f>
        <v/>
      </c>
      <c r="U91" s="22">
        <f>IF(A91=A90,Q91-Q90,"")</f>
        <v/>
      </c>
      <c r="V91" s="22">
        <f>IF(A91=A90,R91-R90,"")</f>
        <v/>
      </c>
      <c r="W91" s="22">
        <f>IF(S91="","",D91-S91)</f>
        <v/>
      </c>
      <c r="X91" s="22">
        <f>IF(T91="","",D91-T91)</f>
        <v/>
      </c>
      <c r="Y91" s="22">
        <f>IF(U91="","",F91-U91)</f>
        <v/>
      </c>
      <c r="Z91" s="22">
        <f>IF(V91="","",F91-V91)</f>
        <v/>
      </c>
      <c r="AA91" s="9" t="n">
        <v>12488496.43348417</v>
      </c>
      <c r="AB91" s="9" t="n">
        <v>11135240.24615763</v>
      </c>
      <c r="AC91" s="9" t="n">
        <v>4164449.590262854</v>
      </c>
      <c r="AD91" s="9" t="n">
        <v>3910955.994087703</v>
      </c>
      <c r="AE91" s="9" t="n">
        <v>3431867.122336715</v>
      </c>
      <c r="AF91" s="9" t="n">
        <v>12865318.04967134</v>
      </c>
      <c r="AG91" s="9" t="n">
        <v>4042723.849315813</v>
      </c>
      <c r="AH91" s="9" t="n">
        <v>3739233.44897994</v>
      </c>
      <c r="AI91" s="9" t="n">
        <v>1487773.873215677</v>
      </c>
      <c r="AJ91" s="9" t="n">
        <v>1514480.244121265</v>
      </c>
      <c r="AK91" s="9" t="n">
        <v>1357170.841952741</v>
      </c>
      <c r="AL91" s="9" t="n">
        <v>4320597.505709792</v>
      </c>
      <c r="AM91" s="9" t="n">
        <v>3876539.044829587</v>
      </c>
      <c r="AN91" s="9" t="n">
        <v>3582935.721054605</v>
      </c>
      <c r="AO91" s="9" t="n">
        <v>1418788.897067781</v>
      </c>
      <c r="AP91" s="9" t="n">
        <v>1442929.560513078</v>
      </c>
      <c r="AQ91" s="9" t="n">
        <v>1291756.924942083</v>
      </c>
      <c r="AR91" s="9" t="n">
        <v>4141436.074557337</v>
      </c>
    </row>
    <row r="92">
      <c r="A92" s="4" t="inlineStr">
        <is>
          <t>Autos</t>
        </is>
      </c>
      <c r="B92" s="5" t="n">
        <v>202412</v>
      </c>
      <c r="C92" s="5" t="n">
        <v>2024</v>
      </c>
      <c r="D92" s="6" t="n">
        <v>-46924.80483870048</v>
      </c>
      <c r="E92" s="11" t="n">
        <v>0.09372552607990496</v>
      </c>
      <c r="F92" s="22">
        <f>D92*(1-E92)</f>
        <v/>
      </c>
      <c r="G92" s="11" t="n">
        <v>0.830287</v>
      </c>
      <c r="H92" s="11" t="n">
        <v>0.03663376861575644</v>
      </c>
      <c r="I92" s="11" t="n">
        <v>0.1103583119213666</v>
      </c>
      <c r="J92" s="11" t="n">
        <v>0.05995017428625698</v>
      </c>
      <c r="K92" s="6" t="n">
        <v>12344076.66751265</v>
      </c>
      <c r="L92" s="18" t="n">
        <v>14867240.68606717</v>
      </c>
      <c r="M92" s="18" t="n">
        <v>8368167.963698751</v>
      </c>
      <c r="N92" s="23">
        <f>IF(L92=0,"",M92/L92)</f>
        <v/>
      </c>
      <c r="O92" s="6" t="n">
        <v>14158558.1791801</v>
      </c>
      <c r="P92" s="22">
        <f>M92*G92*(1+H92+I92)</f>
        <v/>
      </c>
      <c r="Q92" s="6" t="n">
        <v>13418528.63155979</v>
      </c>
      <c r="R92" s="22">
        <f>P92-M92*G92*J92</f>
        <v/>
      </c>
      <c r="S92" s="22">
        <f>IF(A92=A91,O92-O91,"")</f>
        <v/>
      </c>
      <c r="T92" s="22">
        <f>IF(A92=A91,P92-P91,"")</f>
        <v/>
      </c>
      <c r="U92" s="22">
        <f>IF(A92=A91,Q92-Q91,"")</f>
        <v/>
      </c>
      <c r="V92" s="22">
        <f>IF(A92=A91,R92-R91,"")</f>
        <v/>
      </c>
      <c r="W92" s="22">
        <f>IF(S92="","",D92-S92)</f>
        <v/>
      </c>
      <c r="X92" s="22">
        <f>IF(T92="","",D92-T92)</f>
        <v/>
      </c>
      <c r="Y92" s="22">
        <f>IF(U92="","",F92-U92)</f>
        <v/>
      </c>
      <c r="Z92" s="22">
        <f>IF(V92="","",F92-V92)</f>
        <v/>
      </c>
      <c r="AA92" s="6" t="n">
        <v>10298894.73124287</v>
      </c>
      <c r="AB92" s="6" t="n">
        <v>9081375.474559193</v>
      </c>
      <c r="AC92" s="6" t="n">
        <v>3111616.451987516</v>
      </c>
      <c r="AD92" s="6" t="n">
        <v>3242003.456570131</v>
      </c>
      <c r="AE92" s="6" t="n">
        <v>2778961.50132523</v>
      </c>
      <c r="AF92" s="6" t="n">
        <v>10821137.67985339</v>
      </c>
      <c r="AG92" s="6" t="n">
        <v>2281712.655146205</v>
      </c>
      <c r="AH92" s="6" t="n">
        <v>2126070.167723666</v>
      </c>
      <c r="AI92" s="6" t="n">
        <v>1036890.170456024</v>
      </c>
      <c r="AJ92" s="6" t="n">
        <v>666367.4111406615</v>
      </c>
      <c r="AK92" s="6" t="n">
        <v>641747.6773537451</v>
      </c>
      <c r="AL92" s="6" t="n">
        <v>2150567.658761598</v>
      </c>
      <c r="AM92" s="6" t="n">
        <v>2100227.648325024</v>
      </c>
      <c r="AN92" s="6" t="n">
        <v>1959673.807911506</v>
      </c>
      <c r="AO92" s="6" t="n">
        <v>963241.3414587552</v>
      </c>
      <c r="AP92" s="6" t="n">
        <v>613387.3681721214</v>
      </c>
      <c r="AQ92" s="6" t="n">
        <v>592516.2140300205</v>
      </c>
      <c r="AR92" s="6" t="n">
        <v>1974000.96837799</v>
      </c>
    </row>
    <row r="93">
      <c r="A93" t="inlineStr">
        <is>
          <t>Autos</t>
        </is>
      </c>
      <c r="B93" s="8" t="n">
        <v>202501</v>
      </c>
      <c r="C93" s="8" t="n">
        <v>2025</v>
      </c>
      <c r="D93" s="9" t="n">
        <v>1927920.603368882</v>
      </c>
      <c r="E93" s="10" t="n">
        <v>0.08080950841070703</v>
      </c>
      <c r="F93" s="22">
        <f>D93*(1-E93)</f>
        <v/>
      </c>
      <c r="G93" s="10" t="n">
        <v>0.830287</v>
      </c>
      <c r="H93" s="10" t="n">
        <v>0.03569773214029419</v>
      </c>
      <c r="I93" s="10" t="n">
        <v>0.1211497004415829</v>
      </c>
      <c r="J93" s="10" t="n">
        <v>0.05932010268505177</v>
      </c>
      <c r="K93" s="9" t="n">
        <v>11514248.16673193</v>
      </c>
      <c r="L93" s="18" t="n">
        <v>13867792.90381751</v>
      </c>
      <c r="M93" s="18" t="n">
        <v>8550903.941427641</v>
      </c>
      <c r="N93" s="23">
        <f>IF(L93=0,"",M93/L93)</f>
        <v/>
      </c>
      <c r="O93" s="9" t="n">
        <v>13320228.42979441</v>
      </c>
      <c r="P93" s="22">
        <f>M93*G93*(1+H93+I93)</f>
        <v/>
      </c>
      <c r="Q93" s="9" t="n">
        <v>12637202.04620271</v>
      </c>
      <c r="R93" s="22">
        <f>P93-M93*G93*J93</f>
        <v/>
      </c>
      <c r="S93" s="22">
        <f>IF(A93=A92,O93-O92,"")</f>
        <v/>
      </c>
      <c r="T93" s="22">
        <f>IF(A93=A92,P93-P92,"")</f>
        <v/>
      </c>
      <c r="U93" s="22">
        <f>IF(A93=A92,Q93-Q92,"")</f>
        <v/>
      </c>
      <c r="V93" s="22">
        <f>IF(A93=A92,R93-R92,"")</f>
        <v/>
      </c>
      <c r="W93" s="22">
        <f>IF(S93="","",D93-S93)</f>
        <v/>
      </c>
      <c r="X93" s="22">
        <f>IF(T93="","",D93-T93)</f>
        <v/>
      </c>
      <c r="Y93" s="22">
        <f>IF(U93="","",F93-U93)</f>
        <v/>
      </c>
      <c r="Z93" s="22">
        <f>IF(V93="","",F93-V93)</f>
        <v/>
      </c>
      <c r="AA93" s="9" t="n">
        <v>10496213.07115752</v>
      </c>
      <c r="AB93" s="9" t="n">
        <v>9265399.364064502</v>
      </c>
      <c r="AC93" s="9" t="n">
        <v>4207362.814012899</v>
      </c>
      <c r="AD93" s="9" t="n">
        <v>4433758.647521046</v>
      </c>
      <c r="AE93" s="9" t="n">
        <v>3999175.015351086</v>
      </c>
      <c r="AF93" s="9" t="n">
        <v>10785724.69637448</v>
      </c>
      <c r="AG93" s="9" t="n">
        <v>1654119.808408989</v>
      </c>
      <c r="AH93" s="9" t="n">
        <v>1676852.013432192</v>
      </c>
      <c r="AI93" s="9" t="n">
        <v>849977.721520205</v>
      </c>
      <c r="AJ93" s="9" t="n">
        <v>756692.8373542526</v>
      </c>
      <c r="AK93" s="9" t="n">
        <v>733147.1463671029</v>
      </c>
      <c r="AL93" s="9" t="n">
        <v>1873388.430637395</v>
      </c>
      <c r="AM93" s="9" t="n">
        <v>1502656.188725944</v>
      </c>
      <c r="AN93" s="9" t="n">
        <v>1525370.539377171</v>
      </c>
      <c r="AO93" s="9" t="n">
        <v>746524.0713786238</v>
      </c>
      <c r="AP93" s="9" t="n">
        <v>657899.6715391756</v>
      </c>
      <c r="AQ93" s="9" t="n">
        <v>635997.8659769625</v>
      </c>
      <c r="AR93" s="9" t="n">
        <v>1710188.956240823</v>
      </c>
    </row>
    <row r="94">
      <c r="A94" s="4" t="inlineStr">
        <is>
          <t>Autos</t>
        </is>
      </c>
      <c r="B94" s="5" t="n">
        <v>202502</v>
      </c>
      <c r="C94" s="5" t="n">
        <v>2025</v>
      </c>
      <c r="D94" s="6" t="n">
        <v>1333239.017106122</v>
      </c>
      <c r="E94" s="11" t="n">
        <v>0.08080950841070703</v>
      </c>
      <c r="F94" s="22">
        <f>D94*(1-E94)</f>
        <v/>
      </c>
      <c r="G94" s="11" t="n">
        <v>0.8751100000000001</v>
      </c>
      <c r="H94" s="11" t="n">
        <v>0.0322910423815745</v>
      </c>
      <c r="I94" s="11" t="n">
        <v>0.167413263462362</v>
      </c>
      <c r="J94" s="11" t="n">
        <v>0.05618957942302564</v>
      </c>
      <c r="K94" s="6" t="n">
        <v>11695972.99375067</v>
      </c>
      <c r="L94" s="18" t="n">
        <v>13365146.08877817</v>
      </c>
      <c r="M94" s="18" t="n">
        <v>7649919.413026826</v>
      </c>
      <c r="N94" s="23">
        <f>IF(L94=0,"",M94/L94)</f>
        <v/>
      </c>
      <c r="O94" s="6" t="n">
        <v>14031709.16163707</v>
      </c>
      <c r="P94" s="22">
        <f>M94*G94*(1+H94+I94)</f>
        <v/>
      </c>
      <c r="Q94" s="6" t="n">
        <v>13374517.35817516</v>
      </c>
      <c r="R94" s="22">
        <f>P94-M94*G94*J94</f>
        <v/>
      </c>
      <c r="S94" s="22">
        <f>IF(A94=A93,O94-O93,"")</f>
        <v/>
      </c>
      <c r="T94" s="22">
        <f>IF(A94=A93,P94-P93,"")</f>
        <v/>
      </c>
      <c r="U94" s="22">
        <f>IF(A94=A93,Q94-Q93,"")</f>
        <v/>
      </c>
      <c r="V94" s="22">
        <f>IF(A94=A93,R94-R93,"")</f>
        <v/>
      </c>
      <c r="W94" s="22">
        <f>IF(S94="","",D94-S94)</f>
        <v/>
      </c>
      <c r="X94" s="22">
        <f>IF(T94="","",D94-T94)</f>
        <v/>
      </c>
      <c r="Y94" s="22">
        <f>IF(U94="","",F94-U94)</f>
        <v/>
      </c>
      <c r="Z94" s="22">
        <f>IF(V94="","",F94-V94)</f>
        <v/>
      </c>
      <c r="AA94" s="6" t="n">
        <v>9616515.989055049</v>
      </c>
      <c r="AB94" s="6" t="n">
        <v>8356292.341318588</v>
      </c>
      <c r="AC94" s="6" t="n">
        <v>3837682.037894099</v>
      </c>
      <c r="AD94" s="6" t="n">
        <v>4118177.545677752</v>
      </c>
      <c r="AE94" s="6" t="n">
        <v>3697359.495806673</v>
      </c>
      <c r="AF94" s="6" t="n">
        <v>10107161.39740375</v>
      </c>
      <c r="AG94" s="6" t="n">
        <v>1318890.396687056</v>
      </c>
      <c r="AH94" s="6" t="n">
        <v>1459749.973853248</v>
      </c>
      <c r="AI94" s="6" t="n">
        <v>1345396.070753102</v>
      </c>
      <c r="AJ94" s="6" t="n">
        <v>1268368.025584943</v>
      </c>
      <c r="AK94" s="6" t="n">
        <v>1292749.368540987</v>
      </c>
      <c r="AL94" s="6" t="n">
        <v>1081855.284485264</v>
      </c>
      <c r="AM94" s="6" t="n">
        <v>1167048.996200621</v>
      </c>
      <c r="AN94" s="6" t="n">
        <v>1306561.687656842</v>
      </c>
      <c r="AO94" s="6" t="n">
        <v>1219140.402592193</v>
      </c>
      <c r="AP94" s="6" t="n">
        <v>1144754.291806416</v>
      </c>
      <c r="AQ94" s="6" t="n">
        <v>1169847.564814885</v>
      </c>
      <c r="AR94" s="6" t="n">
        <v>939880.6987078392</v>
      </c>
    </row>
    <row r="95">
      <c r="A95" t="inlineStr">
        <is>
          <t>Autos</t>
        </is>
      </c>
      <c r="B95" s="8" t="n">
        <v>202503</v>
      </c>
      <c r="C95" s="8" t="n">
        <v>2025</v>
      </c>
      <c r="D95" s="9" t="n">
        <v>2666368.265842569</v>
      </c>
      <c r="E95" s="10" t="n">
        <v>0.08080950841070703</v>
      </c>
      <c r="F95" s="22">
        <f>D95*(1-E95)</f>
        <v/>
      </c>
      <c r="G95" s="10" t="n">
        <v>0.8741200000000001</v>
      </c>
      <c r="H95" s="10" t="n">
        <v>0.03232774420248145</v>
      </c>
      <c r="I95" s="10" t="n">
        <v>0.1483519262233159</v>
      </c>
      <c r="J95" s="10" t="n">
        <v>0.04953574549804226</v>
      </c>
      <c r="K95" s="9" t="n">
        <v>11717736.66350609</v>
      </c>
      <c r="L95" s="18" t="n">
        <v>13405180.82586611</v>
      </c>
      <c r="M95" s="18" t="n">
        <v>8390089.047404328</v>
      </c>
      <c r="N95" s="23">
        <f>IF(L95=0,"",M95/L95)</f>
        <v/>
      </c>
      <c r="O95" s="9" t="n">
        <v>13834893.46200465</v>
      </c>
      <c r="P95" s="22">
        <f>M95*G95*(1+H95+I95)</f>
        <v/>
      </c>
      <c r="Q95" s="9" t="n">
        <v>13254446.64082814</v>
      </c>
      <c r="R95" s="22">
        <f>P95-M95*G95*J95</f>
        <v/>
      </c>
      <c r="S95" s="22">
        <f>IF(A95=A94,O95-O94,"")</f>
        <v/>
      </c>
      <c r="T95" s="22">
        <f>IF(A95=A94,P95-P94,"")</f>
        <v/>
      </c>
      <c r="U95" s="22">
        <f>IF(A95=A94,Q95-Q94,"")</f>
        <v/>
      </c>
      <c r="V95" s="22">
        <f>IF(A95=A94,R95-R94,"")</f>
        <v/>
      </c>
      <c r="W95" s="22">
        <f>IF(S95="","",D95-S95)</f>
        <v/>
      </c>
      <c r="X95" s="22">
        <f>IF(T95="","",D95-T95)</f>
        <v/>
      </c>
      <c r="Y95" s="22">
        <f>IF(U95="","",F95-U95)</f>
        <v/>
      </c>
      <c r="Z95" s="22">
        <f>IF(V95="","",F95-V95)</f>
        <v/>
      </c>
      <c r="AA95" s="9" t="n">
        <v>10260505.52677849</v>
      </c>
      <c r="AB95" s="9" t="n">
        <v>8998680.506459236</v>
      </c>
      <c r="AC95" s="9" t="n">
        <v>3177435.588713039</v>
      </c>
      <c r="AD95" s="9" t="n">
        <v>4120677.943667442</v>
      </c>
      <c r="AE95" s="9" t="n">
        <v>3686198.146972223</v>
      </c>
      <c r="AF95" s="9" t="n">
        <v>10619369.20404859</v>
      </c>
      <c r="AG95" s="9" t="n">
        <v>2173077.66509916</v>
      </c>
      <c r="AH95" s="9" t="n">
        <v>2152276.30879047</v>
      </c>
      <c r="AI95" s="9" t="n">
        <v>3416157.368552496</v>
      </c>
      <c r="AJ95" s="9" t="n">
        <v>2737163.433078944</v>
      </c>
      <c r="AK95" s="9" t="n">
        <v>2743765.182262848</v>
      </c>
      <c r="AL95" s="9" t="n">
        <v>2317825.838744086</v>
      </c>
      <c r="AM95" s="9" t="n">
        <v>1929027.623966585</v>
      </c>
      <c r="AN95" s="9" t="n">
        <v>1915556.806172048</v>
      </c>
      <c r="AO95" s="9" t="n">
        <v>3149566.268919255</v>
      </c>
      <c r="AP95" s="9" t="n">
        <v>2497622.359983732</v>
      </c>
      <c r="AQ95" s="9" t="n">
        <v>2506103.544816805</v>
      </c>
      <c r="AR95" s="9" t="n">
        <v>2065188.614677988</v>
      </c>
    </row>
    <row r="96">
      <c r="A96" s="4" t="inlineStr">
        <is>
          <t>Autos</t>
        </is>
      </c>
      <c r="B96" s="5" t="n">
        <v>202504</v>
      </c>
      <c r="C96" s="5" t="n">
        <v>2025</v>
      </c>
      <c r="D96" s="6" t="n">
        <v>848810.2024206417</v>
      </c>
      <c r="E96" s="11" t="n">
        <v>0.08080950841070703</v>
      </c>
      <c r="F96" s="22">
        <f>D96*(1-E96)</f>
        <v/>
      </c>
      <c r="G96" s="11" t="n">
        <v>0.8740700000000001</v>
      </c>
      <c r="H96" s="11" t="n">
        <v>0.03232951140147359</v>
      </c>
      <c r="I96" s="11" t="n">
        <v>0.1454658262274034</v>
      </c>
      <c r="J96" s="11" t="n">
        <v>0.04609216075491424</v>
      </c>
      <c r="K96" s="6" t="n">
        <v>10295098.66113309</v>
      </c>
      <c r="L96" s="18" t="n">
        <v>11778345.74019597</v>
      </c>
      <c r="M96" s="18" t="n">
        <v>7372889.103224917</v>
      </c>
      <c r="N96" s="23">
        <f>IF(L96=0,"",M96/L96)</f>
        <v/>
      </c>
      <c r="O96" s="6" t="n">
        <v>12125519.20351185</v>
      </c>
      <c r="P96" s="22">
        <f>M96*G96*(1+H96+I96)</f>
        <v/>
      </c>
      <c r="Q96" s="6" t="n">
        <v>11650995.8610352</v>
      </c>
      <c r="R96" s="22">
        <f>P96-M96*G96*J96</f>
        <v/>
      </c>
      <c r="S96" s="22">
        <f>IF(A96=A95,O96-O95,"")</f>
        <v/>
      </c>
      <c r="T96" s="22">
        <f>IF(A96=A95,P96-P95,"")</f>
        <v/>
      </c>
      <c r="U96" s="22">
        <f>IF(A96=A95,Q96-Q95,"")</f>
        <v/>
      </c>
      <c r="V96" s="22">
        <f>IF(A96=A95,R96-R95,"")</f>
        <v/>
      </c>
      <c r="W96" s="22">
        <f>IF(S96="","",D96-S96)</f>
        <v/>
      </c>
      <c r="X96" s="22">
        <f>IF(T96="","",D96-T96)</f>
        <v/>
      </c>
      <c r="Y96" s="22">
        <f>IF(U96="","",F96-U96)</f>
        <v/>
      </c>
      <c r="Z96" s="22">
        <f>IF(V96="","",F96-V96)</f>
        <v/>
      </c>
      <c r="AA96" s="6" t="n">
        <v>9033796.406480482</v>
      </c>
      <c r="AB96" s="6" t="n">
        <v>7979720.205050951</v>
      </c>
      <c r="AC96" s="6" t="n">
        <v>2968166.500560933</v>
      </c>
      <c r="AD96" s="6" t="n">
        <v>3742045.535700326</v>
      </c>
      <c r="AE96" s="6" t="n">
        <v>3310609.2617051</v>
      </c>
      <c r="AF96" s="6" t="n">
        <v>9585307.442477414</v>
      </c>
      <c r="AG96" s="6" t="n">
        <v>2138150.843157348</v>
      </c>
      <c r="AH96" s="6" t="n">
        <v>1921022.82057625</v>
      </c>
      <c r="AI96" s="6" t="n">
        <v>1072445.853790743</v>
      </c>
      <c r="AJ96" s="6" t="n">
        <v>1249234.954048204</v>
      </c>
      <c r="AK96" s="6" t="n">
        <v>1244980.701881464</v>
      </c>
      <c r="AL96" s="6" t="n">
        <v>1940751.01309201</v>
      </c>
      <c r="AM96" s="6" t="n">
        <v>1989228.668270429</v>
      </c>
      <c r="AN96" s="6" t="n">
        <v>1784271.518800878</v>
      </c>
      <c r="AO96" s="6" t="n">
        <v>985851.1910582092</v>
      </c>
      <c r="AP96" s="6" t="n">
        <v>1152975.586447104</v>
      </c>
      <c r="AQ96" s="6" t="n">
        <v>1150152.782714962</v>
      </c>
      <c r="AR96" s="6" t="n">
        <v>1798509.126784041</v>
      </c>
    </row>
    <row r="97">
      <c r="A97" t="inlineStr">
        <is>
          <t>Autos</t>
        </is>
      </c>
      <c r="B97" s="8" t="n">
        <v>202505</v>
      </c>
      <c r="C97" s="8" t="n">
        <v>2025</v>
      </c>
      <c r="D97" s="9" t="n">
        <v>3022691.101234598</v>
      </c>
      <c r="E97" s="10" t="n">
        <v>0.08080950841070703</v>
      </c>
      <c r="F97" s="22">
        <f>D97*(1-E97)</f>
        <v/>
      </c>
      <c r="G97" s="10" t="n">
        <v>0.837</v>
      </c>
      <c r="H97" s="10" t="n">
        <v>0.03376115676297373</v>
      </c>
      <c r="I97" s="10" t="n">
        <v>0.1458362645717085</v>
      </c>
      <c r="J97" s="10" t="n">
        <v>0.04373662012037549</v>
      </c>
      <c r="K97" s="9" t="n">
        <v>10101748.61593033</v>
      </c>
      <c r="L97" s="18" t="n">
        <v>12068994.76216288</v>
      </c>
      <c r="M97" s="18" t="n">
        <v>8367652.100275529</v>
      </c>
      <c r="N97" s="23">
        <f>IF(L97=0,"",M97/L97)</f>
        <v/>
      </c>
      <c r="O97" s="9" t="n">
        <v>11915996.61832262</v>
      </c>
      <c r="P97" s="22">
        <f>M97*G97*(1+H97+I97)</f>
        <v/>
      </c>
      <c r="Q97" s="9" t="n">
        <v>11474180.27655614</v>
      </c>
      <c r="R97" s="22">
        <f>P97-M97*G97*J97</f>
        <v/>
      </c>
      <c r="S97" s="22">
        <f>IF(A97=A96,O97-O96,"")</f>
        <v/>
      </c>
      <c r="T97" s="22">
        <f>IF(A97=A96,P97-P96,"")</f>
        <v/>
      </c>
      <c r="U97" s="22">
        <f>IF(A97=A96,Q97-Q96,"")</f>
        <v/>
      </c>
      <c r="V97" s="22">
        <f>IF(A97=A96,R97-R96,"")</f>
        <v/>
      </c>
      <c r="W97" s="22">
        <f>IF(S97="","",D97-S97)</f>
        <v/>
      </c>
      <c r="X97" s="22">
        <f>IF(T97="","",D97-T97)</f>
        <v/>
      </c>
      <c r="Y97" s="22">
        <f>IF(U97="","",F97-U97)</f>
        <v/>
      </c>
      <c r="Z97" s="22">
        <f>IF(V97="","",F97-V97)</f>
        <v/>
      </c>
      <c r="AA97" s="9" t="n">
        <v>10147221.12562385</v>
      </c>
      <c r="AB97" s="9" t="n">
        <v>8984776.239706652</v>
      </c>
      <c r="AC97" s="9" t="n">
        <v>2781395.605726787</v>
      </c>
      <c r="AD97" s="9" t="n">
        <v>3615185.842255755</v>
      </c>
      <c r="AE97" s="9" t="n">
        <v>3118064.127937085</v>
      </c>
      <c r="AF97" s="9" t="n">
        <v>10608033.82593121</v>
      </c>
      <c r="AG97" s="9" t="n">
        <v>2304178.586818816</v>
      </c>
      <c r="AH97" s="9" t="n">
        <v>2366741.508248813</v>
      </c>
      <c r="AI97" s="9" t="n">
        <v>3332210.03401611</v>
      </c>
      <c r="AJ97" s="9" t="n">
        <v>3305679.282982622</v>
      </c>
      <c r="AK97" s="9" t="n">
        <v>3352345.901619186</v>
      </c>
      <c r="AL97" s="9" t="n">
        <v>2416974.728481194</v>
      </c>
      <c r="AM97" s="9" t="n">
        <v>2067429.763550855</v>
      </c>
      <c r="AN97" s="9" t="n">
        <v>2129904.809272022</v>
      </c>
      <c r="AO97" s="9" t="n">
        <v>3070187.109657258</v>
      </c>
      <c r="AP97" s="9" t="n">
        <v>3043001.512857757</v>
      </c>
      <c r="AQ97" s="9" t="n">
        <v>3088851.330476372</v>
      </c>
      <c r="AR97" s="9" t="n">
        <v>2174875.977158697</v>
      </c>
    </row>
    <row r="98">
      <c r="A98" s="4" t="inlineStr">
        <is>
          <t>Autos</t>
        </is>
      </c>
      <c r="B98" s="5" t="n">
        <v>202506</v>
      </c>
      <c r="C98" s="5" t="n">
        <v>2025</v>
      </c>
      <c r="D98" s="6" t="n">
        <v>1893590.513487131</v>
      </c>
      <c r="E98" s="11" t="n">
        <v>0.08080950841070703</v>
      </c>
      <c r="F98" s="22">
        <f>D98*(1-E98)</f>
        <v/>
      </c>
      <c r="G98" s="11" t="n">
        <v>0.837</v>
      </c>
      <c r="H98" s="11" t="n">
        <v>0.03342232694469241</v>
      </c>
      <c r="I98" s="11" t="n">
        <v>0.1331957291339199</v>
      </c>
      <c r="J98" s="11" t="n">
        <v>0.03784559819216804</v>
      </c>
      <c r="K98" s="6" t="n">
        <v>9632335.00005329</v>
      </c>
      <c r="L98" s="18" t="n">
        <v>11508166.06935877</v>
      </c>
      <c r="M98" s="18" t="n">
        <v>8340533.805340888</v>
      </c>
      <c r="N98" s="23">
        <f>IF(L98=0,"",M98/L98)</f>
        <v/>
      </c>
      <c r="O98" s="6" t="n">
        <v>11237255.93326015</v>
      </c>
      <c r="P98" s="22">
        <f>M98*G98*(1+H98+I98)</f>
        <v/>
      </c>
      <c r="Q98" s="6" t="n">
        <v>10872714.45319578</v>
      </c>
      <c r="R98" s="22">
        <f>P98-M98*G98*J98</f>
        <v/>
      </c>
      <c r="S98" s="22">
        <f>IF(A98=A97,O98-O97,"")</f>
        <v/>
      </c>
      <c r="T98" s="22">
        <f>IF(A98=A97,P98-P97,"")</f>
        <v/>
      </c>
      <c r="U98" s="22">
        <f>IF(A98=A97,Q98-Q97,"")</f>
        <v/>
      </c>
      <c r="V98" s="22">
        <f>IF(A98=A97,R98-R97,"")</f>
        <v/>
      </c>
      <c r="W98" s="22">
        <f>IF(S98="","",D98-S98)</f>
        <v/>
      </c>
      <c r="X98" s="22">
        <f>IF(T98="","",D98-T98)</f>
        <v/>
      </c>
      <c r="Y98" s="22">
        <f>IF(U98="","",F98-U98)</f>
        <v/>
      </c>
      <c r="Z98" s="22">
        <f>IF(V98="","",F98-V98)</f>
        <v/>
      </c>
      <c r="AA98" s="6" t="n">
        <v>10084760.13321874</v>
      </c>
      <c r="AB98" s="6" t="n">
        <v>8968950.044447295</v>
      </c>
      <c r="AC98" s="6" t="n">
        <v>3534850.204004451</v>
      </c>
      <c r="AD98" s="6" t="n">
        <v>3709526.771761313</v>
      </c>
      <c r="AE98" s="6" t="n">
        <v>3182396.527781478</v>
      </c>
      <c r="AF98" s="6" t="n">
        <v>10614173.62533659</v>
      </c>
      <c r="AG98" s="6" t="n">
        <v>2064817.788780265</v>
      </c>
      <c r="AH98" s="6" t="n">
        <v>2006652.32090856</v>
      </c>
      <c r="AI98" s="6" t="n">
        <v>1188089.081444852</v>
      </c>
      <c r="AJ98" s="6" t="n">
        <v>1840744.832540451</v>
      </c>
      <c r="AK98" s="6" t="n">
        <v>1864646.345350818</v>
      </c>
      <c r="AL98" s="6" t="n">
        <v>2002838.050908573</v>
      </c>
      <c r="AM98" s="6" t="n">
        <v>1859785.338724097</v>
      </c>
      <c r="AN98" s="6" t="n">
        <v>1808828.876612641</v>
      </c>
      <c r="AO98" s="6" t="n">
        <v>1045221.50296795</v>
      </c>
      <c r="AP98" s="6" t="n">
        <v>1672887.424130348</v>
      </c>
      <c r="AQ98" s="6" t="n">
        <v>1698289.564246105</v>
      </c>
      <c r="AR98" s="6" t="n">
        <v>1797706.483546948</v>
      </c>
    </row>
    <row r="99">
      <c r="A99" t="inlineStr">
        <is>
          <t>Autos</t>
        </is>
      </c>
      <c r="B99" s="8" t="n">
        <v>202507</v>
      </c>
      <c r="C99" s="8" t="n">
        <v>2025</v>
      </c>
      <c r="D99" s="9" t="n">
        <v>5902917.958545352</v>
      </c>
      <c r="E99" s="10" t="n">
        <v>0.08080950841070703</v>
      </c>
      <c r="F99" s="22">
        <f>D99*(1-E99)</f>
        <v/>
      </c>
      <c r="G99" s="10" t="n">
        <v>0.887288</v>
      </c>
      <c r="H99" s="10" t="n">
        <v>0.03184780628812109</v>
      </c>
      <c r="I99" s="10" t="n">
        <v>0.1683517872046789</v>
      </c>
      <c r="J99" s="10" t="n">
        <v>0.05711476002173895</v>
      </c>
      <c r="K99" s="9" t="n">
        <v>12732449.54579182</v>
      </c>
      <c r="L99" s="18" t="n">
        <v>14349849.81853898</v>
      </c>
      <c r="M99" s="18" t="n">
        <v>11821723.63964063</v>
      </c>
      <c r="N99" s="23">
        <f>IF(L99=0,"",M99/L99)</f>
        <v/>
      </c>
      <c r="O99" s="9" t="n">
        <v>15281480.76902693</v>
      </c>
      <c r="P99" s="22">
        <f>M99*G99*(1+H99+I99)</f>
        <v/>
      </c>
      <c r="Q99" s="9" t="n">
        <v>14554269.96873013</v>
      </c>
      <c r="R99" s="22">
        <f>P99-M99*G99*J99</f>
        <v/>
      </c>
      <c r="S99" s="22">
        <f>IF(A99=A98,O99-O98,"")</f>
        <v/>
      </c>
      <c r="T99" s="22">
        <f>IF(A99=A98,P99-P98,"")</f>
        <v/>
      </c>
      <c r="U99" s="22">
        <f>IF(A99=A98,Q99-Q98,"")</f>
        <v/>
      </c>
      <c r="V99" s="22">
        <f>IF(A99=A98,R99-R98,"")</f>
        <v/>
      </c>
      <c r="W99" s="22">
        <f>IF(S99="","",D99-S99)</f>
        <v/>
      </c>
      <c r="X99" s="22">
        <f>IF(T99="","",D99-T99)</f>
        <v/>
      </c>
      <c r="Y99" s="22">
        <f>IF(U99="","",F99-U99)</f>
        <v/>
      </c>
      <c r="Z99" s="22">
        <f>IF(V99="","",F99-V99)</f>
        <v/>
      </c>
      <c r="AA99" s="9" t="n">
        <v>13635869.31170809</v>
      </c>
      <c r="AB99" s="9" t="n">
        <v>12482599.96102454</v>
      </c>
      <c r="AC99" s="9" t="n">
        <v>7762690.406639832</v>
      </c>
      <c r="AD99" s="9" t="n">
        <v>7538974.430141204</v>
      </c>
      <c r="AE99" s="9" t="n">
        <v>7050920.755600345</v>
      </c>
      <c r="AF99" s="9" t="n">
        <v>14560200.82008694</v>
      </c>
      <c r="AG99" s="9" t="n">
        <v>1229129.187219965</v>
      </c>
      <c r="AH99" s="9" t="n">
        <v>1367728.741763906</v>
      </c>
      <c r="AI99" s="9" t="n">
        <v>1087890.156961231</v>
      </c>
      <c r="AJ99" s="9" t="n">
        <v>1496694.939334435</v>
      </c>
      <c r="AK99" s="9" t="n">
        <v>1501713.138798545</v>
      </c>
      <c r="AL99" s="9" t="n">
        <v>761738.3192507168</v>
      </c>
      <c r="AM99" s="9" t="n">
        <v>1123692.94300023</v>
      </c>
      <c r="AN99" s="9" t="n">
        <v>1239193.24323538</v>
      </c>
      <c r="AO99" s="9" t="n">
        <v>892297.3709139982</v>
      </c>
      <c r="AP99" s="9" t="n">
        <v>1284231.656080272</v>
      </c>
      <c r="AQ99" s="9" t="n">
        <v>1281214.422990925</v>
      </c>
      <c r="AR99" s="9" t="n">
        <v>686374.5386794982</v>
      </c>
    </row>
    <row r="100">
      <c r="A100" s="4" t="inlineStr">
        <is>
          <t>Autos</t>
        </is>
      </c>
      <c r="B100" s="5" t="n">
        <v>202508</v>
      </c>
      <c r="C100" s="5" t="n">
        <v>2025</v>
      </c>
      <c r="D100" s="6" t="n">
        <v>686498.0184872707</v>
      </c>
      <c r="E100" s="11" t="n">
        <v>0.08080950841070703</v>
      </c>
      <c r="F100" s="22">
        <f>D100*(1-E100)</f>
        <v/>
      </c>
      <c r="G100" s="11" t="n">
        <v>0.773539</v>
      </c>
      <c r="H100" s="11" t="n">
        <v>0.03653103783019562</v>
      </c>
      <c r="I100" s="11" t="n">
        <v>0.1444397203557172</v>
      </c>
      <c r="J100" s="11" t="n">
        <v>0.08793930866271238</v>
      </c>
      <c r="K100" s="6" t="n">
        <v>9674212.897141172</v>
      </c>
      <c r="L100" s="18" t="n">
        <v>12506431.99262244</v>
      </c>
      <c r="M100" s="18" t="n">
        <v>10692516.82515397</v>
      </c>
      <c r="N100" s="23">
        <f>IF(L100=0,"",M100/L100)</f>
        <v/>
      </c>
      <c r="O100" s="6" t="n">
        <v>11424962.53998874</v>
      </c>
      <c r="P100" s="22">
        <f>M100*G100*(1+H100+I100)</f>
        <v/>
      </c>
      <c r="Q100" s="6" t="n">
        <v>10574218.94595826</v>
      </c>
      <c r="R100" s="22">
        <f>P100-M100*G100*J100</f>
        <v/>
      </c>
      <c r="S100" s="22">
        <f>IF(A100=A99,O100-O99,"")</f>
        <v/>
      </c>
      <c r="T100" s="22">
        <f>IF(A100=A99,P100-P99,"")</f>
        <v/>
      </c>
      <c r="U100" s="22">
        <f>IF(A100=A99,Q100-Q99,"")</f>
        <v/>
      </c>
      <c r="V100" s="22">
        <f>IF(A100=A99,R100-R99,"")</f>
        <v/>
      </c>
      <c r="W100" s="22">
        <f>IF(S100="","",D100-S100)</f>
        <v/>
      </c>
      <c r="X100" s="22">
        <f>IF(T100="","",D100-T100)</f>
        <v/>
      </c>
      <c r="Y100" s="22">
        <f>IF(U100="","",F100-U100)</f>
        <v/>
      </c>
      <c r="Z100" s="22">
        <f>IF(V100="","",F100-V100)</f>
        <v/>
      </c>
      <c r="AA100" s="6" t="n">
        <v>12344066.92944764</v>
      </c>
      <c r="AB100" s="6" t="n">
        <v>11254150.22321055</v>
      </c>
      <c r="AC100" s="6" t="n">
        <v>7099248.828053577</v>
      </c>
      <c r="AD100" s="6" t="n">
        <v>6811074.027006576</v>
      </c>
      <c r="AE100" s="6" t="n">
        <v>6349881.16242601</v>
      </c>
      <c r="AF100" s="6" t="n">
        <v>13306430.63982063</v>
      </c>
      <c r="AG100" s="6" t="n">
        <v>3931007.059863172</v>
      </c>
      <c r="AH100" s="6" t="n">
        <v>3698532.625426954</v>
      </c>
      <c r="AI100" s="6" t="n">
        <v>2467808.168274485</v>
      </c>
      <c r="AJ100" s="6" t="n">
        <v>2492823.391228049</v>
      </c>
      <c r="AK100" s="6" t="n">
        <v>2394396.061913491</v>
      </c>
      <c r="AL100" s="6" t="n">
        <v>4036203.487759637</v>
      </c>
      <c r="AM100" s="6" t="n">
        <v>4024202.048762165</v>
      </c>
      <c r="AN100" s="6" t="n">
        <v>3776031.100859907</v>
      </c>
      <c r="AO100" s="6" t="n">
        <v>2501863.611442879</v>
      </c>
      <c r="AP100" s="6" t="n">
        <v>2518613.200497888</v>
      </c>
      <c r="AQ100" s="6" t="n">
        <v>2413546.677916681</v>
      </c>
      <c r="AR100" s="6" t="n">
        <v>4148020.201537678</v>
      </c>
    </row>
    <row r="101">
      <c r="A101" t="inlineStr">
        <is>
          <t>Autos</t>
        </is>
      </c>
      <c r="B101" s="8" t="n">
        <v>202509</v>
      </c>
      <c r="C101" s="8" t="n">
        <v>2025</v>
      </c>
      <c r="D101" s="9" t="n">
        <v>2146388.278556974</v>
      </c>
      <c r="E101" s="10" t="n">
        <v>0.08080950841070703</v>
      </c>
      <c r="F101" s="22">
        <f>D101*(1-E101)</f>
        <v/>
      </c>
      <c r="G101" s="10" t="n">
        <v>0.740720591</v>
      </c>
      <c r="H101" s="10" t="n">
        <v>0.03814962779223118</v>
      </c>
      <c r="I101" s="10" t="n">
        <v>0.179334555840175</v>
      </c>
      <c r="J101" s="10" t="n">
        <v>0.0827266138834125</v>
      </c>
      <c r="K101" s="9" t="n">
        <v>8921724.585169291</v>
      </c>
      <c r="L101" s="18" t="n">
        <v>12044655.83051314</v>
      </c>
      <c r="M101" s="18" t="n">
        <v>10953296.11969669</v>
      </c>
      <c r="N101" s="23">
        <f>IF(L101=0,"",M101/L101)</f>
        <v/>
      </c>
      <c r="O101" s="9" t="n">
        <v>10862058.573168</v>
      </c>
      <c r="P101" s="22">
        <f>M101*G101*(1+H101+I101)</f>
        <v/>
      </c>
      <c r="Q101" s="9" t="n">
        <v>10123994.50823656</v>
      </c>
      <c r="R101" s="22">
        <f>P101-M101*G101*J101</f>
        <v/>
      </c>
      <c r="S101" s="22">
        <f>IF(A101=A100,O101-O100,"")</f>
        <v/>
      </c>
      <c r="T101" s="22">
        <f>IF(A101=A100,P101-P100,"")</f>
        <v/>
      </c>
      <c r="U101" s="22">
        <f>IF(A101=A100,Q101-Q100,"")</f>
        <v/>
      </c>
      <c r="V101" s="22">
        <f>IF(A101=A100,R101-R100,"")</f>
        <v/>
      </c>
      <c r="W101" s="22">
        <f>IF(S101="","",D101-S101)</f>
        <v/>
      </c>
      <c r="X101" s="22">
        <f>IF(T101="","",D101-T101)</f>
        <v/>
      </c>
      <c r="Y101" s="22">
        <f>IF(U101="","",F101-U101)</f>
        <v/>
      </c>
      <c r="Z101" s="22">
        <f>IF(V101="","",F101-V101)</f>
        <v/>
      </c>
      <c r="AA101" s="9" t="n">
        <v>12500377.01407271</v>
      </c>
      <c r="AB101" s="9" t="n">
        <v>11473549.84685777</v>
      </c>
      <c r="AC101" s="9" t="n">
        <v>7019673.412816104</v>
      </c>
      <c r="AD101" s="9" t="n">
        <v>6173267.310067502</v>
      </c>
      <c r="AE101" s="9" t="n">
        <v>5716235.297693904</v>
      </c>
      <c r="AF101" s="9" t="n">
        <v>13417343.50768698</v>
      </c>
      <c r="AG101" s="9" t="n">
        <v>2149990.91174117</v>
      </c>
      <c r="AH101" s="9" t="n">
        <v>2080331.401022407</v>
      </c>
      <c r="AI101" s="9" t="n">
        <v>2301292.312998513</v>
      </c>
      <c r="AJ101" s="9" t="n">
        <v>2801339.099817686</v>
      </c>
      <c r="AK101" s="9" t="n">
        <v>2792185.594104123</v>
      </c>
      <c r="AL101" s="9" t="n">
        <v>2202201.394270255</v>
      </c>
      <c r="AM101" s="9" t="n">
        <v>1902832.967343752</v>
      </c>
      <c r="AN101" s="9" t="n">
        <v>1844393.276262379</v>
      </c>
      <c r="AO101" s="9" t="n">
        <v>2075067.664794332</v>
      </c>
      <c r="AP101" s="9" t="n">
        <v>2542851.90797588</v>
      </c>
      <c r="AQ101" s="9" t="n">
        <v>2537065.118683892</v>
      </c>
      <c r="AR101" s="9" t="n">
        <v>1945768.390924935</v>
      </c>
    </row>
    <row r="102">
      <c r="A102" s="4" t="inlineStr">
        <is>
          <t>Autos</t>
        </is>
      </c>
      <c r="B102" s="5" t="n">
        <v>202510</v>
      </c>
      <c r="C102" s="5" t="n">
        <v>2025</v>
      </c>
      <c r="D102" s="6" t="n">
        <v>1904325.03780329</v>
      </c>
      <c r="E102" s="11" t="n">
        <v>0.08080950841070703</v>
      </c>
      <c r="F102" s="22">
        <f>D102*(1-E102)</f>
        <v/>
      </c>
      <c r="G102" s="11" t="n">
        <v>0.7355</v>
      </c>
      <c r="H102" s="11" t="n">
        <v>0.03842034787425287</v>
      </c>
      <c r="I102" s="11" t="n">
        <v>0.1242654554793007</v>
      </c>
      <c r="J102" s="11" t="n">
        <v>0.08078879943690075</v>
      </c>
      <c r="K102" s="6" t="n">
        <v>7995732.509311288</v>
      </c>
      <c r="L102" s="18" t="n">
        <v>10871152.29002214</v>
      </c>
      <c r="M102" s="18" t="n">
        <v>10102693.64448052</v>
      </c>
      <c r="N102" s="23">
        <f>IF(L102=0,"",M102/L102)</f>
        <v/>
      </c>
      <c r="O102" s="6" t="n">
        <v>9296524.675988721</v>
      </c>
      <c r="P102" s="22">
        <f>M102*G102*(1+H102+I102)</f>
        <v/>
      </c>
      <c r="Q102" s="6" t="n">
        <v>8650559.045942862</v>
      </c>
      <c r="R102" s="22">
        <f>P102-M102*G102*J102</f>
        <v/>
      </c>
      <c r="S102" s="22">
        <f>IF(A102=A101,O102-O101,"")</f>
        <v/>
      </c>
      <c r="T102" s="22">
        <f>IF(A102=A101,P102-P101,"")</f>
        <v/>
      </c>
      <c r="U102" s="22">
        <f>IF(A102=A101,Q102-Q101,"")</f>
        <v/>
      </c>
      <c r="V102" s="22">
        <f>IF(A102=A101,R102-R101,"")</f>
        <v/>
      </c>
      <c r="W102" s="22">
        <f>IF(S102="","",D102-S102)</f>
        <v/>
      </c>
      <c r="X102" s="22">
        <f>IF(T102="","",D102-T102)</f>
        <v/>
      </c>
      <c r="Y102" s="22">
        <f>IF(U102="","",F102-U102)</f>
        <v/>
      </c>
      <c r="Z102" s="22">
        <f>IF(V102="","",F102-V102)</f>
        <v/>
      </c>
      <c r="AA102" s="6" t="n">
        <v>11589595.16526752</v>
      </c>
      <c r="AB102" s="6" t="n">
        <v>10676111.76170542</v>
      </c>
      <c r="AC102" s="6" t="n">
        <v>6689997.954899134</v>
      </c>
      <c r="AD102" s="6" t="n">
        <v>5643203.858637677</v>
      </c>
      <c r="AE102" s="6" t="n">
        <v>5200423.911013075</v>
      </c>
      <c r="AF102" s="6" t="n">
        <v>13388875.86325057</v>
      </c>
      <c r="AG102" s="6" t="n">
        <v>3266455.099036646</v>
      </c>
      <c r="AH102" s="6" t="n">
        <v>3121616.610006058</v>
      </c>
      <c r="AI102" s="6" t="n">
        <v>2513788.123605804</v>
      </c>
      <c r="AJ102" s="6" t="n">
        <v>2645657.525662208</v>
      </c>
      <c r="AK102" s="6" t="n">
        <v>2612144.592288366</v>
      </c>
      <c r="AL102" s="6" t="n">
        <v>2554725.171304016</v>
      </c>
      <c r="AM102" s="6" t="n">
        <v>3035233.719451872</v>
      </c>
      <c r="AN102" s="6" t="n">
        <v>2899037.101480716</v>
      </c>
      <c r="AO102" s="6" t="n">
        <v>2327274.637578084</v>
      </c>
      <c r="AP102" s="6" t="n">
        <v>2448808.850904106</v>
      </c>
      <c r="AQ102" s="6" t="n">
        <v>2416991.551941859</v>
      </c>
      <c r="AR102" s="6" t="n">
        <v>2374228.105530457</v>
      </c>
    </row>
    <row r="103">
      <c r="A103" t="inlineStr">
        <is>
          <t>Autos</t>
        </is>
      </c>
      <c r="B103" s="8" t="n">
        <v>202511</v>
      </c>
      <c r="C103" s="8" t="n">
        <v>2025</v>
      </c>
      <c r="D103" s="9" t="n">
        <v>19122654.81309044</v>
      </c>
      <c r="E103" s="10" t="n">
        <v>0.08080950841070703</v>
      </c>
      <c r="F103" s="22">
        <f>D103*(1-E103)</f>
        <v/>
      </c>
      <c r="G103" s="10" t="n">
        <v>0.7369515</v>
      </c>
      <c r="H103" s="10" t="n">
        <v>0.03834481821240018</v>
      </c>
      <c r="I103" s="10" t="n">
        <v>0.1306319593117187</v>
      </c>
      <c r="J103" s="10" t="n">
        <v>0.05071520596162586</v>
      </c>
      <c r="K103" s="9" t="n">
        <v>15456479.61170355</v>
      </c>
      <c r="L103" s="18" t="n">
        <v>20973537.08039613</v>
      </c>
      <c r="M103" s="18" t="n">
        <v>23254154.82550054</v>
      </c>
      <c r="N103" s="23">
        <f>IF(L103=0,"",M103/L103)</f>
        <v/>
      </c>
      <c r="O103" s="9" t="n">
        <v>18068265.72835647</v>
      </c>
      <c r="P103" s="22">
        <f>M103*G103*(1+H103+I103)</f>
        <v/>
      </c>
      <c r="Q103" s="9" t="n">
        <v>17284387.18140725</v>
      </c>
      <c r="R103" s="22">
        <f>P103-M103*G103*J103</f>
        <v/>
      </c>
      <c r="S103" s="22">
        <f>IF(A103=A102,O103-O102,"")</f>
        <v/>
      </c>
      <c r="T103" s="22">
        <f>IF(A103=A102,P103-P102,"")</f>
        <v/>
      </c>
      <c r="U103" s="22">
        <f>IF(A103=A102,Q103-Q102,"")</f>
        <v/>
      </c>
      <c r="V103" s="22">
        <f>IF(A103=A102,R103-R102,"")</f>
        <v/>
      </c>
      <c r="W103" s="22">
        <f>IF(S103="","",D103-S103)</f>
        <v/>
      </c>
      <c r="X103" s="22">
        <f>IF(T103="","",D103-T103)</f>
        <v/>
      </c>
      <c r="Y103" s="22">
        <f>IF(U103="","",F103-U103)</f>
        <v/>
      </c>
      <c r="Z103" s="22">
        <f>IF(V103="","",F103-V103)</f>
        <v/>
      </c>
      <c r="AA103" s="9" t="n">
        <v>27075786.17087733</v>
      </c>
      <c r="AB103" s="9" t="n">
        <v>24692225.61584501</v>
      </c>
      <c r="AC103" s="9" t="n">
        <v>5983469.74156976</v>
      </c>
      <c r="AD103" s="9" t="n">
        <v>5292185.795009692</v>
      </c>
      <c r="AE103" s="9" t="n">
        <v>4479318.21072437</v>
      </c>
      <c r="AF103" s="9" t="n">
        <v>29270026.07734259</v>
      </c>
      <c r="AG103" s="9" t="n">
        <v>5708333.469510421</v>
      </c>
      <c r="AH103" s="9" t="n">
        <v>6980551.011959739</v>
      </c>
      <c r="AI103" s="9" t="n">
        <v>19689008.0818515</v>
      </c>
      <c r="AJ103" s="9" t="n">
        <v>19389363.18309598</v>
      </c>
      <c r="AK103" s="9" t="n">
        <v>19710986.02398082</v>
      </c>
      <c r="AL103" s="9" t="n">
        <v>5356706.073015388</v>
      </c>
      <c r="AM103" s="9" t="n">
        <v>4486333.46574669</v>
      </c>
      <c r="AN103" s="9" t="n">
        <v>5723745.605406385</v>
      </c>
      <c r="AO103" s="9" t="n">
        <v>17969825.05479495</v>
      </c>
      <c r="AP103" s="9" t="n">
        <v>17706544.33725221</v>
      </c>
      <c r="AQ103" s="9" t="n">
        <v>18024096.59524223</v>
      </c>
      <c r="AR103" s="9" t="n">
        <v>4109801.460890053</v>
      </c>
    </row>
    <row r="104">
      <c r="A104" s="4" t="inlineStr">
        <is>
          <t>Autos</t>
        </is>
      </c>
      <c r="B104" s="5" t="n">
        <v>202512</v>
      </c>
      <c r="C104" s="5" t="n">
        <v>2025</v>
      </c>
      <c r="D104" s="6" t="n">
        <v>787006.1771393381</v>
      </c>
      <c r="E104" s="11" t="n">
        <v>0.08080950841070703</v>
      </c>
      <c r="F104" s="22">
        <f>D104*(1-E104)</f>
        <v/>
      </c>
      <c r="G104" s="11" t="n">
        <v>0.7646969999999998</v>
      </c>
      <c r="H104" s="11" t="n">
        <v>0.03695357730227433</v>
      </c>
      <c r="I104" s="11" t="n">
        <v>0.1478821320679886</v>
      </c>
      <c r="J104" s="11" t="n">
        <v>0.05125249586964763</v>
      </c>
      <c r="K104" s="6" t="n">
        <v>13241926.11783652</v>
      </c>
      <c r="L104" s="18" t="n">
        <v>17316566.06189971</v>
      </c>
      <c r="M104" s="18" t="n">
        <v>20225468.77525862</v>
      </c>
      <c r="N104" s="23">
        <f>IF(L104=0,"",M104/L104)</f>
        <v/>
      </c>
      <c r="O104" s="6" t="n">
        <v>15689506.92525544</v>
      </c>
      <c r="P104" s="22">
        <f>M104*G104*(1+H104+I104)</f>
        <v/>
      </c>
      <c r="Q104" s="6" t="n">
        <v>15010825.16159485</v>
      </c>
      <c r="R104" s="22">
        <f>P104-M104*G104*J104</f>
        <v/>
      </c>
      <c r="S104" s="22">
        <f>IF(A104=A103,O104-O103,"")</f>
        <v/>
      </c>
      <c r="T104" s="22">
        <f>IF(A104=A103,P104-P103,"")</f>
        <v/>
      </c>
      <c r="U104" s="22">
        <f>IF(A104=A103,Q104-Q103,"")</f>
        <v/>
      </c>
      <c r="V104" s="22">
        <f>IF(A104=A103,R104-R103,"")</f>
        <v/>
      </c>
      <c r="W104" s="22">
        <f>IF(S104="","",D104-S104)</f>
        <v/>
      </c>
      <c r="X104" s="22">
        <f>IF(T104="","",D104-T104)</f>
        <v/>
      </c>
      <c r="Y104" s="22">
        <f>IF(U104="","",F104-U104)</f>
        <v/>
      </c>
      <c r="Z104" s="22">
        <f>IF(V104="","",F104-V104)</f>
        <v/>
      </c>
      <c r="AA104" s="6" t="n">
        <v>24046232.43646042</v>
      </c>
      <c r="AB104" s="6" t="n">
        <v>21653248.34557722</v>
      </c>
      <c r="AC104" s="6" t="n">
        <v>5163826.340730776</v>
      </c>
      <c r="AD104" s="6" t="n">
        <v>4325902.886555019</v>
      </c>
      <c r="AE104" s="6" t="n">
        <v>3505856.703880361</v>
      </c>
      <c r="AF104" s="6" t="n">
        <v>26544364.0724434</v>
      </c>
      <c r="AG104" s="6" t="n">
        <v>2325376.557141241</v>
      </c>
      <c r="AH104" s="6" t="n">
        <v>2440128.795070369</v>
      </c>
      <c r="AI104" s="6" t="n">
        <v>1263006.010286817</v>
      </c>
      <c r="AJ104" s="6" t="n">
        <v>1426671.704407373</v>
      </c>
      <c r="AK104" s="6" t="n">
        <v>1469398.096167691</v>
      </c>
      <c r="AL104" s="6" t="n">
        <v>1952260.605682973</v>
      </c>
      <c r="AM104" s="6" t="n">
        <v>2192266.10837545</v>
      </c>
      <c r="AN104" s="6" t="n">
        <v>2302315.741232523</v>
      </c>
      <c r="AO104" s="6" t="n">
        <v>1178162.292233513</v>
      </c>
      <c r="AP104" s="6" t="n">
        <v>1334824.056138188</v>
      </c>
      <c r="AQ104" s="6" t="n">
        <v>1375791.320520884</v>
      </c>
      <c r="AR104" s="6" t="n">
        <v>1835049.5632324</v>
      </c>
    </row>
    <row r="105">
      <c r="A105" t="inlineStr">
        <is>
          <t>Autos</t>
        </is>
      </c>
      <c r="B105" s="8" t="n">
        <v>202601</v>
      </c>
      <c r="C105" s="8" t="n">
        <v>2026</v>
      </c>
      <c r="D105" s="9" t="n">
        <v>3428800.707280952</v>
      </c>
      <c r="E105" s="10" t="n">
        <v>0.08080950841070703</v>
      </c>
      <c r="F105" s="22">
        <f>D105*(1-E105)</f>
        <v/>
      </c>
      <c r="G105" s="10" t="n">
        <v>0.748714</v>
      </c>
      <c r="H105" s="10" t="n">
        <v>0.03774239763382242</v>
      </c>
      <c r="I105" s="10" t="n">
        <v>0.1414519698455767</v>
      </c>
      <c r="J105" s="10" t="n">
        <v>0.04762482691734109</v>
      </c>
      <c r="K105" s="9" t="n">
        <v>12511002.77954776</v>
      </c>
      <c r="L105" s="18" t="n">
        <v>16709989.10070837</v>
      </c>
      <c r="M105" s="18" t="n">
        <v>20078531.16537577</v>
      </c>
      <c r="N105" s="23">
        <f>IF(L105=0,"",M105/L105)</f>
        <v/>
      </c>
      <c r="O105" s="9" t="n">
        <v>14752904.00916183</v>
      </c>
      <c r="P105" s="22">
        <f>M105*G105*(1+H105+I105)</f>
        <v/>
      </c>
      <c r="Q105" s="9" t="n">
        <v>14157069.66722349</v>
      </c>
      <c r="R105" s="22">
        <f>P105-M105*G105*J105</f>
        <v/>
      </c>
      <c r="S105" s="22">
        <f>IF(A105=A104,O105-O104,"")</f>
        <v/>
      </c>
      <c r="T105" s="22">
        <f>IF(A105=A104,P105-P104,"")</f>
        <v/>
      </c>
      <c r="U105" s="22">
        <f>IF(A105=A104,Q105-Q104,"")</f>
        <v/>
      </c>
      <c r="V105" s="22">
        <f>IF(A105=A104,R105-R104,"")</f>
        <v/>
      </c>
      <c r="W105" s="22">
        <f>IF(S105="","",D105-S105)</f>
        <v/>
      </c>
      <c r="X105" s="22">
        <f>IF(T105="","",D105-T105)</f>
        <v/>
      </c>
      <c r="Y105" s="22">
        <f>IF(U105="","",F105-U105)</f>
        <v/>
      </c>
      <c r="Z105" s="22">
        <f>IF(V105="","",F105-V105)</f>
        <v/>
      </c>
      <c r="AA105" s="9" t="n">
        <v>23988315.12969597</v>
      </c>
      <c r="AB105" s="9" t="n">
        <v>21527292.86397381</v>
      </c>
      <c r="AC105" s="9" t="n">
        <v>6076583.324974479</v>
      </c>
      <c r="AD105" s="9" t="n">
        <v>5465906.94369729</v>
      </c>
      <c r="AE105" s="9" t="n">
        <v>4695689.678186786</v>
      </c>
      <c r="AF105" s="9" t="n">
        <v>26323029.57685794</v>
      </c>
      <c r="AG105" s="9" t="n">
        <v>4036869.028029452</v>
      </c>
      <c r="AH105" s="9" t="n">
        <v>4041514.667785662</v>
      </c>
      <c r="AI105" s="9" t="n">
        <v>2742545.713778432</v>
      </c>
      <c r="AJ105" s="9" t="n">
        <v>2522506.840907518</v>
      </c>
      <c r="AK105" s="9" t="n">
        <v>2459520.845936419</v>
      </c>
      <c r="AL105" s="9" t="n">
        <v>4239005.865321583</v>
      </c>
      <c r="AM105" s="9" t="n">
        <v>3672714.581706379</v>
      </c>
      <c r="AN105" s="9" t="n">
        <v>3683393.968158395</v>
      </c>
      <c r="AO105" s="9" t="n">
        <v>2479757.088160198</v>
      </c>
      <c r="AP105" s="9" t="n">
        <v>2270783.522534474</v>
      </c>
      <c r="AQ105" s="9" t="n">
        <v>2212473.368441391</v>
      </c>
      <c r="AR105" s="9" t="n">
        <v>3860192.858280693</v>
      </c>
    </row>
    <row r="106">
      <c r="A106" s="4" t="inlineStr">
        <is>
          <t>Autos</t>
        </is>
      </c>
      <c r="B106" s="5" t="n">
        <v>202602</v>
      </c>
      <c r="C106" s="5" t="n">
        <v>2026</v>
      </c>
      <c r="D106" s="6" t="n">
        <v>2661920.236946581</v>
      </c>
      <c r="E106" s="11" t="n">
        <v>0.08080950841070703</v>
      </c>
      <c r="F106" s="22">
        <f>D106*(1-E106)</f>
        <v/>
      </c>
      <c r="G106" s="11" t="n">
        <v>0.772458</v>
      </c>
      <c r="H106" s="11" t="n">
        <v>0.03774239763382242</v>
      </c>
      <c r="I106" s="11" t="n">
        <v>0.1414519698455768</v>
      </c>
      <c r="J106" s="11" t="n">
        <v>0.04762482691734109</v>
      </c>
      <c r="K106" s="6" t="n">
        <v>12647716.40339373</v>
      </c>
      <c r="L106" s="18" t="n">
        <v>16373338.61956731</v>
      </c>
      <c r="M106" s="18" t="n">
        <v>18963187.4300353</v>
      </c>
      <c r="N106" s="23">
        <f>IF(L106=0,"",M106/L106)</f>
        <v/>
      </c>
      <c r="O106" s="6" t="n">
        <v>14914115.94435869</v>
      </c>
      <c r="P106" s="22">
        <f>M106*G106*(1+H106+I106)</f>
        <v/>
      </c>
      <c r="Q106" s="6" t="n">
        <v>14311770.63974745</v>
      </c>
      <c r="R106" s="22">
        <f>P106-M106*G106*J106</f>
        <v/>
      </c>
      <c r="S106" s="22">
        <f>IF(A106=A105,O106-O105,"")</f>
        <v/>
      </c>
      <c r="T106" s="22">
        <f>IF(A106=A105,P106-P105,"")</f>
        <v/>
      </c>
      <c r="U106" s="22">
        <f>IF(A106=A105,Q106-Q105,"")</f>
        <v/>
      </c>
      <c r="V106" s="22">
        <f>IF(A106=A105,R106-R105,"")</f>
        <v/>
      </c>
      <c r="W106" s="22">
        <f>IF(S106="","",D106-S106)</f>
        <v/>
      </c>
      <c r="X106" s="22">
        <f>IF(T106="","",D106-T106)</f>
        <v/>
      </c>
      <c r="Y106" s="22">
        <f>IF(U106="","",F106-U106)</f>
        <v/>
      </c>
      <c r="Z106" s="22">
        <f>IF(V106="","",F106-V106)</f>
        <v/>
      </c>
      <c r="AA106" s="6" t="n">
        <v>22914342.16870024</v>
      </c>
      <c r="AB106" s="6" t="n">
        <v>20401393.02339038</v>
      </c>
      <c r="AC106" s="6" t="n">
        <v>5144390.253150885</v>
      </c>
      <c r="AD106" s="6" t="n">
        <v>6021159.440905509</v>
      </c>
      <c r="AE106" s="6" t="n">
        <v>5296339.38058328</v>
      </c>
      <c r="AF106" s="6" t="n">
        <v>25264894.78653839</v>
      </c>
      <c r="AG106" s="6" t="n">
        <v>2968534.888272277</v>
      </c>
      <c r="AH106" s="6" t="n">
        <v>3084739.595085031</v>
      </c>
      <c r="AI106" s="6" t="n">
        <v>3340897.525333292</v>
      </c>
      <c r="AJ106" s="6" t="n">
        <v>2003114.098179273</v>
      </c>
      <c r="AK106" s="6" t="n">
        <v>1983327.92942983</v>
      </c>
      <c r="AL106" s="6" t="n">
        <v>2888739.06310534</v>
      </c>
      <c r="AM106" s="6" t="n">
        <v>2741042.993519154</v>
      </c>
      <c r="AN106" s="6" t="n">
        <v>2852554.471461788</v>
      </c>
      <c r="AO106" s="6" t="n">
        <v>3098366.798450721</v>
      </c>
      <c r="AP106" s="6" t="n">
        <v>1814613.229247334</v>
      </c>
      <c r="AQ106" s="6" t="n">
        <v>1795626.176307835</v>
      </c>
      <c r="AR106" s="6" t="n">
        <v>2664469.929982622</v>
      </c>
    </row>
    <row r="107">
      <c r="A107" t="inlineStr">
        <is>
          <t>Autos</t>
        </is>
      </c>
      <c r="B107" s="8" t="n">
        <v>202603</v>
      </c>
      <c r="C107" s="8" t="n">
        <v>2026</v>
      </c>
      <c r="D107" s="9" t="n">
        <v>975476.6195304209</v>
      </c>
      <c r="E107" s="10" t="n">
        <v>0.08080950841070703</v>
      </c>
      <c r="F107" s="22">
        <f>D107*(1-E107)</f>
        <v/>
      </c>
      <c r="G107" s="10" t="n">
        <v>0.806511</v>
      </c>
      <c r="H107" s="10" t="n">
        <v>0.03253484412498959</v>
      </c>
      <c r="I107" s="10" t="n">
        <v>0.1364902764839697</v>
      </c>
      <c r="J107" s="10" t="n">
        <v>0.06002208803075023</v>
      </c>
      <c r="K107" s="9" t="n">
        <v>9894669.162408227</v>
      </c>
      <c r="L107" s="18" t="n">
        <v>12268486.31005433</v>
      </c>
      <c r="M107" s="18" t="n">
        <v>16627131.22006666</v>
      </c>
      <c r="N107" s="23">
        <f>IF(L107=0,"",M107/L107)</f>
        <v/>
      </c>
      <c r="O107" s="9" t="n">
        <v>11567116.81097003</v>
      </c>
      <c r="P107" s="22">
        <f>M107*G107*(1+H107+I107)</f>
        <v/>
      </c>
      <c r="Q107" s="9" t="n">
        <v>10973218.10746881</v>
      </c>
      <c r="R107" s="22">
        <f>P107-M107*G107*J107</f>
        <v/>
      </c>
      <c r="S107" s="22">
        <f>IF(A107=A106,O107-O106,"")</f>
        <v/>
      </c>
      <c r="T107" s="22">
        <f>IF(A107=A106,P107-P106,"")</f>
        <v/>
      </c>
      <c r="U107" s="22">
        <f>IF(A107=A106,Q107-Q106,"")</f>
        <v/>
      </c>
      <c r="V107" s="22">
        <f>IF(A107=A106,R107-R106,"")</f>
        <v/>
      </c>
      <c r="W107" s="22">
        <f>IF(S107="","",D107-S107)</f>
        <v/>
      </c>
      <c r="X107" s="22">
        <f>IF(T107="","",D107-T107)</f>
        <v/>
      </c>
      <c r="Y107" s="22">
        <f>IF(U107="","",F107-U107)</f>
        <v/>
      </c>
      <c r="Z107" s="22">
        <f>IF(V107="","",F107-V107)</f>
        <v/>
      </c>
      <c r="AA107" s="9" t="n">
        <v>20531446.37774871</v>
      </c>
      <c r="AB107" s="9" t="n">
        <v>18081767.29246677</v>
      </c>
      <c r="AC107" s="9" t="n">
        <v>4354217.120539115</v>
      </c>
      <c r="AD107" s="9" t="n">
        <v>5299888.822222531</v>
      </c>
      <c r="AE107" s="9" t="n">
        <v>4619025.459174329</v>
      </c>
      <c r="AF107" s="9" t="n">
        <v>22638930.83496168</v>
      </c>
      <c r="AG107" s="9" t="n">
        <v>2489952.767672785</v>
      </c>
      <c r="AH107" s="9" t="n">
        <v>2510597.265839227</v>
      </c>
      <c r="AI107" s="9" t="n">
        <v>1556095.578388736</v>
      </c>
      <c r="AJ107" s="9" t="n">
        <v>1463116.268598963</v>
      </c>
      <c r="AK107" s="9" t="n">
        <v>1444833.039679741</v>
      </c>
      <c r="AL107" s="9" t="n">
        <v>2644016.740639176</v>
      </c>
      <c r="AM107" s="9" t="n">
        <v>2562044.063585912</v>
      </c>
      <c r="AN107" s="9" t="n">
        <v>2556550.156703814</v>
      </c>
      <c r="AO107" s="9" t="n">
        <v>1498796.052443817</v>
      </c>
      <c r="AP107" s="9" t="n">
        <v>1419340.525437205</v>
      </c>
      <c r="AQ107" s="9" t="n">
        <v>1394762.549743481</v>
      </c>
      <c r="AR107" s="9" t="n">
        <v>2731655.594211658</v>
      </c>
    </row>
    <row r="108">
      <c r="A108" s="4" t="inlineStr">
        <is>
          <t>Autos</t>
        </is>
      </c>
      <c r="B108" s="5" t="n">
        <v>202604</v>
      </c>
      <c r="C108" s="5" t="n">
        <v>2026</v>
      </c>
      <c r="D108" s="6" t="n">
        <v>4330693.742017539</v>
      </c>
      <c r="E108" s="11" t="n">
        <v>0.08080950841070703</v>
      </c>
      <c r="F108" s="22">
        <f>D108*(1-E108)</f>
        <v/>
      </c>
      <c r="G108" s="11" t="n">
        <v>0.803165</v>
      </c>
      <c r="H108" s="11" t="n">
        <v>0.03267029988480936</v>
      </c>
      <c r="I108" s="11" t="n">
        <v>0.1323461999349132</v>
      </c>
      <c r="J108" s="11" t="n">
        <v>0.1353684166034268</v>
      </c>
      <c r="K108" s="6" t="n">
        <v>10608325.97144624</v>
      </c>
      <c r="L108" s="18" t="n">
        <v>13208152.71014827</v>
      </c>
      <c r="M108" s="18" t="n">
        <v>17213940.5395473</v>
      </c>
      <c r="N108" s="23">
        <f>IF(L108=0,"",M108/L108)</f>
        <v/>
      </c>
      <c r="O108" s="6" t="n">
        <v>12358874.79220095</v>
      </c>
      <c r="P108" s="22">
        <f>M108*G108*(1+H108+I108)</f>
        <v/>
      </c>
      <c r="Q108" s="6" t="n">
        <v>10922842.50263326</v>
      </c>
      <c r="R108" s="22">
        <f>P108-M108*G108*J108</f>
        <v/>
      </c>
      <c r="S108" s="22">
        <f>IF(A108=A107,O108-O107,"")</f>
        <v/>
      </c>
      <c r="T108" s="22">
        <f>IF(A108=A107,P108-P107,"")</f>
        <v/>
      </c>
      <c r="U108" s="22">
        <f>IF(A108=A107,Q108-Q107,"")</f>
        <v/>
      </c>
      <c r="V108" s="22">
        <f>IF(A108=A107,R108-R107,"")</f>
        <v/>
      </c>
      <c r="W108" s="22">
        <f>IF(S108="","",D108-S108)</f>
        <v/>
      </c>
      <c r="X108" s="22">
        <f>IF(T108="","",D108-T108)</f>
        <v/>
      </c>
      <c r="Y108" s="22">
        <f>IF(U108="","",F108-U108)</f>
        <v/>
      </c>
      <c r="Z108" s="22">
        <f>IF(V108="","",F108-V108)</f>
        <v/>
      </c>
      <c r="AA108" s="6" t="n">
        <v>21370034.79258681</v>
      </c>
      <c r="AB108" s="6" t="n">
        <v>18729439.97005635</v>
      </c>
      <c r="AC108" s="6" t="n">
        <v>4039548.205036028</v>
      </c>
      <c r="AD108" s="6" t="n">
        <v>5720693.357756689</v>
      </c>
      <c r="AE108" s="6" t="n">
        <v>5039950.497640413</v>
      </c>
      <c r="AF108" s="6" t="n">
        <v>23194389.96445851</v>
      </c>
      <c r="AG108" s="6" t="n">
        <v>3692438.821145622</v>
      </c>
      <c r="AH108" s="6" t="n">
        <v>3853609.75823324</v>
      </c>
      <c r="AI108" s="6" t="n">
        <v>4656180.136828961</v>
      </c>
      <c r="AJ108" s="6" t="n">
        <v>3974740.996976896</v>
      </c>
      <c r="AK108" s="6" t="n">
        <v>3969772.909022111</v>
      </c>
      <c r="AL108" s="6" t="n">
        <v>3972391.799377525</v>
      </c>
      <c r="AM108" s="6" t="n">
        <v>4671999.6136999</v>
      </c>
      <c r="AN108" s="6" t="n">
        <v>4664661.92648121</v>
      </c>
      <c r="AO108" s="6" t="n">
        <v>4534630.400820613</v>
      </c>
      <c r="AP108" s="6" t="n">
        <v>3990192.174256972</v>
      </c>
      <c r="AQ108" s="6" t="n">
        <v>3944171.11822471</v>
      </c>
      <c r="AR108" s="6" t="n">
        <v>5048282.170249457</v>
      </c>
    </row>
    <row r="109">
      <c r="A109" t="inlineStr">
        <is>
          <t>Autos</t>
        </is>
      </c>
      <c r="B109" s="8" t="n">
        <v>202605</v>
      </c>
      <c r="C109" s="8" t="n">
        <v>2026</v>
      </c>
      <c r="D109" s="9" t="n">
        <v>3313042.787224647</v>
      </c>
      <c r="E109" s="10" t="n">
        <v>0.08080950841070703</v>
      </c>
      <c r="F109" s="22">
        <f>D109*(1-E109)</f>
        <v/>
      </c>
      <c r="G109" s="10" t="n">
        <v>0.795924</v>
      </c>
      <c r="H109" s="10" t="n">
        <v>0.0329676534901227</v>
      </c>
      <c r="I109" s="10" t="n">
        <v>0.1236808248229344</v>
      </c>
      <c r="J109" s="10" t="n">
        <v>0.139359557463907</v>
      </c>
      <c r="K109" s="9" t="n">
        <v>9347182.76480528</v>
      </c>
      <c r="L109" s="18" t="n">
        <v>11743813.18418</v>
      </c>
      <c r="M109" s="18" t="n">
        <v>16766372.41888943</v>
      </c>
      <c r="N109" s="23">
        <f>IF(L109=0,"",M109/L109)</f>
        <v/>
      </c>
      <c r="O109" s="9" t="n">
        <v>10811404.72142606</v>
      </c>
      <c r="P109" s="22">
        <f>M109*G109*(1+H109+I109)</f>
        <v/>
      </c>
      <c r="Q109" s="9" t="n">
        <v>9508785.467788538</v>
      </c>
      <c r="R109" s="22">
        <f>P109-M109*G109*J109</f>
        <v/>
      </c>
      <c r="S109" s="22">
        <f>IF(A109=A108,O109-O108,"")</f>
        <v/>
      </c>
      <c r="T109" s="22">
        <f>IF(A109=A108,P109-P108,"")</f>
        <v/>
      </c>
      <c r="U109" s="22">
        <f>IF(A109=A108,Q109-Q108,"")</f>
        <v/>
      </c>
      <c r="V109" s="22">
        <f>IF(A109=A108,R109-R108,"")</f>
        <v/>
      </c>
      <c r="W109" s="22">
        <f>IF(S109="","",D109-S109)</f>
        <v/>
      </c>
      <c r="X109" s="22">
        <f>IF(T109="","",D109-T109)</f>
        <v/>
      </c>
      <c r="Y109" s="22">
        <f>IF(U109="","",F109-U109)</f>
        <v/>
      </c>
      <c r="Z109" s="22">
        <f>IF(V109="","",F109-V109)</f>
        <v/>
      </c>
      <c r="AA109" s="9" t="n">
        <v>21091848.94926782</v>
      </c>
      <c r="AB109" s="9" t="n">
        <v>18366307.98072288</v>
      </c>
      <c r="AC109" s="9" t="n">
        <v>3898486.298192778</v>
      </c>
      <c r="AD109" s="9" t="n">
        <v>6361770.597379444</v>
      </c>
      <c r="AE109" s="9" t="n">
        <v>5678922.693096672</v>
      </c>
      <c r="AF109" s="9" t="n">
        <v>22655907.67977098</v>
      </c>
      <c r="AG109" s="9" t="n">
        <v>3891748.049179066</v>
      </c>
      <c r="AH109" s="9" t="n">
        <v>3930086.904337064</v>
      </c>
      <c r="AI109" s="9" t="n">
        <v>3503886.784756772</v>
      </c>
      <c r="AJ109" s="9" t="n">
        <v>2809225.029000995</v>
      </c>
      <c r="AK109" s="9" t="n">
        <v>2800886.315652468</v>
      </c>
      <c r="AL109" s="9" t="n">
        <v>4158918.886985582</v>
      </c>
      <c r="AM109" s="9" t="n">
        <v>3640104.467127186</v>
      </c>
      <c r="AN109" s="9" t="n">
        <v>3663221.214732953</v>
      </c>
      <c r="AO109" s="9" t="n">
        <v>3229387.526896415</v>
      </c>
      <c r="AP109" s="9" t="n">
        <v>2625172.883228633</v>
      </c>
      <c r="AQ109" s="9" t="n">
        <v>2615105.466915737</v>
      </c>
      <c r="AR109" s="9" t="n">
        <v>3882410.413996131</v>
      </c>
    </row>
    <row r="110">
      <c r="A110" s="4" t="inlineStr">
        <is>
          <t>AyE</t>
        </is>
      </c>
      <c r="B110" s="5" t="n">
        <v>202201</v>
      </c>
      <c r="C110" s="5" t="n">
        <v>2022</v>
      </c>
      <c r="D110" s="6" t="n">
        <v>724028.0654642127</v>
      </c>
      <c r="E110" s="11" t="n">
        <v>0.0488389439377168</v>
      </c>
      <c r="F110" s="22">
        <f>D110*(1-E110)</f>
        <v/>
      </c>
      <c r="G110" s="11" t="n">
        <v>1.928293899775672</v>
      </c>
      <c r="H110" s="11" t="n">
        <v>0.01975605969907244</v>
      </c>
      <c r="I110" s="11" t="n">
        <v>0.2842944047108003</v>
      </c>
      <c r="J110" s="11" t="n">
        <v>0.04747754380879551</v>
      </c>
      <c r="K110" s="6" t="n">
        <v>3870231.45817769</v>
      </c>
      <c r="L110" s="18" t="n">
        <v>2007075.507850713</v>
      </c>
      <c r="M110" s="18" t="n">
        <v>2055948.455284704</v>
      </c>
      <c r="N110" s="23">
        <f>IF(L110=0,"",M110/L110)</f>
        <v/>
      </c>
      <c r="O110" s="6" t="n">
        <v>5046977.130410315</v>
      </c>
      <c r="P110" s="22">
        <f>M110*G110*(1+H110+I110)</f>
        <v/>
      </c>
      <c r="Q110" s="6" t="n">
        <v>4863228.046804506</v>
      </c>
      <c r="R110" s="22">
        <f>P110-M110*G110*J110</f>
        <v/>
      </c>
      <c r="S110" s="22">
        <f>IF(A110=A109,O110-O109,"")</f>
        <v/>
      </c>
      <c r="T110" s="22">
        <f>IF(A110=A109,P110-P109,"")</f>
        <v/>
      </c>
      <c r="U110" s="22">
        <f>IF(A110=A109,Q110-Q109,"")</f>
        <v/>
      </c>
      <c r="V110" s="22">
        <f>IF(A110=A109,R110-R109,"")</f>
        <v/>
      </c>
      <c r="W110" s="22">
        <f>IF(S110="","",D110-S110)</f>
        <v/>
      </c>
      <c r="X110" s="22">
        <f>IF(T110="","",D110-T110)</f>
        <v/>
      </c>
      <c r="Y110" s="22">
        <f>IF(U110="","",F110-U110)</f>
        <v/>
      </c>
      <c r="Z110" s="22">
        <f>IF(V110="","",F110-V110)</f>
        <v/>
      </c>
      <c r="AA110" s="6" t="n">
        <v>2109487.485859893</v>
      </c>
      <c r="AB110" s="6" t="n">
        <v>2018086.260420545</v>
      </c>
      <c r="AC110" s="6" t="n">
        <v>1649392.0219742</v>
      </c>
      <c r="AD110" s="6" t="n">
        <v>1560118.25792215</v>
      </c>
      <c r="AE110" s="6" t="n">
        <v>1351835.942275153</v>
      </c>
      <c r="AF110" s="6" t="n">
        <v>2423804.028118575</v>
      </c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</row>
    <row r="111">
      <c r="A111" t="inlineStr">
        <is>
          <t>AyE</t>
        </is>
      </c>
      <c r="B111" s="8" t="n">
        <v>202202</v>
      </c>
      <c r="C111" s="8" t="n">
        <v>2022</v>
      </c>
      <c r="D111" s="9" t="n">
        <v>70904.37288462662</v>
      </c>
      <c r="E111" s="10" t="n">
        <v>0.0488389439377168</v>
      </c>
      <c r="F111" s="22">
        <f>D111*(1-E111)</f>
        <v/>
      </c>
      <c r="G111" s="10" t="n">
        <v>2.23944421959942</v>
      </c>
      <c r="H111" s="10" t="n">
        <v>0.01701101585152</v>
      </c>
      <c r="I111" s="10" t="n">
        <v>0.271491241242734</v>
      </c>
      <c r="J111" s="10" t="n">
        <v>0.05920345615127097</v>
      </c>
      <c r="K111" s="9" t="n">
        <v>4017363.652710367</v>
      </c>
      <c r="L111" s="18" t="n">
        <v>1793911.014862863</v>
      </c>
      <c r="M111" s="18" t="n">
        <v>1817465.18930037</v>
      </c>
      <c r="N111" s="23">
        <f>IF(L111=0,"",M111/L111)</f>
        <v/>
      </c>
      <c r="O111" s="9" t="n">
        <v>5176382.134085725</v>
      </c>
      <c r="P111" s="22">
        <f>M111*G111*(1+H111+I111)</f>
        <v/>
      </c>
      <c r="Q111" s="9" t="n">
        <v>4938540.321228777</v>
      </c>
      <c r="R111" s="22">
        <f>P111-M111*G111*J111</f>
        <v/>
      </c>
      <c r="S111" s="22">
        <f>IF(A111=A110,O111-O110,"")</f>
        <v/>
      </c>
      <c r="T111" s="22">
        <f>IF(A111=A110,P111-P110,"")</f>
        <v/>
      </c>
      <c r="U111" s="22">
        <f>IF(A111=A110,Q111-Q110,"")</f>
        <v/>
      </c>
      <c r="V111" s="22">
        <f>IF(A111=A110,R111-R110,"")</f>
        <v/>
      </c>
      <c r="W111" s="22">
        <f>IF(S111="","",D111-S111)</f>
        <v/>
      </c>
      <c r="X111" s="22">
        <f>IF(T111="","",D111-T111)</f>
        <v/>
      </c>
      <c r="Y111" s="22">
        <f>IF(U111="","",F111-U111)</f>
        <v/>
      </c>
      <c r="Z111" s="22">
        <f>IF(V111="","",F111-V111)</f>
        <v/>
      </c>
      <c r="AA111" s="9" t="n">
        <v>1865755.934447916</v>
      </c>
      <c r="AB111" s="9" t="n">
        <v>1779225.24992873</v>
      </c>
      <c r="AC111" s="9" t="n">
        <v>1443443.093128922</v>
      </c>
      <c r="AD111" s="9" t="n">
        <v>1362095.239072244</v>
      </c>
      <c r="AE111" s="9" t="n">
        <v>1151397.213412404</v>
      </c>
      <c r="AF111" s="9" t="n">
        <v>2122648.923181665</v>
      </c>
      <c r="AG111" s="9" t="n">
        <v>-8286.827343165758</v>
      </c>
      <c r="AH111" s="9" t="n">
        <v>11563.12525198155</v>
      </c>
      <c r="AI111" s="9" t="n">
        <v>53356.46614896099</v>
      </c>
      <c r="AJ111" s="9" t="n">
        <v>63600.9100636678</v>
      </c>
      <c r="AK111" s="9" t="n">
        <v>147830.9985614876</v>
      </c>
      <c r="AL111" s="9" t="n">
        <v>40819.05858368252</v>
      </c>
      <c r="AM111" s="9" t="n">
        <v>42492.52654128462</v>
      </c>
      <c r="AN111" s="9" t="n">
        <v>59237.83777874276</v>
      </c>
      <c r="AO111" s="9" t="n">
        <v>90266.42766067512</v>
      </c>
      <c r="AP111" s="9" t="n">
        <v>97898.61409741906</v>
      </c>
      <c r="AQ111" s="9" t="n">
        <v>173262.1435329261</v>
      </c>
      <c r="AR111" s="9" t="n">
        <v>96882.12759257887</v>
      </c>
    </row>
    <row r="112">
      <c r="A112" s="4" t="inlineStr">
        <is>
          <t>AyE</t>
        </is>
      </c>
      <c r="B112" s="5" t="n">
        <v>202203</v>
      </c>
      <c r="C112" s="5" t="n">
        <v>2022</v>
      </c>
      <c r="D112" s="6" t="n">
        <v>265109.7430996777</v>
      </c>
      <c r="E112" s="11" t="n">
        <v>0.0488389439377168</v>
      </c>
      <c r="F112" s="22">
        <f>D112*(1-E112)</f>
        <v/>
      </c>
      <c r="G112" s="11" t="n">
        <v>2.201087805325754</v>
      </c>
      <c r="H112" s="11" t="n">
        <v>0.0173074255291827</v>
      </c>
      <c r="I112" s="11" t="n">
        <v>0.3365476542233122</v>
      </c>
      <c r="J112" s="11" t="n">
        <v>0.05934637085261554</v>
      </c>
      <c r="K112" s="6" t="n">
        <v>3867130.941979076</v>
      </c>
      <c r="L112" s="18" t="n">
        <v>1756918.071429119</v>
      </c>
      <c r="M112" s="18" t="n">
        <v>1753594.55583257</v>
      </c>
      <c r="N112" s="23">
        <f>IF(L112=0,"",M112/L112)</f>
        <v/>
      </c>
      <c r="O112" s="6" t="n">
        <v>5235534.869866422</v>
      </c>
      <c r="P112" s="22">
        <f>M112*G112*(1+H112+I112)</f>
        <v/>
      </c>
      <c r="Q112" s="6" t="n">
        <v>5006034.682848107</v>
      </c>
      <c r="R112" s="22">
        <f>P112-M112*G112*J112</f>
        <v/>
      </c>
      <c r="S112" s="22">
        <f>IF(A112=A111,O112-O111,"")</f>
        <v/>
      </c>
      <c r="T112" s="22">
        <f>IF(A112=A111,P112-P111,"")</f>
        <v/>
      </c>
      <c r="U112" s="22">
        <f>IF(A112=A111,Q112-Q111,"")</f>
        <v/>
      </c>
      <c r="V112" s="22">
        <f>IF(A112=A111,R112-R111,"")</f>
        <v/>
      </c>
      <c r="W112" s="22">
        <f>IF(S112="","",D112-S112)</f>
        <v/>
      </c>
      <c r="X112" s="22">
        <f>IF(T112="","",D112-T112)</f>
        <v/>
      </c>
      <c r="Y112" s="22">
        <f>IF(U112="","",F112-U112)</f>
        <v/>
      </c>
      <c r="Z112" s="22">
        <f>IF(V112="","",F112-V112)</f>
        <v/>
      </c>
      <c r="AA112" s="6" t="n">
        <v>1812527.397905995</v>
      </c>
      <c r="AB112" s="6" t="n">
        <v>1707598.726788387</v>
      </c>
      <c r="AC112" s="6" t="n">
        <v>1208679.379378859</v>
      </c>
      <c r="AD112" s="6" t="n">
        <v>1218771.698643119</v>
      </c>
      <c r="AE112" s="6" t="n">
        <v>992189.7734040675</v>
      </c>
      <c r="AF112" s="6" t="n">
        <v>2003606.929905122</v>
      </c>
      <c r="AG112" s="6" t="n">
        <v>247554.3717123301</v>
      </c>
      <c r="AH112" s="6" t="n">
        <v>310550.1814334377</v>
      </c>
      <c r="AI112" s="6" t="n">
        <v>828397.7114782495</v>
      </c>
      <c r="AJ112" s="6" t="n">
        <v>563591.4788605346</v>
      </c>
      <c r="AK112" s="6" t="n">
        <v>630819.9231853703</v>
      </c>
      <c r="AL112" s="6" t="n">
        <v>419418.3252465412</v>
      </c>
      <c r="AM112" s="6" t="n">
        <v>224003.7184373821</v>
      </c>
      <c r="AN112" s="6" t="n">
        <v>284765.5391207589</v>
      </c>
      <c r="AO112" s="6" t="n">
        <v>781959.8957067728</v>
      </c>
      <c r="AP112" s="6" t="n">
        <v>529257.3174981712</v>
      </c>
      <c r="AQ112" s="6" t="n">
        <v>594823.0835168324</v>
      </c>
      <c r="AR112" s="6" t="n">
        <v>386768.1350195027</v>
      </c>
    </row>
    <row r="113">
      <c r="A113" t="inlineStr">
        <is>
          <t>AyE</t>
        </is>
      </c>
      <c r="B113" s="8" t="n">
        <v>202204</v>
      </c>
      <c r="C113" s="8" t="n">
        <v>2022</v>
      </c>
      <c r="D113" s="9" t="n">
        <v>31164.9374917057</v>
      </c>
      <c r="E113" s="10" t="n">
        <v>0.0488389439377168</v>
      </c>
      <c r="F113" s="22">
        <f>D113*(1-E113)</f>
        <v/>
      </c>
      <c r="G113" s="10" t="n">
        <v>2.2332076675524</v>
      </c>
      <c r="H113" s="10" t="n">
        <v>0.0170587118329313</v>
      </c>
      <c r="I113" s="10" t="n">
        <v>0.1709635287696515</v>
      </c>
      <c r="J113" s="10" t="n">
        <v>0.0640840552851534</v>
      </c>
      <c r="K113" s="9" t="n">
        <v>3209867.005647496</v>
      </c>
      <c r="L113" s="18" t="n">
        <v>1437334.759451868</v>
      </c>
      <c r="M113" s="18" t="n">
        <v>1463555.640865859</v>
      </c>
      <c r="N113" s="23">
        <f>IF(L113=0,"",M113/L113)</f>
        <v/>
      </c>
      <c r="O113" s="9" t="n">
        <v>3813393.392085642</v>
      </c>
      <c r="P113" s="22">
        <f>M113*G113*(1+H113+I113)</f>
        <v/>
      </c>
      <c r="Q113" s="9" t="n">
        <v>3607692.097437738</v>
      </c>
      <c r="R113" s="22">
        <f>P113-M113*G113*J113</f>
        <v/>
      </c>
      <c r="S113" s="22">
        <f>IF(A113=A112,O113-O112,"")</f>
        <v/>
      </c>
      <c r="T113" s="22">
        <f>IF(A113=A112,P113-P112,"")</f>
        <v/>
      </c>
      <c r="U113" s="22">
        <f>IF(A113=A112,Q113-Q112,"")</f>
        <v/>
      </c>
      <c r="V113" s="22">
        <f>IF(A113=A112,R113-R112,"")</f>
        <v/>
      </c>
      <c r="W113" s="22">
        <f>IF(S113="","",D113-S113)</f>
        <v/>
      </c>
      <c r="X113" s="22">
        <f>IF(T113="","",D113-T113)</f>
        <v/>
      </c>
      <c r="Y113" s="22">
        <f>IF(U113="","",F113-U113)</f>
        <v/>
      </c>
      <c r="Z113" s="22">
        <f>IF(V113="","",F113-V113)</f>
        <v/>
      </c>
      <c r="AA113" s="9" t="n">
        <v>1521256.721514635</v>
      </c>
      <c r="AB113" s="9" t="n">
        <v>1418564.736860786</v>
      </c>
      <c r="AC113" s="9" t="n">
        <v>978066.780837118</v>
      </c>
      <c r="AD113" s="9" t="n">
        <v>989110.9475257217</v>
      </c>
      <c r="AE113" s="9" t="n">
        <v>783019.59592167</v>
      </c>
      <c r="AF113" s="9" t="n">
        <v>1657717.785919718</v>
      </c>
      <c r="AG113" s="9" t="n">
        <v>1396366.255747627</v>
      </c>
      <c r="AH113" s="9" t="n">
        <v>1356135.795569555</v>
      </c>
      <c r="AI113" s="9" t="n">
        <v>1038064.430533168</v>
      </c>
      <c r="AJ113" s="9" t="n">
        <v>1038837.793943052</v>
      </c>
      <c r="AK113" s="9" t="n">
        <v>910415.1433717981</v>
      </c>
      <c r="AL113" s="9" t="n">
        <v>1603729.55211713</v>
      </c>
      <c r="AM113" s="9" t="n">
        <v>1375791.569049427</v>
      </c>
      <c r="AN113" s="9" t="n">
        <v>1334571.023234547</v>
      </c>
      <c r="AO113" s="9" t="n">
        <v>1018630.797260779</v>
      </c>
      <c r="AP113" s="9" t="n">
        <v>1019666.399457198</v>
      </c>
      <c r="AQ113" s="9" t="n">
        <v>891347.0169727388</v>
      </c>
      <c r="AR113" s="9" t="n">
        <v>1577724.153755833</v>
      </c>
    </row>
    <row r="114">
      <c r="A114" s="4" t="inlineStr">
        <is>
          <t>AyE</t>
        </is>
      </c>
      <c r="B114" s="5" t="n">
        <v>202205</v>
      </c>
      <c r="C114" s="5" t="n">
        <v>2022</v>
      </c>
      <c r="D114" s="6" t="n">
        <v>209079.1443285667</v>
      </c>
      <c r="E114" s="11" t="n">
        <v>0.0488389439377168</v>
      </c>
      <c r="F114" s="22">
        <f>D114*(1-E114)</f>
        <v/>
      </c>
      <c r="G114" s="11" t="n">
        <v>1.979041852979318</v>
      </c>
      <c r="H114" s="11" t="n">
        <v>0.01924951010104625</v>
      </c>
      <c r="I114" s="11" t="n">
        <v>0.1678606217874862</v>
      </c>
      <c r="J114" s="11" t="n">
        <v>0.06519884836059775</v>
      </c>
      <c r="K114" s="6" t="n">
        <v>2607163.049960631</v>
      </c>
      <c r="L114" s="18" t="n">
        <v>1317386.515113724</v>
      </c>
      <c r="M114" s="18" t="n">
        <v>1345888.922636814</v>
      </c>
      <c r="N114" s="23">
        <f>IF(L114=0,"",M114/L114)</f>
        <v/>
      </c>
      <c r="O114" s="6" t="n">
        <v>3094989.672093673</v>
      </c>
      <c r="P114" s="22">
        <f>M114*G114*(1+H114+I114)</f>
        <v/>
      </c>
      <c r="Q114" s="6" t="n">
        <v>2925005.643747936</v>
      </c>
      <c r="R114" s="22">
        <f>P114-M114*G114*J114</f>
        <v/>
      </c>
      <c r="S114" s="22">
        <f>IF(A114=A113,O114-O113,"")</f>
        <v/>
      </c>
      <c r="T114" s="22">
        <f>IF(A114=A113,P114-P113,"")</f>
        <v/>
      </c>
      <c r="U114" s="22">
        <f>IF(A114=A113,Q114-Q113,"")</f>
        <v/>
      </c>
      <c r="V114" s="22">
        <f>IF(A114=A113,R114-R113,"")</f>
        <v/>
      </c>
      <c r="W114" s="22">
        <f>IF(S114="","",D114-S114)</f>
        <v/>
      </c>
      <c r="X114" s="22">
        <f>IF(T114="","",D114-T114)</f>
        <v/>
      </c>
      <c r="Y114" s="22">
        <f>IF(U114="","",F114-U114)</f>
        <v/>
      </c>
      <c r="Z114" s="22">
        <f>IF(V114="","",F114-V114)</f>
        <v/>
      </c>
      <c r="AA114" s="6" t="n">
        <v>1410291.83597499</v>
      </c>
      <c r="AB114" s="6" t="n">
        <v>1299577.079336956</v>
      </c>
      <c r="AC114" s="6" t="n">
        <v>757908.9300430241</v>
      </c>
      <c r="AD114" s="6" t="n">
        <v>832374.9786970165</v>
      </c>
      <c r="AE114" s="6" t="n">
        <v>629729.9768436564</v>
      </c>
      <c r="AF114" s="6" t="n">
        <v>1493096.445876159</v>
      </c>
      <c r="AG114" s="6" t="n">
        <v>931870.0079858373</v>
      </c>
      <c r="AH114" s="6" t="n">
        <v>919524.5414676522</v>
      </c>
      <c r="AI114" s="6" t="n">
        <v>1023402.242178897</v>
      </c>
      <c r="AJ114" s="6" t="n">
        <v>877757.4109449841</v>
      </c>
      <c r="AK114" s="6" t="n">
        <v>807058.5056755906</v>
      </c>
      <c r="AL114" s="6" t="n">
        <v>1099378.674581431</v>
      </c>
      <c r="AM114" s="6" t="n">
        <v>885918.902665758</v>
      </c>
      <c r="AN114" s="6" t="n">
        <v>873984.3311140775</v>
      </c>
      <c r="AO114" s="6" t="n">
        <v>971010.8991942948</v>
      </c>
      <c r="AP114" s="6" t="n">
        <v>833393.9514089145</v>
      </c>
      <c r="AQ114" s="6" t="n">
        <v>766041.8606610207</v>
      </c>
      <c r="AR114" s="6" t="n">
        <v>1044582.598749827</v>
      </c>
    </row>
    <row r="115">
      <c r="A115" t="inlineStr">
        <is>
          <t>AyE</t>
        </is>
      </c>
      <c r="B115" s="8" t="n">
        <v>202206</v>
      </c>
      <c r="C115" s="8" t="n">
        <v>2022</v>
      </c>
      <c r="D115" s="9" t="n">
        <v>244639.3531241154</v>
      </c>
      <c r="E115" s="10" t="n">
        <v>0.0488389439377168</v>
      </c>
      <c r="F115" s="22">
        <f>D115*(1-E115)</f>
        <v/>
      </c>
      <c r="G115" s="10" t="n">
        <v>2.604225737523369</v>
      </c>
      <c r="H115" s="10" t="n">
        <v>0.01462831616132638</v>
      </c>
      <c r="I115" s="10" t="n">
        <v>0.1390187974013709</v>
      </c>
      <c r="J115" s="10" t="n">
        <v>0.05377925800568377</v>
      </c>
      <c r="K115" s="9" t="n">
        <v>3189251.746435365</v>
      </c>
      <c r="L115" s="18" t="n">
        <v>1224644.891755182</v>
      </c>
      <c r="M115" s="18" t="n">
        <v>1270128.173758887</v>
      </c>
      <c r="N115" s="23">
        <f>IF(L115=0,"",M115/L115)</f>
        <v/>
      </c>
      <c r="O115" s="9" t="n">
        <v>3679271.07169995</v>
      </c>
      <c r="P115" s="22">
        <f>M115*G115*(1+H115+I115)</f>
        <v/>
      </c>
      <c r="Q115" s="9" t="n">
        <v>3507755.479183325</v>
      </c>
      <c r="R115" s="22">
        <f>P115-M115*G115*J115</f>
        <v/>
      </c>
      <c r="S115" s="22">
        <f>IF(A115=A114,O115-O114,"")</f>
        <v/>
      </c>
      <c r="T115" s="22">
        <f>IF(A115=A114,P115-P114,"")</f>
        <v/>
      </c>
      <c r="U115" s="22">
        <f>IF(A115=A114,Q115-Q114,"")</f>
        <v/>
      </c>
      <c r="V115" s="22">
        <f>IF(A115=A114,R115-R114,"")</f>
        <v/>
      </c>
      <c r="W115" s="22">
        <f>IF(S115="","",D115-S115)</f>
        <v/>
      </c>
      <c r="X115" s="22">
        <f>IF(T115="","",D115-T115)</f>
        <v/>
      </c>
      <c r="Y115" s="22">
        <f>IF(U115="","",F115-U115)</f>
        <v/>
      </c>
      <c r="Z115" s="22">
        <f>IF(V115="","",F115-V115)</f>
        <v/>
      </c>
      <c r="AA115" s="9" t="n">
        <v>1329953.266528831</v>
      </c>
      <c r="AB115" s="9" t="n">
        <v>1223338.465436394</v>
      </c>
      <c r="AC115" s="9" t="n">
        <v>704841.4937179823</v>
      </c>
      <c r="AD115" s="9" t="n">
        <v>764356.3712005964</v>
      </c>
      <c r="AE115" s="9" t="n">
        <v>570834.8608362462</v>
      </c>
      <c r="AF115" s="9" t="n">
        <v>1384213.241290129</v>
      </c>
      <c r="AG115" s="9" t="n">
        <v>-437759.807072852</v>
      </c>
      <c r="AH115" s="9" t="n">
        <v>-377557.5059249948</v>
      </c>
      <c r="AI115" s="9" t="n">
        <v>-92370.23141768415</v>
      </c>
      <c r="AJ115" s="9" t="n">
        <v>-96228.08621282878</v>
      </c>
      <c r="AK115" s="9" t="n">
        <v>9097.578505450132</v>
      </c>
      <c r="AL115" s="9" t="n">
        <v>-406239.9346620382</v>
      </c>
      <c r="AM115" s="9" t="n">
        <v>-445415.0718692086</v>
      </c>
      <c r="AN115" s="9" t="n">
        <v>-385858.865005599</v>
      </c>
      <c r="AO115" s="9" t="n">
        <v>-103396.6986533919</v>
      </c>
      <c r="AP115" s="9" t="n">
        <v>-108527.7441168454</v>
      </c>
      <c r="AQ115" s="9" t="n">
        <v>-4157.87310550001</v>
      </c>
      <c r="AR115" s="9" t="n">
        <v>-416980.2917185045</v>
      </c>
    </row>
    <row r="116">
      <c r="A116" s="4" t="inlineStr">
        <is>
          <t>AyE</t>
        </is>
      </c>
      <c r="B116" s="5" t="n">
        <v>202207</v>
      </c>
      <c r="C116" s="5" t="n">
        <v>2022</v>
      </c>
      <c r="D116" s="6" t="n">
        <v>3835823.688843272</v>
      </c>
      <c r="E116" s="11" t="n">
        <v>0.0488389439377168</v>
      </c>
      <c r="F116" s="22">
        <f>D116*(1-E116)</f>
        <v/>
      </c>
      <c r="G116" s="11" t="n">
        <v>2.547582444026488</v>
      </c>
      <c r="H116" s="11" t="n">
        <v>0.01495363107306089</v>
      </c>
      <c r="I116" s="11" t="n">
        <v>0.2788814966352267</v>
      </c>
      <c r="J116" s="11" t="n">
        <v>0.01945223158729147</v>
      </c>
      <c r="K116" s="6" t="n">
        <v>7213946.778898568</v>
      </c>
      <c r="L116" s="18" t="n">
        <v>2831683.345837801</v>
      </c>
      <c r="M116" s="18" t="n">
        <v>2935682.989387175</v>
      </c>
      <c r="N116" s="23">
        <f>IF(L116=0,"",M116/L116)</f>
        <v/>
      </c>
      <c r="O116" s="6" t="n">
        <v>9333657.751957018</v>
      </c>
      <c r="P116" s="22">
        <f>M116*G116*(1+H116+I116)</f>
        <v/>
      </c>
      <c r="Q116" s="6" t="n">
        <v>9193330.388555489</v>
      </c>
      <c r="R116" s="22">
        <f>P116-M116*G116*J116</f>
        <v/>
      </c>
      <c r="S116" s="22">
        <f>IF(A116=A115,O116-O115,"")</f>
        <v/>
      </c>
      <c r="T116" s="22">
        <f>IF(A116=A115,P116-P115,"")</f>
        <v/>
      </c>
      <c r="U116" s="22">
        <f>IF(A116=A115,Q116-Q115,"")</f>
        <v/>
      </c>
      <c r="V116" s="22">
        <f>IF(A116=A115,R116-R115,"")</f>
        <v/>
      </c>
      <c r="W116" s="22">
        <f>IF(S116="","",D116-S116)</f>
        <v/>
      </c>
      <c r="X116" s="22">
        <f>IF(T116="","",D116-T116)</f>
        <v/>
      </c>
      <c r="Y116" s="22">
        <f>IF(U116="","",F116-U116)</f>
        <v/>
      </c>
      <c r="Z116" s="22">
        <f>IF(V116="","",F116-V116)</f>
        <v/>
      </c>
      <c r="AA116" s="6" t="n">
        <v>2993049.708749221</v>
      </c>
      <c r="AB116" s="6" t="n">
        <v>2890164.461960556</v>
      </c>
      <c r="AC116" s="6" t="n">
        <v>2393133.235023536</v>
      </c>
      <c r="AD116" s="6" t="n">
        <v>2497581.120277751</v>
      </c>
      <c r="AE116" s="6" t="n">
        <v>2234222.951102561</v>
      </c>
      <c r="AF116" s="6" t="n">
        <v>4707482.975277884</v>
      </c>
      <c r="AG116" s="6" t="n">
        <v>-2034066.989771025</v>
      </c>
      <c r="AH116" s="6" t="n">
        <v>-2015250.590929958</v>
      </c>
      <c r="AI116" s="6" t="n">
        <v>-1934710.557157698</v>
      </c>
      <c r="AJ116" s="6" t="n">
        <v>-2100182.6583556</v>
      </c>
      <c r="AK116" s="6" t="n">
        <v>-1813521.994766133</v>
      </c>
      <c r="AL116" s="6" t="n">
        <v>-7522082.679333332</v>
      </c>
      <c r="AM116" s="6" t="n">
        <v>-2259344.887422999</v>
      </c>
      <c r="AN116" s="6" t="n">
        <v>-2230695.329022618</v>
      </c>
      <c r="AO116" s="6" t="n">
        <v>-2102169.029725111</v>
      </c>
      <c r="AP116" s="6" t="n">
        <v>-2270800.351072021</v>
      </c>
      <c r="AQ116" s="6" t="n">
        <v>-1970087.376487222</v>
      </c>
      <c r="AR116" s="6" t="n">
        <v>-7669999.131429493</v>
      </c>
    </row>
    <row r="117">
      <c r="A117" t="inlineStr">
        <is>
          <t>AyE</t>
        </is>
      </c>
      <c r="B117" s="8" t="n">
        <v>202208</v>
      </c>
      <c r="C117" s="8" t="n">
        <v>2022</v>
      </c>
      <c r="D117" s="9" t="n">
        <v>330626.6656931371</v>
      </c>
      <c r="E117" s="10" t="n">
        <v>0.0488389439377168</v>
      </c>
      <c r="F117" s="22">
        <f>D117*(1-E117)</f>
        <v/>
      </c>
      <c r="G117" s="10" t="n">
        <v>2.616607388052653</v>
      </c>
      <c r="H117" s="10" t="n">
        <v>0.0145590472189495</v>
      </c>
      <c r="I117" s="10" t="n">
        <v>0.2404411438827647</v>
      </c>
      <c r="J117" s="10" t="n">
        <v>0.01709188386035794</v>
      </c>
      <c r="K117" s="9" t="n">
        <v>6909427.35364788</v>
      </c>
      <c r="L117" s="18" t="n">
        <v>2640605.306396408</v>
      </c>
      <c r="M117" s="18" t="n">
        <v>2712161.910410592</v>
      </c>
      <c r="N117" s="23">
        <f>IF(L117=0,"",M117/L117)</f>
        <v/>
      </c>
      <c r="O117" s="9" t="n">
        <v>8671332.649231501</v>
      </c>
      <c r="P117" s="22">
        <f>M117*G117*(1+H117+I117)</f>
        <v/>
      </c>
      <c r="Q117" s="9" t="n">
        <v>8553237.519361373</v>
      </c>
      <c r="R117" s="22">
        <f>P117-M117*G117*J117</f>
        <v/>
      </c>
      <c r="S117" s="22">
        <f>IF(A117=A116,O117-O116,"")</f>
        <v/>
      </c>
      <c r="T117" s="22">
        <f>IF(A117=A116,P117-P116,"")</f>
        <v/>
      </c>
      <c r="U117" s="22">
        <f>IF(A117=A116,Q117-Q116,"")</f>
        <v/>
      </c>
      <c r="V117" s="22">
        <f>IF(A117=A116,R117-R116,"")</f>
        <v/>
      </c>
      <c r="W117" s="22">
        <f>IF(S117="","",D117-S117)</f>
        <v/>
      </c>
      <c r="X117" s="22">
        <f>IF(T117="","",D117-T117)</f>
        <v/>
      </c>
      <c r="Y117" s="22">
        <f>IF(U117="","",F117-U117)</f>
        <v/>
      </c>
      <c r="Z117" s="22">
        <f>IF(V117="","",F117-V117)</f>
        <v/>
      </c>
      <c r="AA117" s="9" t="n">
        <v>2773844.277210677</v>
      </c>
      <c r="AB117" s="9" t="n">
        <v>2670746.194331373</v>
      </c>
      <c r="AC117" s="9" t="n">
        <v>2130465.162012991</v>
      </c>
      <c r="AD117" s="9" t="n">
        <v>2232737.646636375</v>
      </c>
      <c r="AE117" s="9" t="n">
        <v>1956537.017317679</v>
      </c>
      <c r="AF117" s="9" t="n">
        <v>4499956.189335217</v>
      </c>
      <c r="AG117" s="9" t="n">
        <v>1087303.941620198</v>
      </c>
      <c r="AH117" s="9" t="n">
        <v>1086736.459230799</v>
      </c>
      <c r="AI117" s="9" t="n">
        <v>1222644.119925161</v>
      </c>
      <c r="AJ117" s="9" t="n">
        <v>1231073.430547099</v>
      </c>
      <c r="AK117" s="9" t="n">
        <v>1270004.40510696</v>
      </c>
      <c r="AL117" s="9" t="n">
        <v>1070055.86721675</v>
      </c>
      <c r="AM117" s="9" t="n">
        <v>1046886.36613103</v>
      </c>
      <c r="AN117" s="9" t="n">
        <v>1046806.652129386</v>
      </c>
      <c r="AO117" s="9" t="n">
        <v>1183182.420350579</v>
      </c>
      <c r="AP117" s="9" t="n">
        <v>1191009.601193118</v>
      </c>
      <c r="AQ117" s="9" t="n">
        <v>1230639.144713269</v>
      </c>
      <c r="AR117" s="9" t="n">
        <v>1021874.026938956</v>
      </c>
    </row>
    <row r="118">
      <c r="A118" s="4" t="inlineStr">
        <is>
          <t>AyE</t>
        </is>
      </c>
      <c r="B118" s="5" t="n">
        <v>202209</v>
      </c>
      <c r="C118" s="5" t="n">
        <v>2022</v>
      </c>
      <c r="D118" s="6" t="n">
        <v>-258454.2865266233</v>
      </c>
      <c r="E118" s="11" t="n">
        <v>0.0488389439377168</v>
      </c>
      <c r="F118" s="22">
        <f>D118*(1-E118)</f>
        <v/>
      </c>
      <c r="G118" s="11" t="n">
        <v>2.44621442346384</v>
      </c>
      <c r="H118" s="11" t="n">
        <v>0.0155732934299437</v>
      </c>
      <c r="I118" s="11" t="n">
        <v>0.2514211693305814</v>
      </c>
      <c r="J118" s="11" t="n">
        <v>0.02283564058624811</v>
      </c>
      <c r="K118" s="6" t="n">
        <v>5926976.222108501</v>
      </c>
      <c r="L118" s="18" t="n">
        <v>2422917.698979103</v>
      </c>
      <c r="M118" s="18" t="n">
        <v>2457375.102035108</v>
      </c>
      <c r="N118" s="23">
        <f>IF(L118=0,"",M118/L118)</f>
        <v/>
      </c>
      <c r="O118" s="6" t="n">
        <v>7509446.054324767</v>
      </c>
      <c r="P118" s="22">
        <f>M118*G118*(1+H118+I118)</f>
        <v/>
      </c>
      <c r="Q118" s="6" t="n">
        <v>7374099.755553458</v>
      </c>
      <c r="R118" s="22">
        <f>P118-M118*G118*J118</f>
        <v/>
      </c>
      <c r="S118" s="22">
        <f>IF(A118=A117,O118-O117,"")</f>
        <v/>
      </c>
      <c r="T118" s="22">
        <f>IF(A118=A117,P118-P117,"")</f>
        <v/>
      </c>
      <c r="U118" s="22">
        <f>IF(A118=A117,Q118-Q117,"")</f>
        <v/>
      </c>
      <c r="V118" s="22">
        <f>IF(A118=A117,R118-R117,"")</f>
        <v/>
      </c>
      <c r="W118" s="22">
        <f>IF(S118="","",D118-S118)</f>
        <v/>
      </c>
      <c r="X118" s="22">
        <f>IF(T118="","",D118-T118)</f>
        <v/>
      </c>
      <c r="Y118" s="22">
        <f>IF(U118="","",F118-U118)</f>
        <v/>
      </c>
      <c r="Z118" s="22">
        <f>IF(V118="","",F118-V118)</f>
        <v/>
      </c>
      <c r="AA118" s="6" t="n">
        <v>2512770.658986558</v>
      </c>
      <c r="AB118" s="6" t="n">
        <v>2414081.082041262</v>
      </c>
      <c r="AC118" s="6" t="n">
        <v>1924978.969068607</v>
      </c>
      <c r="AD118" s="6" t="n">
        <v>1964325.579977063</v>
      </c>
      <c r="AE118" s="6" t="n">
        <v>1686705.253484576</v>
      </c>
      <c r="AF118" s="6" t="n">
        <v>3736393.261815665</v>
      </c>
      <c r="AG118" s="6" t="n">
        <v>1062483.254959834</v>
      </c>
      <c r="AH118" s="6" t="n">
        <v>1029797.926850633</v>
      </c>
      <c r="AI118" s="6" t="n">
        <v>771493.7700381995</v>
      </c>
      <c r="AJ118" s="6" t="n">
        <v>985391.9993090004</v>
      </c>
      <c r="AK118" s="6" t="n">
        <v>938832.3776813865</v>
      </c>
      <c r="AL118" s="6" t="n">
        <v>2938340.745319449</v>
      </c>
      <c r="AM118" s="6" t="n">
        <v>1091417.509965488</v>
      </c>
      <c r="AN118" s="6" t="n">
        <v>1057830.125638775</v>
      </c>
      <c r="AO118" s="6" t="n">
        <v>796367.1509417974</v>
      </c>
      <c r="AP118" s="6" t="n">
        <v>1007889.409542916</v>
      </c>
      <c r="AQ118" s="6" t="n">
        <v>958174.1255920277</v>
      </c>
      <c r="AR118" s="6" t="n">
        <v>2958431.156794576</v>
      </c>
    </row>
    <row r="119">
      <c r="A119" t="inlineStr">
        <is>
          <t>AyE</t>
        </is>
      </c>
      <c r="B119" s="8" t="n">
        <v>202210</v>
      </c>
      <c r="C119" s="8" t="n">
        <v>2022</v>
      </c>
      <c r="D119" s="9" t="n">
        <v>91215.68882651953</v>
      </c>
      <c r="E119" s="10" t="n">
        <v>0.0488389439377168</v>
      </c>
      <c r="F119" s="22">
        <f>D119*(1-E119)</f>
        <v/>
      </c>
      <c r="G119" s="10" t="n">
        <v>2.40974571542786</v>
      </c>
      <c r="H119" s="10" t="n">
        <v>0.01580899246188306</v>
      </c>
      <c r="I119" s="10" t="n">
        <v>0.2844128909802698</v>
      </c>
      <c r="J119" s="10" t="n">
        <v>0.04272071066821432</v>
      </c>
      <c r="K119" s="9" t="n">
        <v>5284564.249910399</v>
      </c>
      <c r="L119" s="18" t="n">
        <v>2192996.636980058</v>
      </c>
      <c r="M119" s="18" t="n">
        <v>2199879.660380946</v>
      </c>
      <c r="N119" s="23">
        <f>IF(L119=0,"",M119/L119)</f>
        <v/>
      </c>
      <c r="O119" s="9" t="n">
        <v>6871106.082189566</v>
      </c>
      <c r="P119" s="22">
        <f>M119*G119*(1+H119+I119)</f>
        <v/>
      </c>
      <c r="Q119" s="9" t="n">
        <v>6645345.741861556</v>
      </c>
      <c r="R119" s="22">
        <f>P119-M119*G119*J119</f>
        <v/>
      </c>
      <c r="S119" s="22">
        <f>IF(A119=A118,O119-O118,"")</f>
        <v/>
      </c>
      <c r="T119" s="22">
        <f>IF(A119=A118,P119-P118,"")</f>
        <v/>
      </c>
      <c r="U119" s="22">
        <f>IF(A119=A118,Q119-Q118,"")</f>
        <v/>
      </c>
      <c r="V119" s="22">
        <f>IF(A119=A118,R119-R118,"")</f>
        <v/>
      </c>
      <c r="W119" s="22">
        <f>IF(S119="","",D119-S119)</f>
        <v/>
      </c>
      <c r="X119" s="22">
        <f>IF(T119="","",D119-T119)</f>
        <v/>
      </c>
      <c r="Y119" s="22">
        <f>IF(U119="","",F119-U119)</f>
        <v/>
      </c>
      <c r="Z119" s="22">
        <f>IF(V119="","",F119-V119)</f>
        <v/>
      </c>
      <c r="AA119" s="9" t="n">
        <v>2255455.55493398</v>
      </c>
      <c r="AB119" s="9" t="n">
        <v>2159955.318153949</v>
      </c>
      <c r="AC119" s="9" t="n">
        <v>1706680.688890113</v>
      </c>
      <c r="AD119" s="9" t="n">
        <v>1731506.050858333</v>
      </c>
      <c r="AE119" s="9" t="n">
        <v>1466487.16562695</v>
      </c>
      <c r="AF119" s="9" t="n">
        <v>3339419.374686918</v>
      </c>
      <c r="AG119" s="9" t="n">
        <v>812344.007035133</v>
      </c>
      <c r="AH119" s="9" t="n">
        <v>805693.1755154203</v>
      </c>
      <c r="AI119" s="9" t="n">
        <v>710001.3020822764</v>
      </c>
      <c r="AJ119" s="9" t="n">
        <v>754166.9060021401</v>
      </c>
      <c r="AK119" s="9" t="n">
        <v>724085.3485656423</v>
      </c>
      <c r="AL119" s="9" t="n">
        <v>1208486.744944427</v>
      </c>
      <c r="AM119" s="9" t="n">
        <v>899713.8047169502</v>
      </c>
      <c r="AN119" s="9" t="n">
        <v>888744.4870559004</v>
      </c>
      <c r="AO119" s="9" t="n">
        <v>773711.4524030582</v>
      </c>
      <c r="AP119" s="9" t="n">
        <v>818234.7932152384</v>
      </c>
      <c r="AQ119" s="9" t="n">
        <v>776378.7024066391</v>
      </c>
      <c r="AR119" s="9" t="n">
        <v>1339093.70839222</v>
      </c>
    </row>
    <row r="120">
      <c r="A120" s="4" t="inlineStr">
        <is>
          <t>AyE</t>
        </is>
      </c>
      <c r="B120" s="5" t="n">
        <v>202211</v>
      </c>
      <c r="C120" s="5" t="n">
        <v>2022</v>
      </c>
      <c r="D120" s="6" t="n">
        <v>977169.6966449313</v>
      </c>
      <c r="E120" s="11" t="n">
        <v>0.0488389439377168</v>
      </c>
      <c r="F120" s="22">
        <f>D120*(1-E120)</f>
        <v/>
      </c>
      <c r="G120" s="11" t="n">
        <v>1.916382452891571</v>
      </c>
      <c r="H120" s="11" t="n">
        <v>0.01987876025593319</v>
      </c>
      <c r="I120" s="11" t="n">
        <v>0.2860209491436712</v>
      </c>
      <c r="J120" s="11" t="n">
        <v>0.04257100943561522</v>
      </c>
      <c r="K120" s="6" t="n">
        <v>3937446.86219773</v>
      </c>
      <c r="L120" s="18" t="n">
        <v>2054624.772970885</v>
      </c>
      <c r="M120" s="18" t="n">
        <v>2074535.517560022</v>
      </c>
      <c r="N120" s="23">
        <f>IF(L120=0,"",M120/L120)</f>
        <v/>
      </c>
      <c r="O120" s="6" t="n">
        <v>5141910.713120401</v>
      </c>
      <c r="P120" s="22">
        <f>M120*G120*(1+H120+I120)</f>
        <v/>
      </c>
      <c r="Q120" s="6" t="n">
        <v>4974289.625597548</v>
      </c>
      <c r="R120" s="22">
        <f>P120-M120*G120*J120</f>
        <v/>
      </c>
      <c r="S120" s="22">
        <f>IF(A120=A119,O120-O119,"")</f>
        <v/>
      </c>
      <c r="T120" s="22">
        <f>IF(A120=A119,P120-P119,"")</f>
        <v/>
      </c>
      <c r="U120" s="22">
        <f>IF(A120=A119,Q120-Q119,"")</f>
        <v/>
      </c>
      <c r="V120" s="22">
        <f>IF(A120=A119,R120-R119,"")</f>
        <v/>
      </c>
      <c r="W120" s="22">
        <f>IF(S120="","",D120-S120)</f>
        <v/>
      </c>
      <c r="X120" s="22">
        <f>IF(T120="","",D120-T120)</f>
        <v/>
      </c>
      <c r="Y120" s="22">
        <f>IF(U120="","",F120-U120)</f>
        <v/>
      </c>
      <c r="Z120" s="22">
        <f>IF(V120="","",F120-V120)</f>
        <v/>
      </c>
      <c r="AA120" s="6" t="n">
        <v>2130582.922426844</v>
      </c>
      <c r="AB120" s="6" t="n">
        <v>2031486.026841858</v>
      </c>
      <c r="AC120" s="6" t="n">
        <v>1529275.357941681</v>
      </c>
      <c r="AD120" s="6" t="n">
        <v>1546585.96026364</v>
      </c>
      <c r="AE120" s="6" t="n">
        <v>1259637.777998145</v>
      </c>
      <c r="AF120" s="6" t="n">
        <v>3779140.912390218</v>
      </c>
      <c r="AG120" s="6" t="n">
        <v>2711968.489720096</v>
      </c>
      <c r="AH120" s="6" t="n">
        <v>2660746.971828429</v>
      </c>
      <c r="AI120" s="6" t="n">
        <v>2497379.110646484</v>
      </c>
      <c r="AJ120" s="6" t="n">
        <v>2531840.466571424</v>
      </c>
      <c r="AK120" s="6" t="n">
        <v>2419599.669931094</v>
      </c>
      <c r="AL120" s="6" t="n">
        <v>1982561.741136431</v>
      </c>
      <c r="AM120" s="6" t="n">
        <v>2605872.245255593</v>
      </c>
      <c r="AN120" s="6" t="n">
        <v>2556397.543284988</v>
      </c>
      <c r="AO120" s="6" t="n">
        <v>2398720.995247045</v>
      </c>
      <c r="AP120" s="6" t="n">
        <v>2432038.917596194</v>
      </c>
      <c r="AQ120" s="6" t="n">
        <v>2323670.865359219</v>
      </c>
      <c r="AR120" s="6" t="n">
        <v>1899368.914637784</v>
      </c>
    </row>
    <row r="121">
      <c r="A121" t="inlineStr">
        <is>
          <t>AyE</t>
        </is>
      </c>
      <c r="B121" s="8" t="n">
        <v>202212</v>
      </c>
      <c r="C121" s="8" t="n">
        <v>2022</v>
      </c>
      <c r="D121" s="9" t="n">
        <v>77614.02382041016</v>
      </c>
      <c r="E121" s="10" t="n">
        <v>0.0488389439377168</v>
      </c>
      <c r="F121" s="22">
        <f>D121*(1-E121)</f>
        <v/>
      </c>
      <c r="G121" s="10" t="n">
        <v>1.830287089172545</v>
      </c>
      <c r="H121" s="10" t="n">
        <v>0.02081353251581134</v>
      </c>
      <c r="I121" s="10" t="n">
        <v>0.2482925825696715</v>
      </c>
      <c r="J121" s="10" t="n">
        <v>0.04494849718113802</v>
      </c>
      <c r="K121" s="9" t="n">
        <v>3239464.022061726</v>
      </c>
      <c r="L121" s="18" t="n">
        <v>1769921.255100071</v>
      </c>
      <c r="M121" s="18" t="n">
        <v>1786698.203694367</v>
      </c>
      <c r="N121" s="23">
        <f>IF(L121=0,"",M121/L121)</f>
        <v/>
      </c>
      <c r="O121" s="9" t="n">
        <v>4111223.599997949</v>
      </c>
      <c r="P121" s="22">
        <f>M121*G121*(1+H121+I121)</f>
        <v/>
      </c>
      <c r="Q121" s="9" t="n">
        <v>3965614.56053391</v>
      </c>
      <c r="R121" s="22">
        <f>P121-M121*G121*J121</f>
        <v/>
      </c>
      <c r="S121" s="22">
        <f>IF(A121=A120,O121-O120,"")</f>
        <v/>
      </c>
      <c r="T121" s="22">
        <f>IF(A121=A120,P121-P120,"")</f>
        <v/>
      </c>
      <c r="U121" s="22">
        <f>IF(A121=A120,Q121-Q120,"")</f>
        <v/>
      </c>
      <c r="V121" s="22">
        <f>IF(A121=A120,R121-R120,"")</f>
        <v/>
      </c>
      <c r="W121" s="22">
        <f>IF(S121="","",D121-S121)</f>
        <v/>
      </c>
      <c r="X121" s="22">
        <f>IF(T121="","",D121-T121)</f>
        <v/>
      </c>
      <c r="Y121" s="22">
        <f>IF(U121="","",F121-U121)</f>
        <v/>
      </c>
      <c r="Z121" s="22">
        <f>IF(V121="","",F121-V121)</f>
        <v/>
      </c>
      <c r="AA121" s="9" t="n">
        <v>1842170.166596183</v>
      </c>
      <c r="AB121" s="9" t="n">
        <v>1742254.198929373</v>
      </c>
      <c r="AC121" s="9" t="n">
        <v>1291398.150775485</v>
      </c>
      <c r="AD121" s="9" t="n">
        <v>1282635.251947173</v>
      </c>
      <c r="AE121" s="9" t="n">
        <v>997565.4653416764</v>
      </c>
      <c r="AF121" s="9" t="n">
        <v>3316946.213273941</v>
      </c>
      <c r="AG121" s="9" t="n">
        <v>1130572.418139736</v>
      </c>
      <c r="AH121" s="9" t="n">
        <v>1114659.862407002</v>
      </c>
      <c r="AI121" s="9" t="n">
        <v>905087.0858182005</v>
      </c>
      <c r="AJ121" s="9" t="n">
        <v>968763.3675793727</v>
      </c>
      <c r="AK121" s="9" t="n">
        <v>912814.1384911101</v>
      </c>
      <c r="AL121" s="9" t="n">
        <v>1830607.177576476</v>
      </c>
      <c r="AM121" s="9" t="n">
        <v>1104516.760597783</v>
      </c>
      <c r="AN121" s="9" t="n">
        <v>1088468.80886623</v>
      </c>
      <c r="AO121" s="9" t="n">
        <v>882776.2312912417</v>
      </c>
      <c r="AP121" s="9" t="n">
        <v>944319.3617940063</v>
      </c>
      <c r="AQ121" s="9" t="n">
        <v>888327.7279183508</v>
      </c>
      <c r="AR121" s="9" t="n">
        <v>1791386.149444431</v>
      </c>
    </row>
    <row r="122">
      <c r="A122" s="4" t="inlineStr">
        <is>
          <t>AyE</t>
        </is>
      </c>
      <c r="B122" s="5" t="n">
        <v>202301</v>
      </c>
      <c r="C122" s="5" t="n">
        <v>2023</v>
      </c>
      <c r="D122" s="6" t="n">
        <v>2498942.537202612</v>
      </c>
      <c r="E122" s="11" t="n">
        <v>0.0488389439377168</v>
      </c>
      <c r="F122" s="22">
        <f>D122*(1-E122)</f>
        <v/>
      </c>
      <c r="G122" s="11" t="n">
        <v>1.635163473033049</v>
      </c>
      <c r="H122" s="11" t="n">
        <v>0.02042562071295233</v>
      </c>
      <c r="I122" s="11" t="n">
        <v>0.2665139473554933</v>
      </c>
      <c r="J122" s="11" t="n">
        <v>0.07452708451256539</v>
      </c>
      <c r="K122" s="6" t="n">
        <v>6265458.596528479</v>
      </c>
      <c r="L122" s="18" t="n">
        <v>3831701.661551147</v>
      </c>
      <c r="M122" s="18" t="n">
        <v>3783364.511664569</v>
      </c>
      <c r="N122" s="23">
        <f>IF(L122=0,"",M122/L122)</f>
        <v/>
      </c>
      <c r="O122" s="6" t="n">
        <v>8063266.57996709</v>
      </c>
      <c r="P122" s="22">
        <f>M122*G122*(1+H122+I122)</f>
        <v/>
      </c>
      <c r="Q122" s="6" t="n">
        <v>7596320.217633633</v>
      </c>
      <c r="R122" s="22">
        <f>P122-M122*G122*J122</f>
        <v/>
      </c>
      <c r="S122" s="22">
        <f>IF(A122=A121,O122-O121,"")</f>
        <v/>
      </c>
      <c r="T122" s="22">
        <f>IF(A122=A121,P122-P121,"")</f>
        <v/>
      </c>
      <c r="U122" s="22">
        <f>IF(A122=A121,Q122-Q121,"")</f>
        <v/>
      </c>
      <c r="V122" s="22">
        <f>IF(A122=A121,R122-R121,"")</f>
        <v/>
      </c>
      <c r="W122" s="22">
        <f>IF(S122="","",D122-S122)</f>
        <v/>
      </c>
      <c r="X122" s="22">
        <f>IF(T122="","",D122-T122)</f>
        <v/>
      </c>
      <c r="Y122" s="22">
        <f>IF(U122="","",F122-U122)</f>
        <v/>
      </c>
      <c r="Z122" s="22">
        <f>IF(V122="","",F122-V122)</f>
        <v/>
      </c>
      <c r="AA122" s="6" t="n">
        <v>3911594.787282077</v>
      </c>
      <c r="AB122" s="6" t="n">
        <v>3794348.937345614</v>
      </c>
      <c r="AC122" s="6" t="n">
        <v>1858754.488377624</v>
      </c>
      <c r="AD122" s="6" t="n">
        <v>2342825.192139569</v>
      </c>
      <c r="AE122" s="6" t="n">
        <v>1947346.400898429</v>
      </c>
      <c r="AF122" s="6" t="n">
        <v>5141225.202282838</v>
      </c>
      <c r="AG122" s="6" t="n">
        <v>-1453402.233685327</v>
      </c>
      <c r="AH122" s="6" t="n">
        <v>-1438762.819653237</v>
      </c>
      <c r="AI122" s="6" t="n">
        <v>1587156.788227276</v>
      </c>
      <c r="AJ122" s="6" t="n">
        <v>548144.7091598478</v>
      </c>
      <c r="AK122" s="6" t="n">
        <v>718204.8678400572</v>
      </c>
      <c r="AL122" s="6" t="n">
        <v>-615331.1934739277</v>
      </c>
      <c r="AM122" s="6" t="n">
        <v>-1250318.352815213</v>
      </c>
      <c r="AN122" s="6" t="n">
        <v>-1241747.030914173</v>
      </c>
      <c r="AO122" s="6" t="n">
        <v>1585384.680436844</v>
      </c>
      <c r="AP122" s="6" t="n">
        <v>606084.2892143754</v>
      </c>
      <c r="AQ122" s="6" t="n">
        <v>751402.1414475678</v>
      </c>
      <c r="AR122" s="6" t="n">
        <v>-383727.5135038281</v>
      </c>
    </row>
    <row r="123">
      <c r="A123" t="inlineStr">
        <is>
          <t>AyE</t>
        </is>
      </c>
      <c r="B123" s="8" t="n">
        <v>202302</v>
      </c>
      <c r="C123" s="8" t="n">
        <v>2023</v>
      </c>
      <c r="D123" s="9" t="n">
        <v>468056.3750983613</v>
      </c>
      <c r="E123" s="10" t="n">
        <v>0.0488389439377168</v>
      </c>
      <c r="F123" s="22">
        <f>D123*(1-E123)</f>
        <v/>
      </c>
      <c r="G123" s="10" t="n">
        <v>1.91320215297548</v>
      </c>
      <c r="H123" s="10" t="n">
        <v>0.01745739470048735</v>
      </c>
      <c r="I123" s="10" t="n">
        <v>0.2509877083036874</v>
      </c>
      <c r="J123" s="10" t="n">
        <v>0.07051346865647455</v>
      </c>
      <c r="K123" s="9" t="n">
        <v>6687901.744036933</v>
      </c>
      <c r="L123" s="18" t="n">
        <v>3495658.696408882</v>
      </c>
      <c r="M123" s="18" t="n">
        <v>3382351.055703532</v>
      </c>
      <c r="N123" s="23">
        <f>IF(L123=0,"",M123/L123)</f>
        <v/>
      </c>
      <c r="O123" s="9" t="n">
        <v>8483236.216596728</v>
      </c>
      <c r="P123" s="22">
        <f>M123*G123*(1+H123+I123)</f>
        <v/>
      </c>
      <c r="Q123" s="9" t="n">
        <v>8011649.066590997</v>
      </c>
      <c r="R123" s="22">
        <f>P123-M123*G123*J123</f>
        <v/>
      </c>
      <c r="S123" s="22">
        <f>IF(A123=A122,O123-O122,"")</f>
        <v/>
      </c>
      <c r="T123" s="22">
        <f>IF(A123=A122,P123-P122,"")</f>
        <v/>
      </c>
      <c r="U123" s="22">
        <f>IF(A123=A122,Q123-Q122,"")</f>
        <v/>
      </c>
      <c r="V123" s="22">
        <f>IF(A123=A122,R123-R122,"")</f>
        <v/>
      </c>
      <c r="W123" s="22">
        <f>IF(S123="","",D123-S123)</f>
        <v/>
      </c>
      <c r="X123" s="22">
        <f>IF(T123="","",D123-T123)</f>
        <v/>
      </c>
      <c r="Y123" s="22">
        <f>IF(U123="","",F123-U123)</f>
        <v/>
      </c>
      <c r="Z123" s="22">
        <f>IF(V123="","",F123-V123)</f>
        <v/>
      </c>
      <c r="AA123" s="9" t="n">
        <v>3511692.000437486</v>
      </c>
      <c r="AB123" s="9" t="n">
        <v>3400644.398651063</v>
      </c>
      <c r="AC123" s="9" t="n">
        <v>1606481.801886785</v>
      </c>
      <c r="AD123" s="9" t="n">
        <v>1983392.656682705</v>
      </c>
      <c r="AE123" s="9" t="n">
        <v>1592027.821862722</v>
      </c>
      <c r="AF123" s="9" t="n">
        <v>4888426.851591156</v>
      </c>
      <c r="AG123" s="9" t="n">
        <v>177300.8704156584</v>
      </c>
      <c r="AH123" s="9" t="n">
        <v>200063.2161137431</v>
      </c>
      <c r="AI123" s="9" t="n">
        <v>480941.5740949094</v>
      </c>
      <c r="AJ123" s="9" t="n">
        <v>584914.7315008861</v>
      </c>
      <c r="AK123" s="9" t="n">
        <v>702447.3492593404</v>
      </c>
      <c r="AL123" s="9" t="n">
        <v>-576167.2705273342</v>
      </c>
      <c r="AM123" s="9" t="n">
        <v>151509.1830907725</v>
      </c>
      <c r="AN123" s="9" t="n">
        <v>173578.5275831837</v>
      </c>
      <c r="AO123" s="9" t="n">
        <v>448291.8700254783</v>
      </c>
      <c r="AP123" s="9" t="n">
        <v>544121.9832674218</v>
      </c>
      <c r="AQ123" s="9" t="n">
        <v>657051.5471980139</v>
      </c>
      <c r="AR123" s="9" t="n">
        <v>-566076.0895675914</v>
      </c>
    </row>
    <row r="124">
      <c r="A124" s="4" t="inlineStr">
        <is>
          <t>AyE</t>
        </is>
      </c>
      <c r="B124" s="5" t="n">
        <v>202303</v>
      </c>
      <c r="C124" s="5" t="n">
        <v>2023</v>
      </c>
      <c r="D124" s="6" t="n">
        <v>322424.311199161</v>
      </c>
      <c r="E124" s="11" t="n">
        <v>0.0488389439377168</v>
      </c>
      <c r="F124" s="22">
        <f>D124*(1-E124)</f>
        <v/>
      </c>
      <c r="G124" s="11" t="n">
        <v>1.994276153766745</v>
      </c>
      <c r="H124" s="11" t="n">
        <v>0.01674762311661036</v>
      </c>
      <c r="I124" s="11" t="n">
        <v>0.2614979459040441</v>
      </c>
      <c r="J124" s="11" t="n">
        <v>0.06507918892312779</v>
      </c>
      <c r="K124" s="6" t="n">
        <v>6572157.894795257</v>
      </c>
      <c r="L124" s="18" t="n">
        <v>3295510.444921035</v>
      </c>
      <c r="M124" s="18" t="n">
        <v>3181524.444383761</v>
      </c>
      <c r="N124" s="23">
        <f>IF(L124=0,"",M124/L124)</f>
        <v/>
      </c>
      <c r="O124" s="6" t="n">
        <v>8400831.70792615</v>
      </c>
      <c r="P124" s="22">
        <f>M124*G124*(1+H124+I124)</f>
        <v/>
      </c>
      <c r="Q124" s="6" t="n">
        <v>7973121.002658144</v>
      </c>
      <c r="R124" s="22">
        <f>P124-M124*G124*J124</f>
        <v/>
      </c>
      <c r="S124" s="22">
        <f>IF(A124=A123,O124-O123,"")</f>
        <v/>
      </c>
      <c r="T124" s="22">
        <f>IF(A124=A123,P124-P123,"")</f>
        <v/>
      </c>
      <c r="U124" s="22">
        <f>IF(A124=A123,Q124-Q123,"")</f>
        <v/>
      </c>
      <c r="V124" s="22">
        <f>IF(A124=A123,R124-R123,"")</f>
        <v/>
      </c>
      <c r="W124" s="22">
        <f>IF(S124="","",D124-S124)</f>
        <v/>
      </c>
      <c r="X124" s="22">
        <f>IF(T124="","",D124-T124)</f>
        <v/>
      </c>
      <c r="Y124" s="22">
        <f>IF(U124="","",F124-U124)</f>
        <v/>
      </c>
      <c r="Z124" s="22">
        <f>IF(V124="","",F124-V124)</f>
        <v/>
      </c>
      <c r="AA124" s="6" t="n">
        <v>3307266.102606265</v>
      </c>
      <c r="AB124" s="6" t="n">
        <v>3194245.307138657</v>
      </c>
      <c r="AC124" s="6" t="n">
        <v>1454499.540120344</v>
      </c>
      <c r="AD124" s="6" t="n">
        <v>1736513.477313467</v>
      </c>
      <c r="AE124" s="6" t="n">
        <v>1344650.437877146</v>
      </c>
      <c r="AF124" s="6" t="n">
        <v>4479599.88767741</v>
      </c>
      <c r="AG124" s="6" t="n">
        <v>413771.0876016065</v>
      </c>
      <c r="AH124" s="6" t="n">
        <v>432391.4143649477</v>
      </c>
      <c r="AI124" s="6" t="n">
        <v>513247.9724976539</v>
      </c>
      <c r="AJ124" s="6" t="n">
        <v>709029.4010907745</v>
      </c>
      <c r="AK124" s="6" t="n">
        <v>758195.7183513234</v>
      </c>
      <c r="AL124" s="6" t="n">
        <v>766336.5011843021</v>
      </c>
      <c r="AM124" s="6" t="n">
        <v>353510.5010676023</v>
      </c>
      <c r="AN124" s="6" t="n">
        <v>372443.3705625276</v>
      </c>
      <c r="AO124" s="6" t="n">
        <v>469549.7351116471</v>
      </c>
      <c r="AP124" s="6" t="n">
        <v>651084.8573973787</v>
      </c>
      <c r="AQ124" s="6" t="n">
        <v>702190.5553051883</v>
      </c>
      <c r="AR124" s="6" t="n">
        <v>672497.7724435732</v>
      </c>
    </row>
    <row r="125">
      <c r="A125" t="inlineStr">
        <is>
          <t>AyE</t>
        </is>
      </c>
      <c r="B125" s="8" t="n">
        <v>202304</v>
      </c>
      <c r="C125" s="8" t="n">
        <v>2023</v>
      </c>
      <c r="D125" s="9" t="n">
        <v>498191.0233525311</v>
      </c>
      <c r="E125" s="10" t="n">
        <v>0.0488389439377168</v>
      </c>
      <c r="F125" s="22">
        <f>D125*(1-E125)</f>
        <v/>
      </c>
      <c r="G125" s="10" t="n">
        <v>1.838711109597832</v>
      </c>
      <c r="H125" s="10" t="n">
        <v>0.01816460553993788</v>
      </c>
      <c r="I125" s="10" t="n">
        <v>0.2222564328929939</v>
      </c>
      <c r="J125" s="10" t="n">
        <v>0.1810202493886942</v>
      </c>
      <c r="K125" s="9" t="n">
        <v>5927685.605007727</v>
      </c>
      <c r="L125" s="18" t="n">
        <v>3223826.502198187</v>
      </c>
      <c r="M125" s="18" t="n">
        <v>3147094.102048432</v>
      </c>
      <c r="N125" s="23">
        <f>IF(L125=0,"",M125/L125)</f>
        <v/>
      </c>
      <c r="O125" s="9" t="n">
        <v>7352825.933667625</v>
      </c>
      <c r="P125" s="22">
        <f>M125*G125*(1+H125+I125)</f>
        <v/>
      </c>
      <c r="Q125" s="9" t="n">
        <v>6279794.807151354</v>
      </c>
      <c r="R125" s="22">
        <f>P125-M125*G125*J125</f>
        <v/>
      </c>
      <c r="S125" s="22">
        <f>IF(A125=A124,O125-O124,"")</f>
        <v/>
      </c>
      <c r="T125" s="22">
        <f>IF(A125=A124,P125-P124,"")</f>
        <v/>
      </c>
      <c r="U125" s="22">
        <f>IF(A125=A124,Q125-Q124,"")</f>
        <v/>
      </c>
      <c r="V125" s="22">
        <f>IF(A125=A124,R125-R124,"")</f>
        <v/>
      </c>
      <c r="W125" s="22">
        <f>IF(S125="","",D125-S125)</f>
        <v/>
      </c>
      <c r="X125" s="22">
        <f>IF(T125="","",D125-T125)</f>
        <v/>
      </c>
      <c r="Y125" s="22">
        <f>IF(U125="","",F125-U125)</f>
        <v/>
      </c>
      <c r="Z125" s="22">
        <f>IF(V125="","",F125-V125)</f>
        <v/>
      </c>
      <c r="AA125" s="9" t="n">
        <v>3293695.43065863</v>
      </c>
      <c r="AB125" s="9" t="n">
        <v>3149062.379165656</v>
      </c>
      <c r="AC125" s="9" t="n">
        <v>1188699.323657712</v>
      </c>
      <c r="AD125" s="9" t="n">
        <v>1431210.501796099</v>
      </c>
      <c r="AE125" s="9" t="n">
        <v>1054685.641021741</v>
      </c>
      <c r="AF125" s="9" t="n">
        <v>4228240.912561117</v>
      </c>
      <c r="AG125" s="9" t="n">
        <v>1416808.650996262</v>
      </c>
      <c r="AH125" s="9" t="n">
        <v>1458574.488025849</v>
      </c>
      <c r="AI125" s="9" t="n">
        <v>1494807.567598506</v>
      </c>
      <c r="AJ125" s="9" t="n">
        <v>1660596.687963649</v>
      </c>
      <c r="AK125" s="9" t="n">
        <v>1520438.20358646</v>
      </c>
      <c r="AL125" s="9" t="n">
        <v>2273803.371746646</v>
      </c>
      <c r="AM125" s="9" t="n">
        <v>2059527.680155647</v>
      </c>
      <c r="AN125" s="9" t="n">
        <v>2067821.784734531</v>
      </c>
      <c r="AO125" s="9" t="n">
        <v>1677354.319910524</v>
      </c>
      <c r="AP125" s="9" t="n">
        <v>1887260.391696326</v>
      </c>
      <c r="AQ125" s="9" t="n">
        <v>1672636.175077806</v>
      </c>
      <c r="AR125" s="9" t="n">
        <v>3075427.838998014</v>
      </c>
    </row>
    <row r="126">
      <c r="A126" s="4" t="inlineStr">
        <is>
          <t>AyE</t>
        </is>
      </c>
      <c r="B126" s="5" t="n">
        <v>202305</v>
      </c>
      <c r="C126" s="5" t="n">
        <v>2023</v>
      </c>
      <c r="D126" s="6" t="n">
        <v>135639.1504720555</v>
      </c>
      <c r="E126" s="11" t="n">
        <v>0.0488389439377168</v>
      </c>
      <c r="F126" s="22">
        <f>D126*(1-E126)</f>
        <v/>
      </c>
      <c r="G126" s="11" t="n">
        <v>2.097733517</v>
      </c>
      <c r="H126" s="11" t="n">
        <v>0.01592166017672066</v>
      </c>
      <c r="I126" s="11" t="n">
        <v>0.237464012047489</v>
      </c>
      <c r="J126" s="11" t="n">
        <v>0.1767199438362582</v>
      </c>
      <c r="K126" s="6" t="n">
        <v>5829144.876926382</v>
      </c>
      <c r="L126" s="18" t="n">
        <v>2778782.35232792</v>
      </c>
      <c r="M126" s="18" t="n">
        <v>2768651.33675456</v>
      </c>
      <c r="N126" s="23">
        <f>IF(L126=0,"",M126/L126)</f>
        <v/>
      </c>
      <c r="O126" s="6" t="n">
        <v>7306166.670058682</v>
      </c>
      <c r="P126" s="22">
        <f>M126*G126*(1+H126+I126)</f>
        <v/>
      </c>
      <c r="Q126" s="6" t="n">
        <v>6276040.51479484</v>
      </c>
      <c r="R126" s="22">
        <f>P126-M126*G126*J126</f>
        <v/>
      </c>
      <c r="S126" s="22">
        <f>IF(A126=A125,O126-O125,"")</f>
        <v/>
      </c>
      <c r="T126" s="22">
        <f>IF(A126=A125,P126-P125,"")</f>
        <v/>
      </c>
      <c r="U126" s="22">
        <f>IF(A126=A125,Q126-Q125,"")</f>
        <v/>
      </c>
      <c r="V126" s="22">
        <f>IF(A126=A125,R126-R125,"")</f>
        <v/>
      </c>
      <c r="W126" s="22">
        <f>IF(S126="","",D126-S126)</f>
        <v/>
      </c>
      <c r="X126" s="22">
        <f>IF(T126="","",D126-T126)</f>
        <v/>
      </c>
      <c r="Y126" s="22">
        <f>IF(U126="","",F126-U126)</f>
        <v/>
      </c>
      <c r="Z126" s="22">
        <f>IF(V126="","",F126-V126)</f>
        <v/>
      </c>
      <c r="AA126" s="6" t="n">
        <v>2912106.357144378</v>
      </c>
      <c r="AB126" s="6" t="n">
        <v>2768351.336615277</v>
      </c>
      <c r="AC126" s="6" t="n">
        <v>934068.9404220607</v>
      </c>
      <c r="AD126" s="6" t="n">
        <v>1132648.425084408</v>
      </c>
      <c r="AE126" s="6" t="n">
        <v>794385.1663536417</v>
      </c>
      <c r="AF126" s="6" t="n">
        <v>3626887.840936601</v>
      </c>
      <c r="AG126" s="6" t="n">
        <v>-8890.905389321706</v>
      </c>
      <c r="AH126" s="6" t="n">
        <v>39204.14845141795</v>
      </c>
      <c r="AI126" s="6" t="n">
        <v>390877.3380459829</v>
      </c>
      <c r="AJ126" s="6" t="n">
        <v>421872.0895436027</v>
      </c>
      <c r="AK126" s="6" t="n">
        <v>452488.3902582452</v>
      </c>
      <c r="AL126" s="6" t="n">
        <v>243245.0551154048</v>
      </c>
      <c r="AM126" s="6" t="n">
        <v>-32251.0774716023</v>
      </c>
      <c r="AN126" s="6" t="n">
        <v>10692.59397476859</v>
      </c>
      <c r="AO126" s="6" t="n">
        <v>334871.4517740406</v>
      </c>
      <c r="AP126" s="6" t="n">
        <v>358763.4950738074</v>
      </c>
      <c r="AQ126" s="6" t="n">
        <v>389305.7862516902</v>
      </c>
      <c r="AR126" s="6" t="n">
        <v>173804.6876675947</v>
      </c>
    </row>
    <row r="127">
      <c r="A127" t="inlineStr">
        <is>
          <t>AyE</t>
        </is>
      </c>
      <c r="B127" s="8" t="n">
        <v>202306</v>
      </c>
      <c r="C127" s="8" t="n">
        <v>2023</v>
      </c>
      <c r="D127" s="9" t="n">
        <v>408424.9788280866</v>
      </c>
      <c r="E127" s="10" t="n">
        <v>0.0488389439377168</v>
      </c>
      <c r="F127" s="22">
        <f>D127*(1-E127)</f>
        <v/>
      </c>
      <c r="G127" s="10" t="n">
        <v>1.221522445527096</v>
      </c>
      <c r="H127" s="10" t="n">
        <v>0.03496769195005209</v>
      </c>
      <c r="I127" s="10" t="n">
        <v>0.142519042263981</v>
      </c>
      <c r="J127" s="10" t="n">
        <v>0.06608308964843368</v>
      </c>
      <c r="K127" s="9" t="n">
        <v>2952165.850452219</v>
      </c>
      <c r="L127" s="18" t="n">
        <v>2416792.144313269</v>
      </c>
      <c r="M127" s="18" t="n">
        <v>2643617.652480897</v>
      </c>
      <c r="N127" s="23">
        <f>IF(L127=0,"",M127/L127)</f>
        <v/>
      </c>
      <c r="O127" s="9" t="n">
        <v>3476136.126107177</v>
      </c>
      <c r="P127" s="22">
        <f>M127*G127*(1+H127+I127)</f>
        <v/>
      </c>
      <c r="Q127" s="9" t="n">
        <v>3281047.885554699</v>
      </c>
      <c r="R127" s="22">
        <f>P127-M127*G127*J127</f>
        <v/>
      </c>
      <c r="S127" s="22">
        <f>IF(A127=A126,O127-O126,"")</f>
        <v/>
      </c>
      <c r="T127" s="22">
        <f>IF(A127=A126,P127-P126,"")</f>
        <v/>
      </c>
      <c r="U127" s="22">
        <f>IF(A127=A126,Q127-Q126,"")</f>
        <v/>
      </c>
      <c r="V127" s="22">
        <f>IF(A127=A126,R127-R126,"")</f>
        <v/>
      </c>
      <c r="W127" s="22">
        <f>IF(S127="","",D127-S127)</f>
        <v/>
      </c>
      <c r="X127" s="22">
        <f>IF(T127="","",D127-T127)</f>
        <v/>
      </c>
      <c r="Y127" s="22">
        <f>IF(U127="","",F127-U127)</f>
        <v/>
      </c>
      <c r="Z127" s="22">
        <f>IF(V127="","",F127-V127)</f>
        <v/>
      </c>
      <c r="AA127" s="9" t="n">
        <v>2791808.911709948</v>
      </c>
      <c r="AB127" s="9" t="n">
        <v>2637106.52950641</v>
      </c>
      <c r="AC127" s="9" t="n">
        <v>888396.0081179822</v>
      </c>
      <c r="AD127" s="9" t="n">
        <v>1037949.170302223</v>
      </c>
      <c r="AE127" s="9" t="n">
        <v>717424.9798927736</v>
      </c>
      <c r="AF127" s="9" t="n">
        <v>3290849.164710604</v>
      </c>
      <c r="AG127" s="9" t="n">
        <v>4049603.668338863</v>
      </c>
      <c r="AH127" s="9" t="n">
        <v>3894145.562046077</v>
      </c>
      <c r="AI127" s="9" t="n">
        <v>1586540.114340778</v>
      </c>
      <c r="AJ127" s="9" t="n">
        <v>1893552.751466656</v>
      </c>
      <c r="AK127" s="9" t="n">
        <v>1465186.034993265</v>
      </c>
      <c r="AL127" s="9" t="n">
        <v>5211173.753422479</v>
      </c>
      <c r="AM127" s="9" t="n">
        <v>3175466.082238805</v>
      </c>
      <c r="AN127" s="9" t="n">
        <v>3060811.71139544</v>
      </c>
      <c r="AO127" s="9" t="n">
        <v>1292036.19482558</v>
      </c>
      <c r="AP127" s="9" t="n">
        <v>1537505.390206747</v>
      </c>
      <c r="AQ127" s="9" t="n">
        <v>1208663.356384221</v>
      </c>
      <c r="AR127" s="9" t="n">
        <v>4112342.074967864</v>
      </c>
    </row>
    <row r="128">
      <c r="A128" s="4" t="inlineStr">
        <is>
          <t>AyE</t>
        </is>
      </c>
      <c r="B128" s="5" t="n">
        <v>202307</v>
      </c>
      <c r="C128" s="5" t="n">
        <v>2023</v>
      </c>
      <c r="D128" s="6" t="n">
        <v>4648197.624649133</v>
      </c>
      <c r="E128" s="11" t="n">
        <v>0.0488389439377168</v>
      </c>
      <c r="F128" s="22">
        <f>D128*(1-E128)</f>
        <v/>
      </c>
      <c r="G128" s="11" t="n">
        <v>1.558233301048599</v>
      </c>
      <c r="H128" s="11" t="n">
        <v>0.0174150506628966</v>
      </c>
      <c r="I128" s="11" t="n">
        <v>0.205568283845682</v>
      </c>
      <c r="J128" s="11" t="n">
        <v>0.1101546481124913</v>
      </c>
      <c r="K128" s="6" t="n">
        <v>9981387.713357462</v>
      </c>
      <c r="L128" s="18" t="n">
        <v>6405579.772066595</v>
      </c>
      <c r="M128" s="18" t="n">
        <v>4826350.52934142</v>
      </c>
      <c r="N128" s="23">
        <f>IF(L128=0,"",M128/L128)</f>
        <v/>
      </c>
      <c r="O128" s="6" t="n">
        <v>12207070.82870486</v>
      </c>
      <c r="P128" s="22">
        <f>M128*G128*(1+H128+I128)</f>
        <v/>
      </c>
      <c r="Q128" s="6" t="n">
        <v>11107574.57746563</v>
      </c>
      <c r="R128" s="22">
        <f>P128-M128*G128*J128</f>
        <v/>
      </c>
      <c r="S128" s="22">
        <f>IF(A128=A127,O128-O127,"")</f>
        <v/>
      </c>
      <c r="T128" s="22">
        <f>IF(A128=A127,P128-P127,"")</f>
        <v/>
      </c>
      <c r="U128" s="22">
        <f>IF(A128=A127,Q128-Q127,"")</f>
        <v/>
      </c>
      <c r="V128" s="22">
        <f>IF(A128=A127,R128-R127,"")</f>
        <v/>
      </c>
      <c r="W128" s="22">
        <f>IF(S128="","",D128-S128)</f>
        <v/>
      </c>
      <c r="X128" s="22">
        <f>IF(T128="","",D128-T128)</f>
        <v/>
      </c>
      <c r="Y128" s="22">
        <f>IF(U128="","",F128-U128)</f>
        <v/>
      </c>
      <c r="Z128" s="22">
        <f>IF(V128="","",F128-V128)</f>
        <v/>
      </c>
      <c r="AA128" s="6" t="n">
        <v>4975994.115211286</v>
      </c>
      <c r="AB128" s="6" t="n">
        <v>4824076.699418221</v>
      </c>
      <c r="AC128" s="6" t="n">
        <v>3239718.79094859</v>
      </c>
      <c r="AD128" s="6" t="n">
        <v>3421236.605677336</v>
      </c>
      <c r="AE128" s="6" t="n">
        <v>3031319.771590943</v>
      </c>
      <c r="AF128" s="6" t="n">
        <v>7092328.599498571</v>
      </c>
      <c r="AG128" s="6" t="n">
        <v>-818988.6411586599</v>
      </c>
      <c r="AH128" s="6" t="n">
        <v>-751993.162940166</v>
      </c>
      <c r="AI128" s="6" t="n">
        <v>-247909.459639336</v>
      </c>
      <c r="AJ128" s="6" t="n">
        <v>-378720.4809974292</v>
      </c>
      <c r="AK128" s="6" t="n">
        <v>-96676.9889205778</v>
      </c>
      <c r="AL128" s="6" t="n">
        <v>-4134290.404084298</v>
      </c>
      <c r="AM128" s="6" t="n">
        <v>-417249.3646047181</v>
      </c>
      <c r="AN128" s="6" t="n">
        <v>-363842.1183288665</v>
      </c>
      <c r="AO128" s="6" t="n">
        <v>9451.242882636376</v>
      </c>
      <c r="AP128" s="6" t="n">
        <v>-102275.0822632173</v>
      </c>
      <c r="AQ128" s="6" t="n">
        <v>138713.8414056478</v>
      </c>
      <c r="AR128" s="6" t="n">
        <v>-3409572.93812916</v>
      </c>
    </row>
    <row r="129">
      <c r="A129" t="inlineStr">
        <is>
          <t>AyE</t>
        </is>
      </c>
      <c r="B129" s="8" t="n">
        <v>202308</v>
      </c>
      <c r="C129" s="8" t="n">
        <v>2023</v>
      </c>
      <c r="D129" s="9" t="n">
        <v>4960341.438509077</v>
      </c>
      <c r="E129" s="10" t="n">
        <v>0.0488389439377168</v>
      </c>
      <c r="F129" s="22">
        <f>D129*(1-E129)</f>
        <v/>
      </c>
      <c r="G129" s="10" t="n">
        <v>1.32780078319756</v>
      </c>
      <c r="H129" s="10" t="n">
        <v>0.023333735436098</v>
      </c>
      <c r="I129" s="10" t="n">
        <v>0.1607255728540843</v>
      </c>
      <c r="J129" s="10" t="n">
        <v>0.1404345104799731</v>
      </c>
      <c r="K129" s="9" t="n">
        <v>11881055.17144332</v>
      </c>
      <c r="L129" s="18" t="n">
        <v>8947919.990551446</v>
      </c>
      <c r="M129" s="18" t="n">
        <v>8741506.912150867</v>
      </c>
      <c r="N129" s="23">
        <f>IF(L129=0,"",M129/L129)</f>
        <v/>
      </c>
      <c r="O129" s="9" t="n">
        <v>14067873.96805666</v>
      </c>
      <c r="P129" s="22">
        <f>M129*G129*(1+H129+I129)</f>
        <v/>
      </c>
      <c r="Q129" s="9" t="n">
        <v>12399363.80106947</v>
      </c>
      <c r="R129" s="22">
        <f>P129-M129*G129*J129</f>
        <v/>
      </c>
      <c r="S129" s="22">
        <f>IF(A129=A128,O129-O128,"")</f>
        <v/>
      </c>
      <c r="T129" s="22">
        <f>IF(A129=A128,P129-P128,"")</f>
        <v/>
      </c>
      <c r="U129" s="22">
        <f>IF(A129=A128,Q129-Q128,"")</f>
        <v/>
      </c>
      <c r="V129" s="22">
        <f>IF(A129=A128,R129-R128,"")</f>
        <v/>
      </c>
      <c r="W129" s="22">
        <f>IF(S129="","",D129-S129)</f>
        <v/>
      </c>
      <c r="X129" s="22">
        <f>IF(T129="","",D129-T129)</f>
        <v/>
      </c>
      <c r="Y129" s="22">
        <f>IF(U129="","",F129-U129)</f>
        <v/>
      </c>
      <c r="Z129" s="22">
        <f>IF(V129="","",F129-V129)</f>
        <v/>
      </c>
      <c r="AA129" s="9" t="n">
        <v>9106729.807245832</v>
      </c>
      <c r="AB129" s="9" t="n">
        <v>8559810.47181288</v>
      </c>
      <c r="AC129" s="9" t="n">
        <v>7131154.866901597</v>
      </c>
      <c r="AD129" s="9" t="n">
        <v>4649471.519895295</v>
      </c>
      <c r="AE129" s="9" t="n">
        <v>3952318.372437122</v>
      </c>
      <c r="AF129" s="9" t="n">
        <v>10859767.98463762</v>
      </c>
      <c r="AG129" s="9" t="n">
        <v>125506.4273319058</v>
      </c>
      <c r="AH129" s="9" t="n">
        <v>695862.1942661256</v>
      </c>
      <c r="AI129" s="9" t="n">
        <v>-77313.12642992102</v>
      </c>
      <c r="AJ129" s="9" t="n">
        <v>4170294.011792107</v>
      </c>
      <c r="AK129" s="9" t="n">
        <v>4523292.697570909</v>
      </c>
      <c r="AL129" s="9" t="n">
        <v>1402473.356809765</v>
      </c>
      <c r="AM129" s="9" t="n">
        <v>727259.197734694</v>
      </c>
      <c r="AN129" s="9" t="n">
        <v>1221707.548244869</v>
      </c>
      <c r="AO129" s="9" t="n">
        <v>454081.8828911874</v>
      </c>
      <c r="AP129" s="9" t="n">
        <v>4207774.954371423</v>
      </c>
      <c r="AQ129" s="9" t="n">
        <v>4497704.067767863</v>
      </c>
      <c r="AR129" s="9" t="n">
        <v>1967851.790665989</v>
      </c>
    </row>
    <row r="130">
      <c r="A130" s="4" t="inlineStr">
        <is>
          <t>AyE</t>
        </is>
      </c>
      <c r="B130" s="5" t="n">
        <v>202309</v>
      </c>
      <c r="C130" s="5" t="n">
        <v>2023</v>
      </c>
      <c r="D130" s="6" t="n">
        <v>532467.0553686903</v>
      </c>
      <c r="E130" s="11" t="n">
        <v>0.0488389439377168</v>
      </c>
      <c r="F130" s="22">
        <f>D130*(1-E130)</f>
        <v/>
      </c>
      <c r="G130" s="11" t="n">
        <v>1.009209186726416</v>
      </c>
      <c r="H130" s="11" t="n">
        <v>0.03092658547584497</v>
      </c>
      <c r="I130" s="11" t="n">
        <v>0.1630333040192753</v>
      </c>
      <c r="J130" s="11" t="n">
        <v>0.04860154055692671</v>
      </c>
      <c r="K130" s="6" t="n">
        <v>7802896.378221127</v>
      </c>
      <c r="L130" s="18" t="n">
        <v>7731693.766612921</v>
      </c>
      <c r="M130" s="18" t="n">
        <v>8225428.301706179</v>
      </c>
      <c r="N130" s="23">
        <f>IF(L130=0,"",M130/L130)</f>
        <v/>
      </c>
      <c r="O130" s="6" t="n">
        <v>9316345.297482772</v>
      </c>
      <c r="P130" s="22">
        <f>M130*G130*(1+H130+I130)</f>
        <v/>
      </c>
      <c r="Q130" s="6" t="n">
        <v>8937112.51269516</v>
      </c>
      <c r="R130" s="22">
        <f>P130-M130*G130*J130</f>
        <v/>
      </c>
      <c r="S130" s="22">
        <f>IF(A130=A129,O130-O129,"")</f>
        <v/>
      </c>
      <c r="T130" s="22">
        <f>IF(A130=A129,P130-P129,"")</f>
        <v/>
      </c>
      <c r="U130" s="22">
        <f>IF(A130=A129,Q130-Q129,"")</f>
        <v/>
      </c>
      <c r="V130" s="22">
        <f>IF(A130=A129,R130-R129,"")</f>
        <v/>
      </c>
      <c r="W130" s="22">
        <f>IF(S130="","",D130-S130)</f>
        <v/>
      </c>
      <c r="X130" s="22">
        <f>IF(T130="","",D130-T130)</f>
        <v/>
      </c>
      <c r="Y130" s="22">
        <f>IF(U130="","",F130-U130)</f>
        <v/>
      </c>
      <c r="Z130" s="22">
        <f>IF(V130="","",F130-V130)</f>
        <v/>
      </c>
      <c r="AA130" s="6" t="n">
        <v>8609642.593268381</v>
      </c>
      <c r="AB130" s="6" t="n">
        <v>8026446.043532216</v>
      </c>
      <c r="AC130" s="6" t="n">
        <v>6441709.158190226</v>
      </c>
      <c r="AD130" s="6" t="n">
        <v>3942144.45268762</v>
      </c>
      <c r="AE130" s="6" t="n">
        <v>3220569.240435557</v>
      </c>
      <c r="AF130" s="6" t="n">
        <v>10087102.37145942</v>
      </c>
      <c r="AG130" s="6" t="n">
        <v>4475786.62394725</v>
      </c>
      <c r="AH130" s="6" t="n">
        <v>4318648.613868887</v>
      </c>
      <c r="AI130" s="6" t="n">
        <v>3982060.682736215</v>
      </c>
      <c r="AJ130" s="6" t="n">
        <v>3092234.550731096</v>
      </c>
      <c r="AK130" s="6" t="n">
        <v>2865639.812341277</v>
      </c>
      <c r="AL130" s="6" t="n">
        <v>5451631.291346172</v>
      </c>
      <c r="AM130" s="6" t="n">
        <v>3173953.615378004</v>
      </c>
      <c r="AN130" s="6" t="n">
        <v>3090193.857584429</v>
      </c>
      <c r="AO130" s="6" t="n">
        <v>2942276.032577855</v>
      </c>
      <c r="AP130" s="6" t="n">
        <v>2392605.591907799</v>
      </c>
      <c r="AQ130" s="6" t="n">
        <v>2260615.710668303</v>
      </c>
      <c r="AR130" s="6" t="n">
        <v>3895379.017716941</v>
      </c>
    </row>
    <row r="131">
      <c r="A131" t="inlineStr">
        <is>
          <t>AyE</t>
        </is>
      </c>
      <c r="B131" s="8" t="n">
        <v>202310</v>
      </c>
      <c r="C131" s="8" t="n">
        <v>2023</v>
      </c>
      <c r="D131" s="9" t="n">
        <v>13330710.45125112</v>
      </c>
      <c r="E131" s="10" t="n">
        <v>0.0488389439377168</v>
      </c>
      <c r="F131" s="22">
        <f>D131*(1-E131)</f>
        <v/>
      </c>
      <c r="G131" s="10" t="n">
        <v>0.613170991433346</v>
      </c>
      <c r="H131" s="10" t="n">
        <v>0.03102582262494561</v>
      </c>
      <c r="I131" s="10" t="n">
        <v>0.1274788328503148</v>
      </c>
      <c r="J131" s="10" t="n">
        <v>0.1587138389443721</v>
      </c>
      <c r="K131" s="9" t="n">
        <v>11574438.05109428</v>
      </c>
      <c r="L131" s="18" t="n">
        <v>18876362.73209521</v>
      </c>
      <c r="M131" s="18" t="n">
        <v>19183825.82563689</v>
      </c>
      <c r="N131" s="23">
        <f>IF(L131=0,"",M131/L131)</f>
        <v/>
      </c>
      <c r="O131" s="9" t="n">
        <v>13409040.36670273</v>
      </c>
      <c r="P131" s="22">
        <f>M131*G131*(1+H131+I131)</f>
        <v/>
      </c>
      <c r="Q131" s="9" t="n">
        <v>11572016.86998974</v>
      </c>
      <c r="R131" s="22">
        <f>P131-M131*G131*J131</f>
        <v/>
      </c>
      <c r="S131" s="22">
        <f>IF(A131=A130,O131-O130,"")</f>
        <v/>
      </c>
      <c r="T131" s="22">
        <f>IF(A131=A130,P131-P130,"")</f>
        <v/>
      </c>
      <c r="U131" s="22">
        <f>IF(A131=A130,Q131-Q130,"")</f>
        <v/>
      </c>
      <c r="V131" s="22">
        <f>IF(A131=A130,R131-R130,"")</f>
        <v/>
      </c>
      <c r="W131" s="22">
        <f>IF(S131="","",D131-S131)</f>
        <v/>
      </c>
      <c r="X131" s="22">
        <f>IF(T131="","",D131-T131)</f>
        <v/>
      </c>
      <c r="Y131" s="22">
        <f>IF(U131="","",F131-U131)</f>
        <v/>
      </c>
      <c r="Z131" s="22">
        <f>IF(V131="","",F131-V131)</f>
        <v/>
      </c>
      <c r="AA131" s="9" t="n">
        <v>20152023.292657</v>
      </c>
      <c r="AB131" s="9" t="n">
        <v>19599111.43261316</v>
      </c>
      <c r="AC131" s="9" t="n">
        <v>5503809.685872137</v>
      </c>
      <c r="AD131" s="9" t="n">
        <v>3624095.9011007</v>
      </c>
      <c r="AE131" s="9" t="n">
        <v>2690046.651831672</v>
      </c>
      <c r="AF131" s="9" t="n">
        <v>21170676.95900549</v>
      </c>
      <c r="AG131" s="9" t="n">
        <v>9389724.381050728</v>
      </c>
      <c r="AH131" s="9" t="n">
        <v>9079765.883499304</v>
      </c>
      <c r="AI131" s="9" t="n">
        <v>17182987.7530555</v>
      </c>
      <c r="AJ131" s="9" t="n">
        <v>15506400.24711932</v>
      </c>
      <c r="AK131" s="9" t="n">
        <v>15300446.95604089</v>
      </c>
      <c r="AL131" s="9" t="n">
        <v>10446385.06153834</v>
      </c>
      <c r="AM131" s="9" t="n">
        <v>10277540.30960852</v>
      </c>
      <c r="AN131" s="9" t="n">
        <v>9942378.414732777</v>
      </c>
      <c r="AO131" s="9" t="n">
        <v>16751593.48396725</v>
      </c>
      <c r="AP131" s="9" t="n">
        <v>15014676.08704467</v>
      </c>
      <c r="AQ131" s="9" t="n">
        <v>14753214.94681571</v>
      </c>
      <c r="AR131" s="9" t="n">
        <v>11360866.95928827</v>
      </c>
    </row>
    <row r="132">
      <c r="A132" s="4" t="inlineStr">
        <is>
          <t>AyE</t>
        </is>
      </c>
      <c r="B132" s="5" t="n">
        <v>202311</v>
      </c>
      <c r="C132" s="5" t="n">
        <v>2023</v>
      </c>
      <c r="D132" s="6" t="n">
        <v>682284.1332806128</v>
      </c>
      <c r="E132" s="11" t="n">
        <v>0.0488389439377168</v>
      </c>
      <c r="F132" s="22">
        <f>D132*(1-E132)</f>
        <v/>
      </c>
      <c r="G132" s="11" t="n">
        <v>0.8490928088385288</v>
      </c>
      <c r="H132" s="11" t="n">
        <v>0.03586269262060669</v>
      </c>
      <c r="I132" s="11" t="n">
        <v>0.152001674925844</v>
      </c>
      <c r="J132" s="11" t="n">
        <v>0.03455647130461951</v>
      </c>
      <c r="K132" s="6" t="n">
        <v>9081912.676493764</v>
      </c>
      <c r="L132" s="18" t="n">
        <v>10696018.83558157</v>
      </c>
      <c r="M132" s="18" t="n">
        <v>17647236.97290097</v>
      </c>
      <c r="N132" s="23">
        <f>IF(L132=0,"",M132/L132)</f>
        <v/>
      </c>
      <c r="O132" s="6" t="n">
        <v>10788080.45757536</v>
      </c>
      <c r="P132" s="22">
        <f>M132*G132*(1+H132+I132)</f>
        <v/>
      </c>
      <c r="Q132" s="6" t="n">
        <v>10474241.60277904</v>
      </c>
      <c r="R132" s="22">
        <f>P132-M132*G132*J132</f>
        <v/>
      </c>
      <c r="S132" s="22">
        <f>IF(A132=A131,O132-O131,"")</f>
        <v/>
      </c>
      <c r="T132" s="22">
        <f>IF(A132=A131,P132-P131,"")</f>
        <v/>
      </c>
      <c r="U132" s="22">
        <f>IF(A132=A131,Q132-Q131,"")</f>
        <v/>
      </c>
      <c r="V132" s="22">
        <f>IF(A132=A131,R132-R131,"")</f>
        <v/>
      </c>
      <c r="W132" s="22">
        <f>IF(S132="","",D132-S132)</f>
        <v/>
      </c>
      <c r="X132" s="22">
        <f>IF(T132="","",D132-T132)</f>
        <v/>
      </c>
      <c r="Y132" s="22">
        <f>IF(U132="","",F132-U132)</f>
        <v/>
      </c>
      <c r="Z132" s="22">
        <f>IF(V132="","",F132-V132)</f>
        <v/>
      </c>
      <c r="AA132" s="6" t="n">
        <v>18617891.61432233</v>
      </c>
      <c r="AB132" s="6" t="n">
        <v>18070281.96713455</v>
      </c>
      <c r="AC132" s="6" t="n">
        <v>5226379.735801526</v>
      </c>
      <c r="AD132" s="6" t="n">
        <v>3295894.452230596</v>
      </c>
      <c r="AE132" s="6" t="n">
        <v>2419373.714321651</v>
      </c>
      <c r="AF132" s="6" t="n">
        <v>19468228.95136708</v>
      </c>
      <c r="AG132" s="6" t="n">
        <v>-3780632.943813259</v>
      </c>
      <c r="AH132" s="6" t="n">
        <v>-3621077.239430826</v>
      </c>
      <c r="AI132" s="6" t="n">
        <v>-679385.3166595532</v>
      </c>
      <c r="AJ132" s="6" t="n">
        <v>-67560.37426503771</v>
      </c>
      <c r="AK132" s="6" t="n">
        <v>152992.0812096212</v>
      </c>
      <c r="AL132" s="6" t="n">
        <v>-3914676.919235393</v>
      </c>
      <c r="AM132" s="6" t="n">
        <v>-5228844.449111858</v>
      </c>
      <c r="AN132" s="6" t="n">
        <v>-5031547.840449847</v>
      </c>
      <c r="AO132" s="6" t="n">
        <v>-1094980.466159584</v>
      </c>
      <c r="AP132" s="6" t="n">
        <v>-356867.8065420993</v>
      </c>
      <c r="AQ132" s="6" t="n">
        <v>-71133.43769702537</v>
      </c>
      <c r="AR132" s="6" t="n">
        <v>-5437072.195865998</v>
      </c>
    </row>
    <row r="133">
      <c r="A133" t="inlineStr">
        <is>
          <t>AyE</t>
        </is>
      </c>
      <c r="B133" s="8" t="n">
        <v>202312</v>
      </c>
      <c r="C133" s="8" t="n">
        <v>2023</v>
      </c>
      <c r="D133" s="9" t="n">
        <v>2675099.434933823</v>
      </c>
      <c r="E133" s="10" t="n">
        <v>0.0488389439377168</v>
      </c>
      <c r="F133" s="22">
        <f>D133*(1-E133)</f>
        <v/>
      </c>
      <c r="G133" s="10" t="n">
        <v>0.681103268817179</v>
      </c>
      <c r="H133" s="10" t="n">
        <v>0.04635920281999549</v>
      </c>
      <c r="I133" s="10" t="n">
        <v>0.03598186867450404</v>
      </c>
      <c r="J133" s="10" t="n">
        <v>0.01864322211714017</v>
      </c>
      <c r="K133" s="9" t="n">
        <v>6823280.273006967</v>
      </c>
      <c r="L133" s="18" t="n">
        <v>10017981.97923267</v>
      </c>
      <c r="M133" s="18" t="n">
        <v>17906194.77430206</v>
      </c>
      <c r="N133" s="23">
        <f>IF(L133=0,"",M133/L133)</f>
        <v/>
      </c>
      <c r="O133" s="9" t="n">
        <v>7385116.481793642</v>
      </c>
      <c r="P133" s="22">
        <f>M133*G133*(1+H133+I133)</f>
        <v/>
      </c>
      <c r="Q133" s="9" t="n">
        <v>7257908.552096472</v>
      </c>
      <c r="R133" s="22">
        <f>P133-M133*G133*J133</f>
        <v/>
      </c>
      <c r="S133" s="22">
        <f>IF(A133=A132,O133-O132,"")</f>
        <v/>
      </c>
      <c r="T133" s="22">
        <f>IF(A133=A132,P133-P132,"")</f>
        <v/>
      </c>
      <c r="U133" s="22">
        <f>IF(A133=A132,Q133-Q132,"")</f>
        <v/>
      </c>
      <c r="V133" s="22">
        <f>IF(A133=A132,R133-R132,"")</f>
        <v/>
      </c>
      <c r="W133" s="22">
        <f>IF(S133="","",D133-S133)</f>
        <v/>
      </c>
      <c r="X133" s="22">
        <f>IF(T133="","",D133-T133)</f>
        <v/>
      </c>
      <c r="Y133" s="22">
        <f>IF(U133="","",F133-U133)</f>
        <v/>
      </c>
      <c r="Z133" s="22">
        <f>IF(V133="","",F133-V133)</f>
        <v/>
      </c>
      <c r="AA133" s="9" t="n">
        <v>18991647.47342239</v>
      </c>
      <c r="AB133" s="9" t="n">
        <v>18239175.74035902</v>
      </c>
      <c r="AC133" s="9" t="n">
        <v>7061413.162499568</v>
      </c>
      <c r="AD133" s="9" t="n">
        <v>2670392.44504989</v>
      </c>
      <c r="AE133" s="9" t="n">
        <v>1742671.505310834</v>
      </c>
      <c r="AF133" s="9" t="n">
        <v>19578594.70141063</v>
      </c>
      <c r="AG133" s="9" t="n">
        <v>7452859.534291226</v>
      </c>
      <c r="AH133" s="9" t="n">
        <v>7455248.218734093</v>
      </c>
      <c r="AI133" s="9" t="n">
        <v>2740887.885260163</v>
      </c>
      <c r="AJ133" s="9" t="n">
        <v>4030785.918582184</v>
      </c>
      <c r="AK133" s="9" t="n">
        <v>3830623.813160658</v>
      </c>
      <c r="AL133" s="9" t="n">
        <v>7877826.499603894</v>
      </c>
      <c r="AM133" s="9" t="n">
        <v>7017085.990513294</v>
      </c>
      <c r="AN133" s="9" t="n">
        <v>7025987.59065313</v>
      </c>
      <c r="AO133" s="9" t="n">
        <v>2546553.780774736</v>
      </c>
      <c r="AP133" s="9" t="n">
        <v>3837338.4367506</v>
      </c>
      <c r="AQ133" s="9" t="n">
        <v>3651114.73422008</v>
      </c>
      <c r="AR133" s="9" t="n">
        <v>7424555.686353448</v>
      </c>
    </row>
    <row r="134">
      <c r="A134" s="4" t="inlineStr">
        <is>
          <t>AyE</t>
        </is>
      </c>
      <c r="B134" s="5" t="n">
        <v>202401</v>
      </c>
      <c r="C134" s="5" t="n">
        <v>2024</v>
      </c>
      <c r="D134" s="6" t="n">
        <v>1328705.777298741</v>
      </c>
      <c r="E134" s="11" t="n">
        <v>0.03788122375960931</v>
      </c>
      <c r="F134" s="22">
        <f>D134*(1-E134)</f>
        <v/>
      </c>
      <c r="G134" s="11" t="n">
        <v>0.7287529573656163</v>
      </c>
      <c r="H134" s="11" t="n">
        <v>0.03876162352364126</v>
      </c>
      <c r="I134" s="11" t="n">
        <v>0.07623366918685102</v>
      </c>
      <c r="J134" s="11" t="n">
        <v>0.03006061315068807</v>
      </c>
      <c r="K134" s="6" t="n">
        <v>6885740.398398466</v>
      </c>
      <c r="L134" s="18" t="n">
        <v>9448662.03121819</v>
      </c>
      <c r="M134" s="18" t="n">
        <v>16924733.64413944</v>
      </c>
      <c r="N134" s="23">
        <f>IF(L134=0,"",M134/L134)</f>
        <v/>
      </c>
      <c r="O134" s="6" t="n">
        <v>7677568.131040761</v>
      </c>
      <c r="P134" s="22">
        <f>M134*G134*(1+H134+I134)</f>
        <v/>
      </c>
      <c r="Q134" s="6" t="n">
        <v>7470578.552668441</v>
      </c>
      <c r="R134" s="22">
        <f>P134-M134*G134*J134</f>
        <v/>
      </c>
      <c r="S134" s="22">
        <f>IF(A134=A133,O134-O133,"")</f>
        <v/>
      </c>
      <c r="T134" s="22">
        <f>IF(A134=A133,P134-P133,"")</f>
        <v/>
      </c>
      <c r="U134" s="22">
        <f>IF(A134=A133,Q134-Q133,"")</f>
        <v/>
      </c>
      <c r="V134" s="22">
        <f>IF(A134=A133,R134-R133,"")</f>
        <v/>
      </c>
      <c r="W134" s="22">
        <f>IF(S134="","",D134-S134)</f>
        <v/>
      </c>
      <c r="X134" s="22">
        <f>IF(T134="","",D134-T134)</f>
        <v/>
      </c>
      <c r="Y134" s="22">
        <f>IF(U134="","",F134-U134)</f>
        <v/>
      </c>
      <c r="Z134" s="22">
        <f>IF(V134="","",F134-V134)</f>
        <v/>
      </c>
      <c r="AA134" s="6" t="n">
        <v>17949715.77523644</v>
      </c>
      <c r="AB134" s="6" t="n">
        <v>17188598.19562712</v>
      </c>
      <c r="AC134" s="6" t="n">
        <v>7168115.131584411</v>
      </c>
      <c r="AD134" s="6" t="n">
        <v>3247648.952890255</v>
      </c>
      <c r="AE134" s="6" t="n">
        <v>2421300.989035374</v>
      </c>
      <c r="AF134" s="6" t="n">
        <v>18401757.35206516</v>
      </c>
      <c r="AG134" s="6" t="n">
        <v>743931.8531356431</v>
      </c>
      <c r="AH134" s="6" t="n">
        <v>807670.9397714115</v>
      </c>
      <c r="AI134" s="6" t="n">
        <v>709785.1982526225</v>
      </c>
      <c r="AJ134" s="6" t="n">
        <v>658384.7912605493</v>
      </c>
      <c r="AK134" s="6" t="n">
        <v>645935.9566374691</v>
      </c>
      <c r="AL134" s="6" t="n">
        <v>809312.0084684673</v>
      </c>
      <c r="AM134" s="6" t="n">
        <v>845663.8100670096</v>
      </c>
      <c r="AN134" s="6" t="n">
        <v>902284.1316063446</v>
      </c>
      <c r="AO134" s="6" t="n">
        <v>726816.8419633252</v>
      </c>
      <c r="AP134" s="6" t="n">
        <v>645288.7237744858</v>
      </c>
      <c r="AQ134" s="6" t="n">
        <v>626517.4449679349</v>
      </c>
      <c r="AR134" s="6" t="n">
        <v>913493.6999206808</v>
      </c>
    </row>
    <row r="135">
      <c r="A135" t="inlineStr">
        <is>
          <t>AyE</t>
        </is>
      </c>
      <c r="B135" s="8" t="n">
        <v>202402</v>
      </c>
      <c r="C135" s="8" t="n">
        <v>2024</v>
      </c>
      <c r="D135" s="9" t="n">
        <v>137690.8406987974</v>
      </c>
      <c r="E135" s="10" t="n">
        <v>0.03788122375960931</v>
      </c>
      <c r="F135" s="22">
        <f>D135*(1-E135)</f>
        <v/>
      </c>
      <c r="G135" s="10" t="n">
        <v>0.7238443758851535</v>
      </c>
      <c r="H135" s="10" t="n">
        <v>0.03902443473620912</v>
      </c>
      <c r="I135" s="10" t="n">
        <v>0.07792372652041613</v>
      </c>
      <c r="J135" s="10" t="n">
        <v>0.03377795320794923</v>
      </c>
      <c r="K135" s="9" t="n">
        <v>5390002.269808788</v>
      </c>
      <c r="L135" s="18" t="n">
        <v>7446355.113580347</v>
      </c>
      <c r="M135" s="18" t="n">
        <v>14795736.48210613</v>
      </c>
      <c r="N135" s="23">
        <f>IF(L135=0,"",M135/L135)</f>
        <v/>
      </c>
      <c r="O135" s="9" t="n">
        <v>6020353.12443196</v>
      </c>
      <c r="P135" s="22">
        <f>M135*G135*(1+H135+I135)</f>
        <v/>
      </c>
      <c r="Q135" s="9" t="n">
        <v>5838289.87997162</v>
      </c>
      <c r="R135" s="22">
        <f>P135-M135*G135*J135</f>
        <v/>
      </c>
      <c r="S135" s="22">
        <f>IF(A135=A134,O135-O134,"")</f>
        <v/>
      </c>
      <c r="T135" s="22">
        <f>IF(A135=A134,P135-P134,"")</f>
        <v/>
      </c>
      <c r="U135" s="22">
        <f>IF(A135=A134,Q135-Q134,"")</f>
        <v/>
      </c>
      <c r="V135" s="22">
        <f>IF(A135=A134,R135-R134,"")</f>
        <v/>
      </c>
      <c r="W135" s="22">
        <f>IF(S135="","",D135-S135)</f>
        <v/>
      </c>
      <c r="X135" s="22">
        <f>IF(T135="","",D135-T135)</f>
        <v/>
      </c>
      <c r="Y135" s="22">
        <f>IF(U135="","",F135-U135)</f>
        <v/>
      </c>
      <c r="Z135" s="22">
        <f>IF(V135="","",F135-V135)</f>
        <v/>
      </c>
      <c r="AA135" s="9" t="n">
        <v>15823122.11313263</v>
      </c>
      <c r="AB135" s="9" t="n">
        <v>15061615.43506627</v>
      </c>
      <c r="AC135" s="9" t="n">
        <v>6237261.030283867</v>
      </c>
      <c r="AD135" s="9" t="n">
        <v>2821419.998052293</v>
      </c>
      <c r="AE135" s="9" t="n">
        <v>2035881.424704082</v>
      </c>
      <c r="AF135" s="9" t="n">
        <v>16089127.38681322</v>
      </c>
      <c r="AG135" s="9" t="n">
        <v>1929901.055641776</v>
      </c>
      <c r="AH135" s="9" t="n">
        <v>1927125.904683946</v>
      </c>
      <c r="AI135" s="9" t="n">
        <v>919382.0233272287</v>
      </c>
      <c r="AJ135" s="9" t="n">
        <v>495479.2616150166</v>
      </c>
      <c r="AK135" s="9" t="n">
        <v>459130.4696241525</v>
      </c>
      <c r="AL135" s="9" t="n">
        <v>2082145.832799295</v>
      </c>
      <c r="AM135" s="9" t="n">
        <v>1918340.071649469</v>
      </c>
      <c r="AN135" s="9" t="n">
        <v>1913619.717239184</v>
      </c>
      <c r="AO135" s="9" t="n">
        <v>909636.8592233837</v>
      </c>
      <c r="AP135" s="9" t="n">
        <v>488101.5621495338</v>
      </c>
      <c r="AQ135" s="9" t="n">
        <v>450648.9737324021</v>
      </c>
      <c r="AR135" s="9" t="n">
        <v>2067185.906151028</v>
      </c>
    </row>
    <row r="136">
      <c r="A136" s="4" t="inlineStr">
        <is>
          <t>AyE</t>
        </is>
      </c>
      <c r="B136" s="5" t="n">
        <v>202403</v>
      </c>
      <c r="C136" s="5" t="n">
        <v>2024</v>
      </c>
      <c r="D136" s="6" t="n">
        <v>6339393.835903722</v>
      </c>
      <c r="E136" s="11" t="n">
        <v>0.03788122375960931</v>
      </c>
      <c r="F136" s="22">
        <f>D136*(1-E136)</f>
        <v/>
      </c>
      <c r="G136" s="11" t="n">
        <v>0.6717711613876525</v>
      </c>
      <c r="H136" s="11" t="n">
        <v>0.04204983015631596</v>
      </c>
      <c r="I136" s="11" t="n">
        <v>0.05336024361292096</v>
      </c>
      <c r="J136" s="11" t="n">
        <v>0.02109545029912745</v>
      </c>
      <c r="K136" s="6" t="n">
        <v>8428964.420226416</v>
      </c>
      <c r="L136" s="18" t="n">
        <v>12547374.61908162</v>
      </c>
      <c r="M136" s="18" t="n">
        <v>18172832.08258636</v>
      </c>
      <c r="N136" s="23">
        <f>IF(L136=0,"",M136/L136)</f>
        <v/>
      </c>
      <c r="O136" s="6" t="n">
        <v>9233172.537358491</v>
      </c>
      <c r="P136" s="22">
        <f>M136*G136*(1+H136+I136)</f>
        <v/>
      </c>
      <c r="Q136" s="6" t="n">
        <v>9055359.73735849</v>
      </c>
      <c r="R136" s="22">
        <f>P136-M136*G136*J136</f>
        <v/>
      </c>
      <c r="S136" s="22">
        <f>IF(A136=A135,O136-O135,"")</f>
        <v/>
      </c>
      <c r="T136" s="22">
        <f>IF(A136=A135,P136-P135,"")</f>
        <v/>
      </c>
      <c r="U136" s="22">
        <f>IF(A136=A135,Q136-Q135,"")</f>
        <v/>
      </c>
      <c r="V136" s="22">
        <f>IF(A136=A135,R136-R135,"")</f>
        <v/>
      </c>
      <c r="W136" s="22">
        <f>IF(S136="","",D136-S136)</f>
        <v/>
      </c>
      <c r="X136" s="22">
        <f>IF(T136="","",D136-T136)</f>
        <v/>
      </c>
      <c r="Y136" s="22">
        <f>IF(U136="","",F136-U136)</f>
        <v/>
      </c>
      <c r="Z136" s="22">
        <f>IF(V136="","",F136-V136)</f>
        <v/>
      </c>
      <c r="AA136" s="6" t="n">
        <v>19458684.6460316</v>
      </c>
      <c r="AB136" s="6" t="n">
        <v>18712637.87738498</v>
      </c>
      <c r="AC136" s="6" t="n">
        <v>4775548.938058543</v>
      </c>
      <c r="AD136" s="6" t="n">
        <v>4427619.48370309</v>
      </c>
      <c r="AE136" s="6" t="n">
        <v>3241909.695532226</v>
      </c>
      <c r="AF136" s="6" t="n">
        <v>19587403.9062611</v>
      </c>
      <c r="AG136" s="6" t="n">
        <v>4813371.99115025</v>
      </c>
      <c r="AH136" s="6" t="n">
        <v>4746686.025935835</v>
      </c>
      <c r="AI136" s="6" t="n">
        <v>7868039.621306987</v>
      </c>
      <c r="AJ136" s="6" t="n">
        <v>5362372.680234214</v>
      </c>
      <c r="AK136" s="6" t="n">
        <v>5599789.59109461</v>
      </c>
      <c r="AL136" s="6" t="n">
        <v>4933716.377159595</v>
      </c>
      <c r="AM136" s="6" t="n">
        <v>4462108.104944214</v>
      </c>
      <c r="AN136" s="6" t="n">
        <v>4403468.500015814</v>
      </c>
      <c r="AO136" s="6" t="n">
        <v>7543070.517369905</v>
      </c>
      <c r="AP136" s="6" t="n">
        <v>5115990.208253579</v>
      </c>
      <c r="AQ136" s="6" t="n">
        <v>5355810.455585691</v>
      </c>
      <c r="AR136" s="6" t="n">
        <v>4577772.788146466</v>
      </c>
    </row>
    <row r="137">
      <c r="A137" t="inlineStr">
        <is>
          <t>AyE</t>
        </is>
      </c>
      <c r="B137" s="8" t="n">
        <v>202404</v>
      </c>
      <c r="C137" s="8" t="n">
        <v>2024</v>
      </c>
      <c r="D137" s="9" t="n">
        <v>5334966.340558294</v>
      </c>
      <c r="E137" s="10" t="n">
        <v>0.03788122375960931</v>
      </c>
      <c r="F137" s="22">
        <f>D137*(1-E137)</f>
        <v/>
      </c>
      <c r="G137" s="10" t="n">
        <v>0.6647806305830551</v>
      </c>
      <c r="H137" s="10" t="n">
        <v>0.04249189654167938</v>
      </c>
      <c r="I137" s="10" t="n">
        <v>0.0406738422312647</v>
      </c>
      <c r="J137" s="10" t="n">
        <v>0.04344348879190987</v>
      </c>
      <c r="K137" s="9" t="n">
        <v>10079569.26979938</v>
      </c>
      <c r="L137" s="18" t="n">
        <v>15162248.72701082</v>
      </c>
      <c r="M137" s="18" t="n">
        <v>20372597.94441735</v>
      </c>
      <c r="N137" s="23">
        <f>IF(L137=0,"",M137/L137)</f>
        <v/>
      </c>
      <c r="O137" s="9" t="n">
        <v>10917844.09463531</v>
      </c>
      <c r="P137" s="22">
        <f>M137*G137*(1+H137+I137)</f>
        <v/>
      </c>
      <c r="Q137" s="9" t="n">
        <v>10479952.4400355</v>
      </c>
      <c r="R137" s="22">
        <f>P137-M137*G137*J137</f>
        <v/>
      </c>
      <c r="S137" s="22">
        <f>IF(A137=A136,O137-O136,"")</f>
        <v/>
      </c>
      <c r="T137" s="22">
        <f>IF(A137=A136,P137-P136,"")</f>
        <v/>
      </c>
      <c r="U137" s="22">
        <f>IF(A137=A136,Q137-Q136,"")</f>
        <v/>
      </c>
      <c r="V137" s="22">
        <f>IF(A137=A136,R137-R136,"")</f>
        <v/>
      </c>
      <c r="W137" s="22">
        <f>IF(S137="","",D137-S137)</f>
        <v/>
      </c>
      <c r="X137" s="22">
        <f>IF(T137="","",D137-T137)</f>
        <v/>
      </c>
      <c r="Y137" s="22">
        <f>IF(U137="","",F137-U137)</f>
        <v/>
      </c>
      <c r="Z137" s="22">
        <f>IF(V137="","",F137-V137)</f>
        <v/>
      </c>
      <c r="AA137" s="9" t="n">
        <v>21876516.79795783</v>
      </c>
      <c r="AB137" s="9" t="n">
        <v>20719023.24235659</v>
      </c>
      <c r="AC137" s="9" t="n">
        <v>8461225.560592823</v>
      </c>
      <c r="AD137" s="9" t="n">
        <v>6742214.161707462</v>
      </c>
      <c r="AE137" s="9" t="n">
        <v>5445312.176627971</v>
      </c>
      <c r="AF137" s="9" t="n">
        <v>21669036.15170274</v>
      </c>
      <c r="AG137" s="9" t="n">
        <v>3901358.312797982</v>
      </c>
      <c r="AH137" s="9" t="n">
        <v>4185842.293786814</v>
      </c>
      <c r="AI137" s="9" t="n">
        <v>2756470.763570744</v>
      </c>
      <c r="AJ137" s="9" t="n">
        <v>3738246.108583848</v>
      </c>
      <c r="AK137" s="9" t="n">
        <v>3799581.000428298</v>
      </c>
      <c r="AL137" s="9" t="n">
        <v>4145478.389612956</v>
      </c>
      <c r="AM137" s="9" t="n">
        <v>4055310.440833794</v>
      </c>
      <c r="AN137" s="9" t="n">
        <v>4316938.020533655</v>
      </c>
      <c r="AO137" s="9" t="n">
        <v>2731063.393871018</v>
      </c>
      <c r="AP137" s="9" t="n">
        <v>3668123.637433531</v>
      </c>
      <c r="AQ137" s="9" t="n">
        <v>3708806.561402336</v>
      </c>
      <c r="AR137" s="9" t="n">
        <v>4291614.274491392</v>
      </c>
    </row>
    <row r="138">
      <c r="A138" s="4" t="inlineStr">
        <is>
          <t>AyE</t>
        </is>
      </c>
      <c r="B138" s="5" t="n">
        <v>202405</v>
      </c>
      <c r="C138" s="5" t="n">
        <v>2024</v>
      </c>
      <c r="D138" s="6" t="n">
        <v>2523722.853100659</v>
      </c>
      <c r="E138" s="11" t="n">
        <v>0.03788122375960931</v>
      </c>
      <c r="F138" s="22">
        <f>D138*(1-E138)</f>
        <v/>
      </c>
      <c r="G138" s="11" t="n">
        <v>0.6836775061929372</v>
      </c>
      <c r="H138" s="11" t="n">
        <v>0.04131737858484854</v>
      </c>
      <c r="I138" s="11" t="n">
        <v>0.04443324914847809</v>
      </c>
      <c r="J138" s="11" t="n">
        <v>0.05454841394240338</v>
      </c>
      <c r="K138" s="6" t="n">
        <v>10878367.5634422</v>
      </c>
      <c r="L138" s="18" t="n">
        <v>15911548.15670105</v>
      </c>
      <c r="M138" s="18" t="n">
        <v>19492122.11747749</v>
      </c>
      <c r="N138" s="23">
        <f>IF(L138=0,"",M138/L138)</f>
        <v/>
      </c>
      <c r="O138" s="6" t="n">
        <v>11811194.41072123</v>
      </c>
      <c r="P138" s="22">
        <f>M138*G138*(1+H138+I138)</f>
        <v/>
      </c>
      <c r="Q138" s="6" t="n">
        <v>11217796.71385297</v>
      </c>
      <c r="R138" s="22">
        <f>P138-M138*G138*J138</f>
        <v/>
      </c>
      <c r="S138" s="22">
        <f>IF(A138=A137,O138-O137,"")</f>
        <v/>
      </c>
      <c r="T138" s="22">
        <f>IF(A138=A137,P138-P137,"")</f>
        <v/>
      </c>
      <c r="U138" s="22">
        <f>IF(A138=A137,Q138-Q137,"")</f>
        <v/>
      </c>
      <c r="V138" s="22">
        <f>IF(A138=A137,R138-R137,"")</f>
        <v/>
      </c>
      <c r="W138" s="22">
        <f>IF(S138="","",D138-S138)</f>
        <v/>
      </c>
      <c r="X138" s="22">
        <f>IF(T138="","",D138-T138)</f>
        <v/>
      </c>
      <c r="Y138" s="22">
        <f>IF(U138="","",F138-U138)</f>
        <v/>
      </c>
      <c r="Z138" s="22">
        <f>IF(V138="","",F138-V138)</f>
        <v/>
      </c>
      <c r="AA138" s="6" t="n">
        <v>21103457.07560885</v>
      </c>
      <c r="AB138" s="6" t="n">
        <v>19697747.06341121</v>
      </c>
      <c r="AC138" s="6" t="n">
        <v>6852609.060784929</v>
      </c>
      <c r="AD138" s="6" t="n">
        <v>5654331.560367252</v>
      </c>
      <c r="AE138" s="6" t="n">
        <v>4377844.214732449</v>
      </c>
      <c r="AF138" s="6" t="n">
        <v>20744665.13772811</v>
      </c>
      <c r="AG138" s="6" t="n">
        <v>2611128.423898492</v>
      </c>
      <c r="AH138" s="6" t="n">
        <v>2821117.968919744</v>
      </c>
      <c r="AI138" s="6" t="n">
        <v>3529663.066900342</v>
      </c>
      <c r="AJ138" s="6" t="n">
        <v>3181343.970364534</v>
      </c>
      <c r="AK138" s="6" t="n">
        <v>3195027.612318798</v>
      </c>
      <c r="AL138" s="6" t="n">
        <v>2728060.765182755</v>
      </c>
      <c r="AM138" s="6" t="n">
        <v>2670746.654308194</v>
      </c>
      <c r="AN138" s="6" t="n">
        <v>2861741.184961635</v>
      </c>
      <c r="AO138" s="6" t="n">
        <v>3445255.801599401</v>
      </c>
      <c r="AP138" s="6" t="n">
        <v>3101894.434206668</v>
      </c>
      <c r="AQ138" s="6" t="n">
        <v>3105428.400154675</v>
      </c>
      <c r="AR138" s="6" t="n">
        <v>2780290.501940811</v>
      </c>
    </row>
    <row r="139">
      <c r="A139" t="inlineStr">
        <is>
          <t>AyE</t>
        </is>
      </c>
      <c r="B139" s="8" t="n">
        <v>202406</v>
      </c>
      <c r="C139" s="8" t="n">
        <v>2024</v>
      </c>
      <c r="D139" s="9" t="n">
        <v>255534.7253880576</v>
      </c>
      <c r="E139" s="10" t="n">
        <v>0.03788122375960931</v>
      </c>
      <c r="F139" s="22">
        <f>D139*(1-E139)</f>
        <v/>
      </c>
      <c r="G139" s="10" t="n">
        <v>0.6833459371819596</v>
      </c>
      <c r="H139" s="10" t="n">
        <v>0.04133732791630553</v>
      </c>
      <c r="I139" s="10" t="n">
        <v>0.03193096282417194</v>
      </c>
      <c r="J139" s="10" t="n">
        <v>0.05617449668094066</v>
      </c>
      <c r="K139" s="9" t="n">
        <v>8862690.675482057</v>
      </c>
      <c r="L139" s="18" t="n">
        <v>12969552.01348058</v>
      </c>
      <c r="M139" s="18" t="n">
        <v>16457956.62998105</v>
      </c>
      <c r="N139" s="23">
        <f>IF(L139=0,"",M139/L139)</f>
        <v/>
      </c>
      <c r="O139" s="9" t="n">
        <v>9512044.872636195</v>
      </c>
      <c r="P139" s="22">
        <f>M139*G139*(1+H139+I139)</f>
        <v/>
      </c>
      <c r="Q139" s="9" t="n">
        <v>9014187.684702124</v>
      </c>
      <c r="R139" s="22">
        <f>P139-M139*G139*J139</f>
        <v/>
      </c>
      <c r="S139" s="22">
        <f>IF(A139=A138,O139-O138,"")</f>
        <v/>
      </c>
      <c r="T139" s="22">
        <f>IF(A139=A138,P139-P138,"")</f>
        <v/>
      </c>
      <c r="U139" s="22">
        <f>IF(A139=A138,Q139-Q138,"")</f>
        <v/>
      </c>
      <c r="V139" s="22">
        <f>IF(A139=A138,R139-R138,"")</f>
        <v/>
      </c>
      <c r="W139" s="22">
        <f>IF(S139="","",D139-S139)</f>
        <v/>
      </c>
      <c r="X139" s="22">
        <f>IF(T139="","",D139-T139)</f>
        <v/>
      </c>
      <c r="Y139" s="22">
        <f>IF(U139="","",F139-U139)</f>
        <v/>
      </c>
      <c r="Z139" s="22">
        <f>IF(V139="","",F139-V139)</f>
        <v/>
      </c>
      <c r="AA139" s="9" t="n">
        <v>18062195.34746729</v>
      </c>
      <c r="AB139" s="9" t="n">
        <v>16664457.78650279</v>
      </c>
      <c r="AC139" s="9" t="n">
        <v>5838274.155965566</v>
      </c>
      <c r="AD139" s="9" t="n">
        <v>4522659.279786158</v>
      </c>
      <c r="AE139" s="9" t="n">
        <v>3320094.118058835</v>
      </c>
      <c r="AF139" s="9" t="n">
        <v>17552027.34030357</v>
      </c>
      <c r="AG139" s="9" t="n">
        <v>2673641.787154505</v>
      </c>
      <c r="AH139" s="9" t="n">
        <v>2655298.265226986</v>
      </c>
      <c r="AI139" s="9" t="n">
        <v>1060379.683769523</v>
      </c>
      <c r="AJ139" s="9" t="n">
        <v>1135784.108217917</v>
      </c>
      <c r="AK139" s="9" t="n">
        <v>1070220.918227012</v>
      </c>
      <c r="AL139" s="9" t="n">
        <v>2781473.471262138</v>
      </c>
      <c r="AM139" s="9" t="n">
        <v>2570286.066566153</v>
      </c>
      <c r="AN139" s="9" t="n">
        <v>2550712.011830546</v>
      </c>
      <c r="AO139" s="9" t="n">
        <v>1019253.35477318</v>
      </c>
      <c r="AP139" s="9" t="n">
        <v>1088843.768945818</v>
      </c>
      <c r="AQ139" s="9" t="n">
        <v>1024722.885148913</v>
      </c>
      <c r="AR139" s="9" t="n">
        <v>2671914.743873513</v>
      </c>
    </row>
    <row r="140">
      <c r="A140" s="4" t="inlineStr">
        <is>
          <t>AyE</t>
        </is>
      </c>
      <c r="B140" s="5" t="n">
        <v>202407</v>
      </c>
      <c r="C140" s="5" t="n">
        <v>2024</v>
      </c>
      <c r="D140" s="6" t="n">
        <v>6889361.237514937</v>
      </c>
      <c r="E140" s="11" t="n">
        <v>0.03788122375960931</v>
      </c>
      <c r="F140" s="22">
        <f>D140*(1-E140)</f>
        <v/>
      </c>
      <c r="G140" s="11" t="n">
        <v>0.6860010954156432</v>
      </c>
      <c r="H140" s="11" t="n">
        <v>0.04117727781043466</v>
      </c>
      <c r="I140" s="11" t="n">
        <v>0.02562298034851925</v>
      </c>
      <c r="J140" s="11" t="n">
        <v>0.0394049052530689</v>
      </c>
      <c r="K140" s="6" t="n">
        <v>11660221.71318162</v>
      </c>
      <c r="L140" s="18" t="n">
        <v>16997380.6034767</v>
      </c>
      <c r="M140" s="18" t="n">
        <v>19574493.99308571</v>
      </c>
      <c r="N140" s="23">
        <f>IF(L140=0,"",M140/L140)</f>
        <v/>
      </c>
      <c r="O140" s="6" t="n">
        <v>12439127.53381279</v>
      </c>
      <c r="P140" s="22">
        <f>M140*G140*(1+H140+I140)</f>
        <v/>
      </c>
      <c r="Q140" s="6" t="n">
        <v>11979657.6019751</v>
      </c>
      <c r="R140" s="22">
        <f>P140-M140*G140*J140</f>
        <v/>
      </c>
      <c r="S140" s="22">
        <f>IF(A140=A139,O140-O139,"")</f>
        <v/>
      </c>
      <c r="T140" s="22">
        <f>IF(A140=A139,P140-P139,"")</f>
        <v/>
      </c>
      <c r="U140" s="22">
        <f>IF(A140=A139,Q140-Q139,"")</f>
        <v/>
      </c>
      <c r="V140" s="22">
        <f>IF(A140=A139,R140-R139,"")</f>
        <v/>
      </c>
      <c r="W140" s="22">
        <f>IF(S140="","",D140-S140)</f>
        <v/>
      </c>
      <c r="X140" s="22">
        <f>IF(T140="","",D140-T140)</f>
        <v/>
      </c>
      <c r="Y140" s="22">
        <f>IF(U140="","",F140-U140)</f>
        <v/>
      </c>
      <c r="Z140" s="22">
        <f>IF(V140="","",F140-V140)</f>
        <v/>
      </c>
      <c r="AA140" s="6" t="n">
        <v>21417726.3753059</v>
      </c>
      <c r="AB140" s="6" t="n">
        <v>19760349.1904042</v>
      </c>
      <c r="AC140" s="6" t="n">
        <v>11234603.41130185</v>
      </c>
      <c r="AD140" s="6" t="n">
        <v>7407238.412896634</v>
      </c>
      <c r="AE140" s="6" t="n">
        <v>5959977.572531578</v>
      </c>
      <c r="AF140" s="6" t="n">
        <v>20838767.05431313</v>
      </c>
      <c r="AG140" s="6" t="n">
        <v>4462367.471694663</v>
      </c>
      <c r="AH140" s="6" t="n">
        <v>4650159.795883523</v>
      </c>
      <c r="AI140" s="6" t="n">
        <v>2949453.959089275</v>
      </c>
      <c r="AJ140" s="6" t="n">
        <v>4785529.988833087</v>
      </c>
      <c r="AK140" s="6" t="n">
        <v>4962695.755953155</v>
      </c>
      <c r="AL140" s="6" t="n">
        <v>4511900.923108179</v>
      </c>
      <c r="AM140" s="6" t="n">
        <v>4087003.385631437</v>
      </c>
      <c r="AN140" s="6" t="n">
        <v>4283648.220033516</v>
      </c>
      <c r="AO140" s="6" t="n">
        <v>2768056.591832816</v>
      </c>
      <c r="AP140" s="6" t="n">
        <v>4551174.02567948</v>
      </c>
      <c r="AQ140" s="6" t="n">
        <v>4735380.120162703</v>
      </c>
      <c r="AR140" s="6" t="n">
        <v>4140470.142149632</v>
      </c>
    </row>
    <row r="141">
      <c r="A141" t="inlineStr">
        <is>
          <t>AyE</t>
        </is>
      </c>
      <c r="B141" s="8" t="n">
        <v>202408</v>
      </c>
      <c r="C141" s="8" t="n">
        <v>2024</v>
      </c>
      <c r="D141" s="9" t="n">
        <v>-7460187.86350011</v>
      </c>
      <c r="E141" s="10" t="n">
        <v>0.03788122375960931</v>
      </c>
      <c r="F141" s="22">
        <f>D141*(1-E141)</f>
        <v/>
      </c>
      <c r="G141" s="10" t="n">
        <v>0.668488254224473</v>
      </c>
      <c r="H141" s="10" t="n">
        <v>0.04225586467591595</v>
      </c>
      <c r="I141" s="10" t="n">
        <v>0.01783995862987732</v>
      </c>
      <c r="J141" s="10" t="n">
        <v>0.03500862574279484</v>
      </c>
      <c r="K141" s="9" t="n">
        <v>11026294.73777706</v>
      </c>
      <c r="L141" s="18" t="n">
        <v>16494373.18920268</v>
      </c>
      <c r="M141" s="18" t="n">
        <v>9439174.096405348</v>
      </c>
      <c r="N141" s="23">
        <f>IF(L141=0,"",M141/L141)</f>
        <v/>
      </c>
      <c r="O141" s="9" t="n">
        <v>11688928.9980561</v>
      </c>
      <c r="P141" s="22">
        <f>M141*G141*(1+H141+I141)</f>
        <v/>
      </c>
      <c r="Q141" s="9" t="n">
        <v>11302913.57225152</v>
      </c>
      <c r="R141" s="22">
        <f>P141-M141*G141*J141</f>
        <v/>
      </c>
      <c r="S141" s="22">
        <f>IF(A141=A140,O141-O140,"")</f>
        <v/>
      </c>
      <c r="T141" s="22">
        <f>IF(A141=A140,P141-P140,"")</f>
        <v/>
      </c>
      <c r="U141" s="22">
        <f>IF(A141=A140,Q141-Q140,"")</f>
        <v/>
      </c>
      <c r="V141" s="22">
        <f>IF(A141=A140,R141-R140,"")</f>
        <v/>
      </c>
      <c r="W141" s="22">
        <f>IF(S141="","",D141-S141)</f>
        <v/>
      </c>
      <c r="X141" s="22">
        <f>IF(T141="","",D141-T141)</f>
        <v/>
      </c>
      <c r="Y141" s="22">
        <f>IF(U141="","",F141-U141)</f>
        <v/>
      </c>
      <c r="Z141" s="22">
        <f>IF(V141="","",F141-V141)</f>
        <v/>
      </c>
      <c r="AA141" s="9" t="n">
        <v>10729755.23576782</v>
      </c>
      <c r="AB141" s="9" t="n">
        <v>9404672.219819894</v>
      </c>
      <c r="AC141" s="9" t="n">
        <v>2651154.561233195</v>
      </c>
      <c r="AD141" s="9" t="n">
        <v>6873306.869114785</v>
      </c>
      <c r="AE141" s="9" t="n">
        <v>5506213.833829921</v>
      </c>
      <c r="AF141" s="9" t="n">
        <v>10628626.61604971</v>
      </c>
      <c r="AG141" s="9" t="n">
        <v>610098.6992539605</v>
      </c>
      <c r="AH141" s="9" t="n">
        <v>336222.2005510814</v>
      </c>
      <c r="AI141" s="9" t="n">
        <v>-1117182.800421773</v>
      </c>
      <c r="AJ141" s="9" t="n">
        <v>-6910225.811601944</v>
      </c>
      <c r="AK141" s="9" t="n">
        <v>-7000562.787955622</v>
      </c>
      <c r="AL141" s="9" t="n">
        <v>258067.1009479044</v>
      </c>
      <c r="AM141" s="9" t="n">
        <v>564846.78132156</v>
      </c>
      <c r="AN141" s="9" t="n">
        <v>304761.4589184346</v>
      </c>
      <c r="AO141" s="9" t="n">
        <v>-1076228.812878573</v>
      </c>
      <c r="AP141" s="9" t="n">
        <v>-6667000.808936455</v>
      </c>
      <c r="AQ141" s="9" t="n">
        <v>-6750209.588104458</v>
      </c>
      <c r="AR141" s="9" t="n">
        <v>226098.8018835718</v>
      </c>
    </row>
    <row r="142">
      <c r="A142" s="4" t="inlineStr">
        <is>
          <t>AyE</t>
        </is>
      </c>
      <c r="B142" s="5" t="n">
        <v>202409</v>
      </c>
      <c r="C142" s="5" t="n">
        <v>2024</v>
      </c>
      <c r="D142" s="6" t="n">
        <v>9976244.601915199</v>
      </c>
      <c r="E142" s="11" t="n">
        <v>0.03788122375960931</v>
      </c>
      <c r="F142" s="22">
        <f>D142*(1-E142)</f>
        <v/>
      </c>
      <c r="G142" s="11" t="n">
        <v>0.6605462861520982</v>
      </c>
      <c r="H142" s="11" t="n">
        <v>0.04276399154787458</v>
      </c>
      <c r="I142" s="11" t="n">
        <v>0.01717697008239277</v>
      </c>
      <c r="J142" s="11" t="n">
        <v>0.02539476559248504</v>
      </c>
      <c r="K142" s="6" t="n">
        <v>11738834.41024573</v>
      </c>
      <c r="L142" s="18" t="n">
        <v>17771403.24053345</v>
      </c>
      <c r="M142" s="18" t="n">
        <v>15898135.28339367</v>
      </c>
      <c r="N142" s="23">
        <f>IF(L142=0,"",M142/L142)</f>
        <v/>
      </c>
      <c r="O142" s="6" t="n">
        <v>12442471.43321433</v>
      </c>
      <c r="P142" s="22">
        <f>M142*G142*(1+H142+I142)</f>
        <v/>
      </c>
      <c r="Q142" s="6" t="n">
        <v>12144366.48503715</v>
      </c>
      <c r="R142" s="22">
        <f>P142-M142*G142*J142</f>
        <v/>
      </c>
      <c r="S142" s="22">
        <f>IF(A142=A141,O142-O141,"")</f>
        <v/>
      </c>
      <c r="T142" s="22">
        <f>IF(A142=A141,P142-P141,"")</f>
        <v/>
      </c>
      <c r="U142" s="22">
        <f>IF(A142=A141,Q142-Q141,"")</f>
        <v/>
      </c>
      <c r="V142" s="22">
        <f>IF(A142=A141,R142-R141,"")</f>
        <v/>
      </c>
      <c r="W142" s="22">
        <f>IF(S142="","",D142-S142)</f>
        <v/>
      </c>
      <c r="X142" s="22">
        <f>IF(T142="","",D142-T142)</f>
        <v/>
      </c>
      <c r="Y142" s="22">
        <f>IF(U142="","",F142-U142)</f>
        <v/>
      </c>
      <c r="Z142" s="22">
        <f>IF(V142="","",F142-V142)</f>
        <v/>
      </c>
      <c r="AA142" s="6" t="n">
        <v>17595733.84640492</v>
      </c>
      <c r="AB142" s="6" t="n">
        <v>15957812.32333205</v>
      </c>
      <c r="AC142" s="6" t="n">
        <v>2160044.419715672</v>
      </c>
      <c r="AD142" s="6" t="n">
        <v>5788090.532042975</v>
      </c>
      <c r="AE142" s="6" t="n">
        <v>4233156.317807583</v>
      </c>
      <c r="AF142" s="6" t="n">
        <v>17337194.5905885</v>
      </c>
      <c r="AG142" s="6" t="n">
        <v>5260531.929714601</v>
      </c>
      <c r="AH142" s="6" t="n">
        <v>5468270.954091719</v>
      </c>
      <c r="AI142" s="6" t="n">
        <v>10342682.4096163</v>
      </c>
      <c r="AJ142" s="6" t="n">
        <v>10794619.20226525</v>
      </c>
      <c r="AK142" s="6" t="n">
        <v>10914484.5989957</v>
      </c>
      <c r="AL142" s="6" t="n">
        <v>5369879.651194168</v>
      </c>
      <c r="AM142" s="6" t="n">
        <v>4926670.864880376</v>
      </c>
      <c r="AN142" s="6" t="n">
        <v>5137945.434639896</v>
      </c>
      <c r="AO142" s="6" t="n">
        <v>9938958.957721962</v>
      </c>
      <c r="AP142" s="6" t="n">
        <v>10352943.69404939</v>
      </c>
      <c r="AQ142" s="6" t="n">
        <v>10478719.85437318</v>
      </c>
      <c r="AR142" s="6" t="n">
        <v>5034048.439221953</v>
      </c>
    </row>
    <row r="143">
      <c r="A143" t="inlineStr">
        <is>
          <t>AyE</t>
        </is>
      </c>
      <c r="B143" s="8" t="n">
        <v>202410</v>
      </c>
      <c r="C143" s="8" t="n">
        <v>2024</v>
      </c>
      <c r="D143" s="9" t="n">
        <v>8322514.418876203</v>
      </c>
      <c r="E143" s="10" t="n">
        <v>0.03788122375960931</v>
      </c>
      <c r="F143" s="22">
        <f>D143*(1-E143)</f>
        <v/>
      </c>
      <c r="G143" s="10" t="n">
        <v>0.6525675580822095</v>
      </c>
      <c r="H143" s="10" t="n">
        <v>0.04328700962210618</v>
      </c>
      <c r="I143" s="10" t="n">
        <v>0.02347461515579193</v>
      </c>
      <c r="J143" s="10" t="n">
        <v>0.03136195140483783</v>
      </c>
      <c r="K143" s="9" t="n">
        <v>13436946.65957053</v>
      </c>
      <c r="L143" s="18" t="n">
        <v>20590889.7755499</v>
      </c>
      <c r="M143" s="18" t="n">
        <v>19076872.40346471</v>
      </c>
      <c r="N143" s="23">
        <f>IF(L143=0,"",M143/L143)</f>
        <v/>
      </c>
      <c r="O143" s="9" t="n">
        <v>14334019.05061742</v>
      </c>
      <c r="P143" s="22">
        <f>M143*G143*(1+H143+I143)</f>
        <v/>
      </c>
      <c r="Q143" s="9" t="n">
        <v>13912610.18245056</v>
      </c>
      <c r="R143" s="22">
        <f>P143-M143*G143*J143</f>
        <v/>
      </c>
      <c r="S143" s="22">
        <f>IF(A143=A142,O143-O142,"")</f>
        <v/>
      </c>
      <c r="T143" s="22">
        <f>IF(A143=A142,P143-P142,"")</f>
        <v/>
      </c>
      <c r="U143" s="22">
        <f>IF(A143=A142,Q143-Q142,"")</f>
        <v/>
      </c>
      <c r="V143" s="22">
        <f>IF(A143=A142,R143-R142,"")</f>
        <v/>
      </c>
      <c r="W143" s="22">
        <f>IF(S143="","",D143-S143)</f>
        <v/>
      </c>
      <c r="X143" s="22">
        <f>IF(T143="","",D143-T143)</f>
        <v/>
      </c>
      <c r="Y143" s="22">
        <f>IF(U143="","",F143-U143)</f>
        <v/>
      </c>
      <c r="Z143" s="22">
        <f>IF(V143="","",F143-V143)</f>
        <v/>
      </c>
      <c r="AA143" s="9" t="n">
        <v>20446136.7111398</v>
      </c>
      <c r="AB143" s="9" t="n">
        <v>18354102.13247255</v>
      </c>
      <c r="AC143" s="9" t="n">
        <v>7010592.598245573</v>
      </c>
      <c r="AD143" s="9" t="n">
        <v>6054987.69727207</v>
      </c>
      <c r="AE143" s="9" t="n">
        <v>4332803.971823677</v>
      </c>
      <c r="AF143" s="9" t="n">
        <v>22518495.71780555</v>
      </c>
      <c r="AG143" s="9" t="n">
        <v>6408741.154189426</v>
      </c>
      <c r="AH143" s="9" t="n">
        <v>6718303.130426046</v>
      </c>
      <c r="AI143" s="9" t="n">
        <v>4954535.993059597</v>
      </c>
      <c r="AJ143" s="9" t="n">
        <v>8159905.526076123</v>
      </c>
      <c r="AK143" s="9" t="n">
        <v>8270104.477769112</v>
      </c>
      <c r="AL143" s="9" t="n">
        <v>4785087.838738944</v>
      </c>
      <c r="AM143" s="9" t="n">
        <v>6216762.30898543</v>
      </c>
      <c r="AN143" s="9" t="n">
        <v>6510984.321026922</v>
      </c>
      <c r="AO143" s="9" t="n">
        <v>4746512.804132626</v>
      </c>
      <c r="AP143" s="9" t="n">
        <v>7871466.763595095</v>
      </c>
      <c r="AQ143" s="9" t="n">
        <v>7972502.97792716</v>
      </c>
      <c r="AR143" s="9" t="n">
        <v>4639858.307580126</v>
      </c>
    </row>
    <row r="144">
      <c r="A144" s="4" t="inlineStr">
        <is>
          <t>AyE</t>
        </is>
      </c>
      <c r="B144" s="5" t="n">
        <v>202411</v>
      </c>
      <c r="C144" s="5" t="n">
        <v>2024</v>
      </c>
      <c r="D144" s="6" t="n">
        <v>3323045.36456937</v>
      </c>
      <c r="E144" s="11" t="n">
        <v>0.03788122375960931</v>
      </c>
      <c r="F144" s="22">
        <f>D144*(1-E144)</f>
        <v/>
      </c>
      <c r="G144" s="11" t="n">
        <v>0.6565435095867883</v>
      </c>
      <c r="H144" s="11" t="n">
        <v>0.04302505532031419</v>
      </c>
      <c r="I144" s="11" t="n">
        <v>0.03005719603144269</v>
      </c>
      <c r="J144" s="11" t="n">
        <v>0.02693356378643073</v>
      </c>
      <c r="K144" s="6" t="n">
        <v>13221863.50442756</v>
      </c>
      <c r="L144" s="18" t="n">
        <v>20138594.48972249</v>
      </c>
      <c r="M144" s="18" t="n">
        <v>18897358.45653753</v>
      </c>
      <c r="N144" s="23">
        <f>IF(L144=0,"",M144/L144)</f>
        <v/>
      </c>
      <c r="O144" s="6" t="n">
        <v>14188147.05639676</v>
      </c>
      <c r="P144" s="22">
        <f>M144*G144*(1+H144+I144)</f>
        <v/>
      </c>
      <c r="Q144" s="6" t="n">
        <v>13832035.15232478</v>
      </c>
      <c r="R144" s="22">
        <f>P144-M144*G144*J144</f>
        <v/>
      </c>
      <c r="S144" s="22">
        <f>IF(A144=A143,O144-O143,"")</f>
        <v/>
      </c>
      <c r="T144" s="22">
        <f>IF(A144=A143,P144-P143,"")</f>
        <v/>
      </c>
      <c r="U144" s="22">
        <f>IF(A144=A143,Q144-Q143,"")</f>
        <v/>
      </c>
      <c r="V144" s="22">
        <f>IF(A144=A143,R144-R143,"")</f>
        <v/>
      </c>
      <c r="W144" s="22">
        <f>IF(S144="","",D144-S144)</f>
        <v/>
      </c>
      <c r="X144" s="22">
        <f>IF(T144="","",D144-T144)</f>
        <v/>
      </c>
      <c r="Y144" s="22">
        <f>IF(U144="","",F144-U144)</f>
        <v/>
      </c>
      <c r="Z144" s="22">
        <f>IF(V144="","",F144-V144)</f>
        <v/>
      </c>
      <c r="AA144" s="6" t="n">
        <v>20380659.17173017</v>
      </c>
      <c r="AB144" s="6" t="n">
        <v>18161895.3647307</v>
      </c>
      <c r="AC144" s="6" t="n">
        <v>8479096.112757264</v>
      </c>
      <c r="AD144" s="6" t="n">
        <v>4705614.873898074</v>
      </c>
      <c r="AE144" s="6" t="n">
        <v>3027341.984583962</v>
      </c>
      <c r="AF144" s="6" t="n">
        <v>22538130.06246718</v>
      </c>
      <c r="AG144" s="6" t="n">
        <v>3197609.159470124</v>
      </c>
      <c r="AH144" s="6" t="n">
        <v>3304447.68725686</v>
      </c>
      <c r="AI144" s="6" t="n">
        <v>2229620.654784126</v>
      </c>
      <c r="AJ144" s="6" t="n">
        <v>4222904.14225341</v>
      </c>
      <c r="AK144" s="6" t="n">
        <v>4206418.969391014</v>
      </c>
      <c r="AL144" s="6" t="n">
        <v>3120256.199796963</v>
      </c>
      <c r="AM144" s="6" t="n">
        <v>3013674.099917906</v>
      </c>
      <c r="AN144" s="6" t="n">
        <v>3124093.246596421</v>
      </c>
      <c r="AO144" s="6" t="n">
        <v>2110198.635118132</v>
      </c>
      <c r="AP144" s="6" t="n">
        <v>4056312.651841991</v>
      </c>
      <c r="AQ144" s="6" t="n">
        <v>4045396.338653687</v>
      </c>
      <c r="AR144" s="6" t="n">
        <v>2932059.351416961</v>
      </c>
    </row>
    <row r="145">
      <c r="A145" t="inlineStr">
        <is>
          <t>AyE</t>
        </is>
      </c>
      <c r="B145" s="8" t="n">
        <v>202412</v>
      </c>
      <c r="C145" s="8" t="n">
        <v>2024</v>
      </c>
      <c r="D145" s="9" t="n">
        <v>3328962.404236098</v>
      </c>
      <c r="E145" s="10" t="n">
        <v>0.03788122375960931</v>
      </c>
      <c r="F145" s="22">
        <f>D145*(1-E145)</f>
        <v/>
      </c>
      <c r="G145" s="10" t="n">
        <v>0.6681201383033522</v>
      </c>
      <c r="H145" s="10" t="n">
        <v>0.04552550587440064</v>
      </c>
      <c r="I145" s="10" t="n">
        <v>0.02670085632523291</v>
      </c>
      <c r="J145" s="10" t="n">
        <v>0.02225118082238001</v>
      </c>
      <c r="K145" s="9" t="n">
        <v>13267920.02212336</v>
      </c>
      <c r="L145" s="18" t="n">
        <v>19858584.19986619</v>
      </c>
      <c r="M145" s="18" t="n">
        <v>19092901.12506606</v>
      </c>
      <c r="N145" s="23">
        <f>IF(L145=0,"",M145/L145)</f>
        <v/>
      </c>
      <c r="O145" s="9" t="n">
        <v>14226213.61927702</v>
      </c>
      <c r="P145" s="22">
        <f>M145*G145*(1+H145+I145)</f>
        <v/>
      </c>
      <c r="Q145" s="9" t="n">
        <v>13930986.73172788</v>
      </c>
      <c r="R145" s="22">
        <f>P145-M145*G145*J145</f>
        <v/>
      </c>
      <c r="S145" s="22">
        <f>IF(A145=A144,O145-O144,"")</f>
        <v/>
      </c>
      <c r="T145" s="22">
        <f>IF(A145=A144,P145-P144,"")</f>
        <v/>
      </c>
      <c r="U145" s="22">
        <f>IF(A145=A144,Q145-Q144,"")</f>
        <v/>
      </c>
      <c r="V145" s="22">
        <f>IF(A145=A144,R145-R144,"")</f>
        <v/>
      </c>
      <c r="W145" s="22">
        <f>IF(S145="","",D145-S145)</f>
        <v/>
      </c>
      <c r="X145" s="22">
        <f>IF(T145="","",D145-T145)</f>
        <v/>
      </c>
      <c r="Y145" s="22">
        <f>IF(U145="","",F145-U145)</f>
        <v/>
      </c>
      <c r="Z145" s="22">
        <f>IF(V145="","",F145-V145)</f>
        <v/>
      </c>
      <c r="AA145" s="9" t="n">
        <v>20598313.77392738</v>
      </c>
      <c r="AB145" s="9" t="n">
        <v>18303490.6831742</v>
      </c>
      <c r="AC145" s="9" t="n">
        <v>9868390.166204507</v>
      </c>
      <c r="AD145" s="9" t="n">
        <v>3149029.745344406</v>
      </c>
      <c r="AE145" s="9" t="n">
        <v>1562850.649116459</v>
      </c>
      <c r="AF145" s="9" t="n">
        <v>22491081.42807036</v>
      </c>
      <c r="AG145" s="9" t="n">
        <v>2931511.974664115</v>
      </c>
      <c r="AH145" s="9" t="n">
        <v>3012293.232552902</v>
      </c>
      <c r="AI145" s="9" t="n">
        <v>2233221.057456045</v>
      </c>
      <c r="AJ145" s="9" t="n">
        <v>4388297.192143831</v>
      </c>
      <c r="AK145" s="9" t="n">
        <v>4342212.346865546</v>
      </c>
      <c r="AL145" s="9" t="n">
        <v>3095571.189132</v>
      </c>
      <c r="AM145" s="9" t="n">
        <v>2751238.506581251</v>
      </c>
      <c r="AN145" s="9" t="n">
        <v>2837138.389921278</v>
      </c>
      <c r="AO145" s="9" t="n">
        <v>2103887.599644268</v>
      </c>
      <c r="AP145" s="9" t="n">
        <v>4225797.29984006</v>
      </c>
      <c r="AQ145" s="9" t="n">
        <v>4185808.577603214</v>
      </c>
      <c r="AR145" s="9" t="n">
        <v>2905285.799825184</v>
      </c>
    </row>
    <row r="146">
      <c r="A146" s="4" t="inlineStr">
        <is>
          <t>AyE</t>
        </is>
      </c>
      <c r="B146" s="5" t="n">
        <v>202501</v>
      </c>
      <c r="C146" s="5" t="n">
        <v>2025</v>
      </c>
      <c r="D146" s="6" t="n">
        <v>5124716.87357373</v>
      </c>
      <c r="E146" s="11" t="n">
        <v>0.1182516354974524</v>
      </c>
      <c r="F146" s="22">
        <f>D146*(1-E146)</f>
        <v/>
      </c>
      <c r="G146" s="11" t="n">
        <v>0.671832143863897</v>
      </c>
      <c r="H146" s="11" t="n">
        <v>0.04125803968719854</v>
      </c>
      <c r="I146" s="11" t="n">
        <v>0.03113150582290439</v>
      </c>
      <c r="J146" s="11" t="n">
        <v>0.08708467909147638</v>
      </c>
      <c r="K146" s="6" t="n">
        <v>14720183.93684954</v>
      </c>
      <c r="L146" s="18" t="n">
        <v>21910508.55677966</v>
      </c>
      <c r="M146" s="18" t="n">
        <v>20782229.01870607</v>
      </c>
      <c r="N146" s="23">
        <f>IF(L146=0,"",M146/L146)</f>
        <v/>
      </c>
      <c r="O146" s="6" t="n">
        <v>15785771.36186319</v>
      </c>
      <c r="P146" s="22">
        <f>M146*G146*(1+H146+I146)</f>
        <v/>
      </c>
      <c r="Q146" s="6" t="n">
        <v>14503868.86755515</v>
      </c>
      <c r="R146" s="22">
        <f>P146-M146*G146*J146</f>
        <v/>
      </c>
      <c r="S146" s="22">
        <f>IF(A146=A145,O146-O145,"")</f>
        <v/>
      </c>
      <c r="T146" s="22">
        <f>IF(A146=A145,P146-P145,"")</f>
        <v/>
      </c>
      <c r="U146" s="22">
        <f>IF(A146=A145,Q146-Q145,"")</f>
        <v/>
      </c>
      <c r="V146" s="22">
        <f>IF(A146=A145,R146-R145,"")</f>
        <v/>
      </c>
      <c r="W146" s="22">
        <f>IF(S146="","",D146-S146)</f>
        <v/>
      </c>
      <c r="X146" s="22">
        <f>IF(T146="","",D146-T146)</f>
        <v/>
      </c>
      <c r="Y146" s="22">
        <f>IF(U146="","",F146-U146)</f>
        <v/>
      </c>
      <c r="Z146" s="22">
        <f>IF(V146="","",F146-V146)</f>
        <v/>
      </c>
      <c r="AA146" s="6" t="n">
        <v>22477970.96276863</v>
      </c>
      <c r="AB146" s="6" t="n">
        <v>19830276.33553661</v>
      </c>
      <c r="AC146" s="6" t="n">
        <v>9213627.456853015</v>
      </c>
      <c r="AD146" s="6" t="n">
        <v>3364145.037340529</v>
      </c>
      <c r="AE146" s="6" t="n">
        <v>1989781.202310241</v>
      </c>
      <c r="AF146" s="6" t="n">
        <v>23997585.96808538</v>
      </c>
      <c r="AG146" s="6" t="n">
        <v>3686246.42531698</v>
      </c>
      <c r="AH146" s="6" t="n">
        <v>3949863.522050189</v>
      </c>
      <c r="AI146" s="6" t="n">
        <v>5556091.8215897</v>
      </c>
      <c r="AJ146" s="6" t="n">
        <v>4956854.950396093</v>
      </c>
      <c r="AK146" s="6" t="n">
        <v>4810736.368974972</v>
      </c>
      <c r="AL146" s="6" t="n">
        <v>3947349.203423319</v>
      </c>
      <c r="AM146" s="6" t="n">
        <v>4089118.836893952</v>
      </c>
      <c r="AN146" s="6" t="n">
        <v>4231945.053094913</v>
      </c>
      <c r="AO146" s="6" t="n">
        <v>5342432.751430518</v>
      </c>
      <c r="AP146" s="6" t="n">
        <v>4500857.501454556</v>
      </c>
      <c r="AQ146" s="6" t="n">
        <v>4297910.866810077</v>
      </c>
      <c r="AR146" s="6" t="n">
        <v>4410989.887680457</v>
      </c>
    </row>
    <row r="147">
      <c r="A147" t="inlineStr">
        <is>
          <t>AyE</t>
        </is>
      </c>
      <c r="B147" s="8" t="n">
        <v>202502</v>
      </c>
      <c r="C147" s="8" t="n">
        <v>2025</v>
      </c>
      <c r="D147" s="9" t="n">
        <v>3061897.081439727</v>
      </c>
      <c r="E147" s="10" t="n">
        <v>0.1182516354974524</v>
      </c>
      <c r="F147" s="22">
        <f>D147*(1-E147)</f>
        <v/>
      </c>
      <c r="G147" s="10" t="n">
        <v>0.7100089693459483</v>
      </c>
      <c r="H147" s="10" t="n">
        <v>0.03979987492567939</v>
      </c>
      <c r="I147" s="10" t="n">
        <v>0.0430297442933544</v>
      </c>
      <c r="J147" s="10" t="n">
        <v>0.07568459191241252</v>
      </c>
      <c r="K147" s="9" t="n">
        <v>15013844.18996803</v>
      </c>
      <c r="L147" s="18" t="n">
        <v>21145992.28767293</v>
      </c>
      <c r="M147" s="18" t="n">
        <v>20079537.96213362</v>
      </c>
      <c r="N147" s="23">
        <f>IF(L147=0,"",M147/L147)</f>
        <v/>
      </c>
      <c r="O147" s="9" t="n">
        <v>16257435.18723698</v>
      </c>
      <c r="P147" s="22">
        <f>M147*G147*(1+H147+I147)</f>
        <v/>
      </c>
      <c r="Q147" s="9" t="n">
        <v>15121118.51668271</v>
      </c>
      <c r="R147" s="22">
        <f>P147-M147*G147*J147</f>
        <v/>
      </c>
      <c r="S147" s="22">
        <f>IF(A147=A146,O147-O146,"")</f>
        <v/>
      </c>
      <c r="T147" s="22">
        <f>IF(A147=A146,P147-P146,"")</f>
        <v/>
      </c>
      <c r="U147" s="22">
        <f>IF(A147=A146,Q147-Q146,"")</f>
        <v/>
      </c>
      <c r="V147" s="22">
        <f>IF(A147=A146,R147-R146,"")</f>
        <v/>
      </c>
      <c r="W147" s="22">
        <f>IF(S147="","",D147-S147)</f>
        <v/>
      </c>
      <c r="X147" s="22">
        <f>IF(T147="","",D147-T147)</f>
        <v/>
      </c>
      <c r="Y147" s="22">
        <f>IF(U147="","",F147-U147)</f>
        <v/>
      </c>
      <c r="Z147" s="22">
        <f>IF(V147="","",F147-V147)</f>
        <v/>
      </c>
      <c r="AA147" s="9" t="n">
        <v>21883869.6303174</v>
      </c>
      <c r="AB147" s="9" t="n">
        <v>19026050.76322916</v>
      </c>
      <c r="AC147" s="9" t="n">
        <v>9656107.647485262</v>
      </c>
      <c r="AD147" s="9" t="n">
        <v>4530544.919026497</v>
      </c>
      <c r="AE147" s="9" t="n">
        <v>3171205.599353889</v>
      </c>
      <c r="AF147" s="9" t="n">
        <v>23250740.3876532</v>
      </c>
      <c r="AG147" s="9" t="n">
        <v>2431776.563614804</v>
      </c>
      <c r="AH147" s="9" t="n">
        <v>2721347.928146554</v>
      </c>
      <c r="AI147" s="9" t="n">
        <v>2276203.724464499</v>
      </c>
      <c r="AJ147" s="9" t="n">
        <v>2002480.572616973</v>
      </c>
      <c r="AK147" s="9" t="n">
        <v>2057384.023093002</v>
      </c>
      <c r="AL147" s="9" t="n">
        <v>2475731.298578416</v>
      </c>
      <c r="AM147" s="9" t="n">
        <v>1930567.406315863</v>
      </c>
      <c r="AN147" s="9" t="n">
        <v>2221475.684821477</v>
      </c>
      <c r="AO147" s="9" t="n">
        <v>1893961.995132266</v>
      </c>
      <c r="AP147" s="9" t="n">
        <v>1687039.311409706</v>
      </c>
      <c r="AQ147" s="9" t="n">
        <v>1749305.224013386</v>
      </c>
      <c r="AR147" s="9" t="n">
        <v>1959066.287447294</v>
      </c>
    </row>
    <row r="148">
      <c r="A148" s="4" t="inlineStr">
        <is>
          <t>AyE</t>
        </is>
      </c>
      <c r="B148" s="5" t="n">
        <v>202503</v>
      </c>
      <c r="C148" s="5" t="n">
        <v>2025</v>
      </c>
      <c r="D148" s="6" t="n">
        <v>3385925.511046612</v>
      </c>
      <c r="E148" s="11" t="n">
        <v>0.1182516354974524</v>
      </c>
      <c r="F148" s="22">
        <f>D148*(1-E148)</f>
        <v/>
      </c>
      <c r="G148" s="11" t="n">
        <v>0.6958795073129884</v>
      </c>
      <c r="H148" s="11" t="n">
        <v>0.04060795385751927</v>
      </c>
      <c r="I148" s="11" t="n">
        <v>0.03636708087447198</v>
      </c>
      <c r="J148" s="11" t="n">
        <v>0.08304235204745637</v>
      </c>
      <c r="K148" s="6" t="n">
        <v>14564946.50006843</v>
      </c>
      <c r="L148" s="18" t="n">
        <v>20930270.75378079</v>
      </c>
      <c r="M148" s="18" t="n">
        <v>20068396.84580914</v>
      </c>
      <c r="N148" s="23">
        <f>IF(L148=0,"",M148/L148)</f>
        <v/>
      </c>
      <c r="O148" s="6" t="n">
        <v>15686083.76278079</v>
      </c>
      <c r="P148" s="22">
        <f>M148*G148*(1+H148+I148)</f>
        <v/>
      </c>
      <c r="Q148" s="6" t="n">
        <v>14476576.34796974</v>
      </c>
      <c r="R148" s="22">
        <f>P148-M148*G148*J148</f>
        <v/>
      </c>
      <c r="S148" s="22">
        <f>IF(A148=A147,O148-O147,"")</f>
        <v/>
      </c>
      <c r="T148" s="22">
        <f>IF(A148=A147,P148-P147,"")</f>
        <v/>
      </c>
      <c r="U148" s="22">
        <f>IF(A148=A147,Q148-Q147,"")</f>
        <v/>
      </c>
      <c r="V148" s="22">
        <f>IF(A148=A147,R148-R147,"")</f>
        <v/>
      </c>
      <c r="W148" s="22">
        <f>IF(S148="","",D148-S148)</f>
        <v/>
      </c>
      <c r="X148" s="22">
        <f>IF(T148="","",D148-T148)</f>
        <v/>
      </c>
      <c r="Y148" s="22">
        <f>IF(U148="","",F148-U148)</f>
        <v/>
      </c>
      <c r="Z148" s="22">
        <f>IF(V148="","",F148-V148)</f>
        <v/>
      </c>
      <c r="AA148" s="6" t="n">
        <v>21744081.81636188</v>
      </c>
      <c r="AB148" s="6" t="n">
        <v>18845724.23420894</v>
      </c>
      <c r="AC148" s="6" t="n">
        <v>10046665.61201661</v>
      </c>
      <c r="AD148" s="6" t="n">
        <v>5565759.0362804</v>
      </c>
      <c r="AE148" s="6" t="n">
        <v>4174603.90577231</v>
      </c>
      <c r="AF148" s="6" t="n">
        <v>22951759.17057315</v>
      </c>
      <c r="AG148" s="6" t="n">
        <v>3914664.350704094</v>
      </c>
      <c r="AH148" s="6" t="n">
        <v>3889678.827086512</v>
      </c>
      <c r="AI148" s="6" t="n">
        <v>3280300.175939563</v>
      </c>
      <c r="AJ148" s="6" t="n">
        <v>2697863.873320141</v>
      </c>
      <c r="AK148" s="6" t="n">
        <v>2695372.384961581</v>
      </c>
      <c r="AL148" s="6" t="n">
        <v>4060452.625230005</v>
      </c>
      <c r="AM148" s="6" t="n">
        <v>3594840.826560134</v>
      </c>
      <c r="AN148" s="6" t="n">
        <v>3555936.414985716</v>
      </c>
      <c r="AO148" s="6" t="n">
        <v>2941592.607211419</v>
      </c>
      <c r="AP148" s="6" t="n">
        <v>2375647.072738716</v>
      </c>
      <c r="AQ148" s="6" t="n">
        <v>2365810.709947617</v>
      </c>
      <c r="AR148" s="6" t="n">
        <v>3736966.543935638</v>
      </c>
    </row>
    <row r="149">
      <c r="A149" t="inlineStr">
        <is>
          <t>AyE</t>
        </is>
      </c>
      <c r="B149" s="8" t="n">
        <v>202504</v>
      </c>
      <c r="C149" s="8" t="n">
        <v>2025</v>
      </c>
      <c r="D149" s="9" t="n">
        <v>3393650.372176097</v>
      </c>
      <c r="E149" s="10" t="n">
        <v>0.1182516354974524</v>
      </c>
      <c r="F149" s="22">
        <f>D149*(1-E149)</f>
        <v/>
      </c>
      <c r="G149" s="10" t="n">
        <v>0.6912745581373937</v>
      </c>
      <c r="H149" s="10" t="n">
        <v>0.04087851999868197</v>
      </c>
      <c r="I149" s="10" t="n">
        <v>0.03635725432516941</v>
      </c>
      <c r="J149" s="10" t="n">
        <v>0.06929778778104653</v>
      </c>
      <c r="K149" s="9" t="n">
        <v>14992948.2609006</v>
      </c>
      <c r="L149" s="18" t="n">
        <v>21688847.19451904</v>
      </c>
      <c r="M149" s="18" t="n">
        <v>20167458.02224101</v>
      </c>
      <c r="N149" s="23">
        <f>IF(L149=0,"",M149/L149)</f>
        <v/>
      </c>
      <c r="O149" s="9" t="n">
        <v>16150940.2292287</v>
      </c>
      <c r="P149" s="22">
        <f>M149*G149*(1+H149+I149)</f>
        <v/>
      </c>
      <c r="Q149" s="9" t="n">
        <v>15111962.0824326</v>
      </c>
      <c r="R149" s="22">
        <f>P149-M149*G149*J149</f>
        <v/>
      </c>
      <c r="S149" s="22">
        <f>IF(A149=A148,O149-O148,"")</f>
        <v/>
      </c>
      <c r="T149" s="22">
        <f>IF(A149=A148,P149-P148,"")</f>
        <v/>
      </c>
      <c r="U149" s="22">
        <f>IF(A149=A148,Q149-Q148,"")</f>
        <v/>
      </c>
      <c r="V149" s="22">
        <f>IF(A149=A148,R149-R148,"")</f>
        <v/>
      </c>
      <c r="W149" s="22">
        <f>IF(S149="","",D149-S149)</f>
        <v/>
      </c>
      <c r="X149" s="22">
        <f>IF(T149="","",D149-T149)</f>
        <v/>
      </c>
      <c r="Y149" s="22">
        <f>IF(U149="","",F149-U149)</f>
        <v/>
      </c>
      <c r="Z149" s="22">
        <f>IF(V149="","",F149-V149)</f>
        <v/>
      </c>
      <c r="AA149" s="9" t="n">
        <v>21751721.7141406</v>
      </c>
      <c r="AB149" s="9" t="n">
        <v>18943449.72793809</v>
      </c>
      <c r="AC149" s="9" t="n">
        <v>10537231.7738882</v>
      </c>
      <c r="AD149" s="9" t="n">
        <v>6356270.020034803</v>
      </c>
      <c r="AE149" s="9" t="n">
        <v>4951813.336273979</v>
      </c>
      <c r="AF149" s="9" t="n">
        <v>22811712.03278322</v>
      </c>
      <c r="AG149" s="9" t="n">
        <v>3491879.923635111</v>
      </c>
      <c r="AH149" s="9" t="n">
        <v>3410944.520423808</v>
      </c>
      <c r="AI149" s="9" t="n">
        <v>3076357.335283563</v>
      </c>
      <c r="AJ149" s="9" t="n">
        <v>2831583.693198581</v>
      </c>
      <c r="AK149" s="9" t="n">
        <v>2834840.332893879</v>
      </c>
      <c r="AL149" s="9" t="n">
        <v>3607629.089564716</v>
      </c>
      <c r="AM149" s="9" t="n">
        <v>2876029.793865826</v>
      </c>
      <c r="AN149" s="9" t="n">
        <v>2828056.252552459</v>
      </c>
      <c r="AO149" s="9" t="n">
        <v>2599254.648934009</v>
      </c>
      <c r="AP149" s="9" t="n">
        <v>2413137.320029559</v>
      </c>
      <c r="AQ149" s="9" t="n">
        <v>2429506.487769282</v>
      </c>
      <c r="AR149" s="9" t="n">
        <v>2972767.901388844</v>
      </c>
    </row>
    <row r="150">
      <c r="A150" s="4" t="inlineStr">
        <is>
          <t>AyE</t>
        </is>
      </c>
      <c r="B150" s="5" t="n">
        <v>202505</v>
      </c>
      <c r="C150" s="5" t="n">
        <v>2025</v>
      </c>
      <c r="D150" s="6" t="n">
        <v>3733131.202467129</v>
      </c>
      <c r="E150" s="11" t="n">
        <v>0.1182516354974524</v>
      </c>
      <c r="F150" s="22">
        <f>D150*(1-E150)</f>
        <v/>
      </c>
      <c r="G150" s="11" t="n">
        <v>0.6813886557525699</v>
      </c>
      <c r="H150" s="11" t="n">
        <v>0.04147155317365774</v>
      </c>
      <c r="I150" s="11" t="n">
        <v>0.03834470479872483</v>
      </c>
      <c r="J150" s="11" t="n">
        <v>0.05025017874291434</v>
      </c>
      <c r="K150" s="6" t="n">
        <v>14886392.59217249</v>
      </c>
      <c r="L150" s="18" t="n">
        <v>21847138.87807684</v>
      </c>
      <c r="M150" s="18" t="n">
        <v>20579738.58323097</v>
      </c>
      <c r="N150" s="23">
        <f>IF(L150=0,"",M150/L150)</f>
        <v/>
      </c>
      <c r="O150" s="6" t="n">
        <v>16074568.7435875</v>
      </c>
      <c r="P150" s="22">
        <f>M150*G150*(1+H150+I150)</f>
        <v/>
      </c>
      <c r="Q150" s="6" t="n">
        <v>15326524.85499363</v>
      </c>
      <c r="R150" s="22">
        <f>P150-M150*G150*J150</f>
        <v/>
      </c>
      <c r="S150" s="22">
        <f>IF(A150=A149,O150-O149,"")</f>
        <v/>
      </c>
      <c r="T150" s="22">
        <f>IF(A150=A149,P150-P149,"")</f>
        <v/>
      </c>
      <c r="U150" s="22">
        <f>IF(A150=A149,Q150-Q149,"")</f>
        <v/>
      </c>
      <c r="V150" s="22">
        <f>IF(A150=A149,R150-R149,"")</f>
        <v/>
      </c>
      <c r="W150" s="22">
        <f>IF(S150="","",D150-S150)</f>
        <v/>
      </c>
      <c r="X150" s="22">
        <f>IF(T150="","",D150-T150)</f>
        <v/>
      </c>
      <c r="Y150" s="22">
        <f>IF(U150="","",F150-U150)</f>
        <v/>
      </c>
      <c r="Z150" s="22">
        <f>IF(V150="","",F150-V150)</f>
        <v/>
      </c>
      <c r="AA150" s="6" t="n">
        <v>22221346.20543924</v>
      </c>
      <c r="AB150" s="6" t="n">
        <v>19246708.16170343</v>
      </c>
      <c r="AC150" s="6" t="n">
        <v>11919295.08767393</v>
      </c>
      <c r="AD150" s="6" t="n">
        <v>7714122.422404842</v>
      </c>
      <c r="AE150" s="6" t="n">
        <v>6265649.064308426</v>
      </c>
      <c r="AF150" s="6" t="n">
        <v>22944110.39602802</v>
      </c>
      <c r="AG150" s="6" t="n">
        <v>3580990.957934738</v>
      </c>
      <c r="AH150" s="6" t="n">
        <v>3678430.142256422</v>
      </c>
      <c r="AI150" s="6" t="n">
        <v>2809932.146512426</v>
      </c>
      <c r="AJ150" s="6" t="n">
        <v>2790572.421763393</v>
      </c>
      <c r="AK150" s="6" t="n">
        <v>2810471.555873049</v>
      </c>
      <c r="AL150" s="6" t="n">
        <v>3838537.877512303</v>
      </c>
      <c r="AM150" s="6" t="n">
        <v>2858408.7233714</v>
      </c>
      <c r="AN150" s="6" t="n">
        <v>2988523.486260856</v>
      </c>
      <c r="AO150" s="6" t="n">
        <v>2271825.350507046</v>
      </c>
      <c r="AP150" s="6" t="n">
        <v>2308764.872626616</v>
      </c>
      <c r="AQ150" s="6" t="n">
        <v>2346347.230031368</v>
      </c>
      <c r="AR150" s="6" t="n">
        <v>3089925.45610735</v>
      </c>
    </row>
    <row r="151">
      <c r="A151" t="inlineStr">
        <is>
          <t>AyE</t>
        </is>
      </c>
      <c r="B151" s="8" t="n">
        <v>202506</v>
      </c>
      <c r="C151" s="8" t="n">
        <v>2025</v>
      </c>
      <c r="D151" s="9" t="n">
        <v>4320662.181795076</v>
      </c>
      <c r="E151" s="10" t="n">
        <v>0.1182516354974524</v>
      </c>
      <c r="F151" s="22">
        <f>D151*(1-E151)</f>
        <v/>
      </c>
      <c r="G151" s="10" t="n">
        <v>0.6743314576550843</v>
      </c>
      <c r="H151" s="10" t="n">
        <v>0.04169767855611263</v>
      </c>
      <c r="I151" s="10" t="n">
        <v>0.03478688410188169</v>
      </c>
      <c r="J151" s="10" t="n">
        <v>0.05954889780275602</v>
      </c>
      <c r="K151" s="9" t="n">
        <v>15534571.969156</v>
      </c>
      <c r="L151" s="18" t="n">
        <v>23036997.29977868</v>
      </c>
      <c r="M151" s="18" t="n">
        <v>21213308.45710278</v>
      </c>
      <c r="N151" s="23">
        <f>IF(L151=0,"",M151/L151)</f>
        <v/>
      </c>
      <c r="O151" s="9" t="n">
        <v>16722726.91229603</v>
      </c>
      <c r="P151" s="22">
        <f>M151*G151*(1+H151+I151)</f>
        <v/>
      </c>
      <c r="Q151" s="9" t="n">
        <v>15797660.2736952</v>
      </c>
      <c r="R151" s="22">
        <f>P151-M151*G151*J151</f>
        <v/>
      </c>
      <c r="S151" s="22">
        <f>IF(A151=A150,O151-O150,"")</f>
        <v/>
      </c>
      <c r="T151" s="22">
        <f>IF(A151=A150,P151-P150,"")</f>
        <v/>
      </c>
      <c r="U151" s="22">
        <f>IF(A151=A150,Q151-Q150,"")</f>
        <v/>
      </c>
      <c r="V151" s="22">
        <f>IF(A151=A150,R151-R150,"")</f>
        <v/>
      </c>
      <c r="W151" s="22">
        <f>IF(S151="","",D151-S151)</f>
        <v/>
      </c>
      <c r="X151" s="22">
        <f>IF(T151="","",D151-T151)</f>
        <v/>
      </c>
      <c r="Y151" s="22">
        <f>IF(U151="","",F151-U151)</f>
        <v/>
      </c>
      <c r="Z151" s="22">
        <f>IF(V151="","",F151-V151)</f>
        <v/>
      </c>
      <c r="AA151" s="9" t="n">
        <v>23031980.10293564</v>
      </c>
      <c r="AB151" s="9" t="n">
        <v>19932018.43406852</v>
      </c>
      <c r="AC151" s="9" t="n">
        <v>13058115.28486048</v>
      </c>
      <c r="AD151" s="9" t="n">
        <v>8741893.774888583</v>
      </c>
      <c r="AE151" s="9" t="n">
        <v>7160268.961883821</v>
      </c>
      <c r="AF151" s="9" t="n">
        <v>23384044.18021084</v>
      </c>
      <c r="AG151" s="9" t="n">
        <v>3951478.260751445</v>
      </c>
      <c r="AH151" s="9" t="n">
        <v>4013100.425647518</v>
      </c>
      <c r="AI151" s="9" t="n">
        <v>3611593.571896361</v>
      </c>
      <c r="AJ151" s="9" t="n">
        <v>3650711.705432121</v>
      </c>
      <c r="AK151" s="9" t="n">
        <v>3733075.036947739</v>
      </c>
      <c r="AL151" s="9" t="n">
        <v>4227703.83626391</v>
      </c>
      <c r="AM151" s="9" t="n">
        <v>3604561.350181548</v>
      </c>
      <c r="AN151" s="9" t="n">
        <v>3643553.713958273</v>
      </c>
      <c r="AO151" s="9" t="n">
        <v>3216910.405195087</v>
      </c>
      <c r="AP151" s="9" t="n">
        <v>3226692.362856987</v>
      </c>
      <c r="AQ151" s="9" t="n">
        <v>3295140.03614828</v>
      </c>
      <c r="AR151" s="9" t="n">
        <v>3870176.928551095</v>
      </c>
    </row>
    <row r="152">
      <c r="A152" s="4" t="inlineStr">
        <is>
          <t>AyE</t>
        </is>
      </c>
      <c r="B152" s="5" t="n">
        <v>202507</v>
      </c>
      <c r="C152" s="5" t="n">
        <v>2025</v>
      </c>
      <c r="D152" s="6" t="n">
        <v>5242988.721346195</v>
      </c>
      <c r="E152" s="11" t="n">
        <v>0.1182516354974524</v>
      </c>
      <c r="F152" s="22">
        <f>D152*(1-E152)</f>
        <v/>
      </c>
      <c r="G152" s="11" t="n">
        <v>0.6580466836522177</v>
      </c>
      <c r="H152" s="11" t="n">
        <v>0.04294269069354451</v>
      </c>
      <c r="I152" s="11" t="n">
        <v>0.02418960483522047</v>
      </c>
      <c r="J152" s="11" t="n">
        <v>0.05300615932978844</v>
      </c>
      <c r="K152" s="6" t="n">
        <v>15609592.13483146</v>
      </c>
      <c r="L152" s="18" t="n">
        <v>23721101.43948577</v>
      </c>
      <c r="M152" s="18" t="n">
        <v>22717653.95138771</v>
      </c>
      <c r="N152" s="23">
        <f>IF(L152=0,"",M152/L152)</f>
        <v/>
      </c>
      <c r="O152" s="6" t="n">
        <v>16657499.88711045</v>
      </c>
      <c r="P152" s="22">
        <f>M152*G152*(1+H152+I152)</f>
        <v/>
      </c>
      <c r="Q152" s="6" t="n">
        <v>15830095.35933856</v>
      </c>
      <c r="R152" s="22">
        <f>P152-M152*G152*J152</f>
        <v/>
      </c>
      <c r="S152" s="22">
        <f>IF(A152=A151,O152-O151,"")</f>
        <v/>
      </c>
      <c r="T152" s="22">
        <f>IF(A152=A151,P152-P151,"")</f>
        <v/>
      </c>
      <c r="U152" s="22">
        <f>IF(A152=A151,Q152-Q151,"")</f>
        <v/>
      </c>
      <c r="V152" s="22">
        <f>IF(A152=A151,R152-R151,"")</f>
        <v/>
      </c>
      <c r="W152" s="22">
        <f>IF(S152="","",D152-S152)</f>
        <v/>
      </c>
      <c r="X152" s="22">
        <f>IF(T152="","",D152-T152)</f>
        <v/>
      </c>
      <c r="Y152" s="22">
        <f>IF(U152="","",F152-U152)</f>
        <v/>
      </c>
      <c r="Z152" s="22">
        <f>IF(V152="","",F152-V152)</f>
        <v/>
      </c>
      <c r="AA152" s="6" t="n">
        <v>24476584.2668119</v>
      </c>
      <c r="AB152" s="6" t="n">
        <v>21258365.95989776</v>
      </c>
      <c r="AC152" s="6" t="n">
        <v>15386531.2994704</v>
      </c>
      <c r="AD152" s="6" t="n">
        <v>10566277.48747944</v>
      </c>
      <c r="AE152" s="6" t="n">
        <v>8852994.968599029</v>
      </c>
      <c r="AF152" s="6" t="n">
        <v>24807064.91455507</v>
      </c>
      <c r="AG152" s="6" t="n">
        <v>4774056.408396325</v>
      </c>
      <c r="AH152" s="6" t="n">
        <v>4783677.769604207</v>
      </c>
      <c r="AI152" s="6" t="n">
        <v>3917197.153488741</v>
      </c>
      <c r="AJ152" s="6" t="n">
        <v>4168912.457668282</v>
      </c>
      <c r="AK152" s="6" t="n">
        <v>4223905.459372757</v>
      </c>
      <c r="AL152" s="6" t="n">
        <v>4797551.260564785</v>
      </c>
      <c r="AM152" s="6" t="n">
        <v>4082955.414828613</v>
      </c>
      <c r="AN152" s="6" t="n">
        <v>4104804.739795059</v>
      </c>
      <c r="AO152" s="6" t="n">
        <v>3309537.792864064</v>
      </c>
      <c r="AP152" s="6" t="n">
        <v>3566440.976825057</v>
      </c>
      <c r="AQ152" s="6" t="n">
        <v>3625185.024439868</v>
      </c>
      <c r="AR152" s="6" t="n">
        <v>4103840.228545045</v>
      </c>
    </row>
    <row r="153">
      <c r="A153" t="inlineStr">
        <is>
          <t>AyE</t>
        </is>
      </c>
      <c r="B153" s="8" t="n">
        <v>202508</v>
      </c>
      <c r="C153" s="8" t="n">
        <v>2025</v>
      </c>
      <c r="D153" s="9" t="n">
        <v>4133392.11594517</v>
      </c>
      <c r="E153" s="10" t="n">
        <v>0.1182516354974524</v>
      </c>
      <c r="F153" s="22">
        <f>D153*(1-E153)</f>
        <v/>
      </c>
      <c r="G153" s="10" t="n">
        <v>0.6465289258651592</v>
      </c>
      <c r="H153" s="10" t="n">
        <v>0.0437076460306013</v>
      </c>
      <c r="I153" s="10" t="n">
        <v>0.02485048547816779</v>
      </c>
      <c r="J153" s="10" t="n">
        <v>0.0771076643630375</v>
      </c>
      <c r="K153" s="9" t="n">
        <v>14751971.05698899</v>
      </c>
      <c r="L153" s="18" t="n">
        <v>22817186.46578494</v>
      </c>
      <c r="M153" s="18" t="n">
        <v>21220603.2217067</v>
      </c>
      <c r="N153" s="23">
        <f>IF(L153=0,"",M153/L153)</f>
        <v/>
      </c>
      <c r="O153" s="9" t="n">
        <v>15763338.6287276</v>
      </c>
      <c r="P153" s="22">
        <f>M153*G153*(1+H153+I153)</f>
        <v/>
      </c>
      <c r="Q153" s="9" t="n">
        <v>14625848.59577204</v>
      </c>
      <c r="R153" s="22">
        <f>P153-M153*G153*J153</f>
        <v/>
      </c>
      <c r="S153" s="22">
        <f>IF(A153=A152,O153-O152,"")</f>
        <v/>
      </c>
      <c r="T153" s="22">
        <f>IF(A153=A152,P153-P152,"")</f>
        <v/>
      </c>
      <c r="U153" s="22">
        <f>IF(A153=A152,Q153-Q152,"")</f>
        <v/>
      </c>
      <c r="V153" s="22">
        <f>IF(A153=A152,R153-R152,"")</f>
        <v/>
      </c>
      <c r="W153" s="22">
        <f>IF(S153="","",D153-S153)</f>
        <v/>
      </c>
      <c r="X153" s="22">
        <f>IF(T153="","",D153-T153)</f>
        <v/>
      </c>
      <c r="Y153" s="22">
        <f>IF(U153="","",F153-U153)</f>
        <v/>
      </c>
      <c r="Z153" s="22">
        <f>IF(V153="","",F153-V153)</f>
        <v/>
      </c>
      <c r="AA153" s="9" t="n">
        <v>23431915.39881967</v>
      </c>
      <c r="AB153" s="9" t="n">
        <v>20069541.11527602</v>
      </c>
      <c r="AC153" s="9" t="n">
        <v>15325319.81381067</v>
      </c>
      <c r="AD153" s="9" t="n">
        <v>10182063.45475354</v>
      </c>
      <c r="AE153" s="9" t="n">
        <v>8328213.218719446</v>
      </c>
      <c r="AF153" s="9" t="n">
        <v>24443959.84846317</v>
      </c>
      <c r="AG153" s="9" t="n">
        <v>5133382.909045264</v>
      </c>
      <c r="AH153" s="9" t="n">
        <v>5196385.271812256</v>
      </c>
      <c r="AI153" s="9" t="n">
        <v>4350611.729807816</v>
      </c>
      <c r="AJ153" s="9" t="n">
        <v>4518957.169544803</v>
      </c>
      <c r="AK153" s="9" t="n">
        <v>4596590.376083842</v>
      </c>
      <c r="AL153" s="9" t="n">
        <v>4666279.283268793</v>
      </c>
      <c r="AM153" s="9" t="n">
        <v>4958982.069897433</v>
      </c>
      <c r="AN153" s="9" t="n">
        <v>4966615.373790157</v>
      </c>
      <c r="AO153" s="9" t="n">
        <v>4089144.00970153</v>
      </c>
      <c r="AP153" s="9" t="n">
        <v>4169219.103265026</v>
      </c>
      <c r="AQ153" s="9" t="n">
        <v>4214193.743800543</v>
      </c>
      <c r="AR153" s="9" t="n">
        <v>4530803.884205512</v>
      </c>
    </row>
    <row r="154">
      <c r="A154" s="4" t="inlineStr">
        <is>
          <t>AyE</t>
        </is>
      </c>
      <c r="B154" s="5" t="n">
        <v>202509</v>
      </c>
      <c r="C154" s="5" t="n">
        <v>2025</v>
      </c>
      <c r="D154" s="6" t="n">
        <v>2413177.12344484</v>
      </c>
      <c r="E154" s="11" t="n">
        <v>0.1182516354974524</v>
      </c>
      <c r="F154" s="22">
        <f>D154*(1-E154)</f>
        <v/>
      </c>
      <c r="G154" s="11" t="n">
        <v>0.6469051850236113</v>
      </c>
      <c r="H154" s="11" t="n">
        <v>0.04368226256680689</v>
      </c>
      <c r="I154" s="11" t="n">
        <v>0.02176189929271942</v>
      </c>
      <c r="J154" s="11" t="n">
        <v>0.06461925761582277</v>
      </c>
      <c r="K154" s="6" t="n">
        <v>13998151.7895461</v>
      </c>
      <c r="L154" s="18" t="n">
        <v>21638645.21975533</v>
      </c>
      <c r="M154" s="18" t="n">
        <v>19855416.36708938</v>
      </c>
      <c r="N154" s="23">
        <f>IF(L154=0,"",M154/L154)</f>
        <v/>
      </c>
      <c r="O154" s="6" t="n">
        <v>14914249.10099538</v>
      </c>
      <c r="P154" s="22">
        <f>M154*G154*(1+H154+I154)</f>
        <v/>
      </c>
      <c r="Q154" s="6" t="n">
        <v>14009698.92436131</v>
      </c>
      <c r="R154" s="22">
        <f>P154-M154*G154*J154</f>
        <v/>
      </c>
      <c r="S154" s="22">
        <f>IF(A154=A153,O154-O153,"")</f>
        <v/>
      </c>
      <c r="T154" s="22">
        <f>IF(A154=A153,P154-P153,"")</f>
        <v/>
      </c>
      <c r="U154" s="22">
        <f>IF(A154=A153,Q154-Q153,"")</f>
        <v/>
      </c>
      <c r="V154" s="22">
        <f>IF(A154=A153,R154-R153,"")</f>
        <v/>
      </c>
      <c r="W154" s="22">
        <f>IF(S154="","",D154-S154)</f>
        <v/>
      </c>
      <c r="X154" s="22">
        <f>IF(T154="","",D154-T154)</f>
        <v/>
      </c>
      <c r="Y154" s="22">
        <f>IF(U154="","",F154-U154)</f>
        <v/>
      </c>
      <c r="Z154" s="22">
        <f>IF(V154="","",F154-V154)</f>
        <v/>
      </c>
      <c r="AA154" s="6" t="n">
        <v>21733062.0431883</v>
      </c>
      <c r="AB154" s="6" t="n">
        <v>18558027.90457853</v>
      </c>
      <c r="AC154" s="6" t="n">
        <v>14987651.87113173</v>
      </c>
      <c r="AD154" s="6" t="n">
        <v>9630899.828178052</v>
      </c>
      <c r="AE154" s="6" t="n">
        <v>7630634.633782825</v>
      </c>
      <c r="AF154" s="6" t="n">
        <v>22691398.09197086</v>
      </c>
      <c r="AG154" s="6" t="n">
        <v>3621878.455161375</v>
      </c>
      <c r="AH154" s="6" t="n">
        <v>3487334.427207831</v>
      </c>
      <c r="AI154" s="6" t="n">
        <v>2670622.199809465</v>
      </c>
      <c r="AJ154" s="6" t="n">
        <v>2809479.327240128</v>
      </c>
      <c r="AK154" s="6" t="n">
        <v>2907405.444706726</v>
      </c>
      <c r="AL154" s="6" t="n">
        <v>3660528.314678795</v>
      </c>
      <c r="AM154" s="6" t="n">
        <v>3076877.646646377</v>
      </c>
      <c r="AN154" s="6" t="n">
        <v>2977231.360538999</v>
      </c>
      <c r="AO154" s="6" t="n">
        <v>2247778.883490928</v>
      </c>
      <c r="AP154" s="6" t="n">
        <v>2419113.549068154</v>
      </c>
      <c r="AQ154" s="6" t="n">
        <v>2525842.278908168</v>
      </c>
      <c r="AR154" s="6" t="n">
        <v>3105135.600920193</v>
      </c>
    </row>
    <row r="155">
      <c r="A155" t="inlineStr">
        <is>
          <t>AyE</t>
        </is>
      </c>
      <c r="B155" s="8" t="n">
        <v>202510</v>
      </c>
      <c r="C155" s="8" t="n">
        <v>2025</v>
      </c>
      <c r="D155" s="9" t="n">
        <v>4027627.085505151</v>
      </c>
      <c r="E155" s="10" t="n">
        <v>0.1182516354974524</v>
      </c>
      <c r="F155" s="22">
        <f>D155*(1-E155)</f>
        <v/>
      </c>
      <c r="G155" s="10" t="n">
        <v>0.6518434272746709</v>
      </c>
      <c r="H155" s="10" t="n">
        <v>0.04335127650704814</v>
      </c>
      <c r="I155" s="10" t="n">
        <v>0.02476455584718631</v>
      </c>
      <c r="J155" s="10" t="n">
        <v>0.0574273050988882</v>
      </c>
      <c r="K155" s="9" t="n">
        <v>13465778.17283472</v>
      </c>
      <c r="L155" s="18" t="n">
        <v>20657994.86409575</v>
      </c>
      <c r="M155" s="18" t="n">
        <v>19452200.58337697</v>
      </c>
      <c r="N155" s="23">
        <f>IF(L155=0,"",M155/L155)</f>
        <v/>
      </c>
      <c r="O155" s="9" t="n">
        <v>14383010.86137484</v>
      </c>
      <c r="P155" s="22">
        <f>M155*G155*(1+H155+I155)</f>
        <v/>
      </c>
      <c r="Q155" s="9" t="n">
        <v>13609707.50984951</v>
      </c>
      <c r="R155" s="22">
        <f>P155-M155*G155*J155</f>
        <v/>
      </c>
      <c r="S155" s="22">
        <f>IF(A155=A154,O155-O154,"")</f>
        <v/>
      </c>
      <c r="T155" s="22">
        <f>IF(A155=A154,P155-P154,"")</f>
        <v/>
      </c>
      <c r="U155" s="22">
        <f>IF(A155=A154,Q155-Q154,"")</f>
        <v/>
      </c>
      <c r="V155" s="22">
        <f>IF(A155=A154,R155-R154,"")</f>
        <v/>
      </c>
      <c r="W155" s="22">
        <f>IF(S155="","",D155-S155)</f>
        <v/>
      </c>
      <c r="X155" s="22">
        <f>IF(T155="","",D155-T155)</f>
        <v/>
      </c>
      <c r="Y155" s="22">
        <f>IF(U155="","",F155-U155)</f>
        <v/>
      </c>
      <c r="Z155" s="22">
        <f>IF(V155="","",F155-V155)</f>
        <v/>
      </c>
      <c r="AA155" s="9" t="n">
        <v>21209786.62856808</v>
      </c>
      <c r="AB155" s="9" t="n">
        <v>18159550.70583121</v>
      </c>
      <c r="AC155" s="9" t="n">
        <v>15267747.67559283</v>
      </c>
      <c r="AD155" s="9" t="n">
        <v>9228940.750098638</v>
      </c>
      <c r="AE155" s="9" t="n">
        <v>7182849.338390378</v>
      </c>
      <c r="AF155" s="9" t="n">
        <v>22897941.26146125</v>
      </c>
      <c r="AG155" s="9" t="n">
        <v>4239759.441760301</v>
      </c>
      <c r="AH155" s="9" t="n">
        <v>4175103.94608901</v>
      </c>
      <c r="AI155" s="9" t="n">
        <v>3727654.472116697</v>
      </c>
      <c r="AJ155" s="9" t="n">
        <v>4240044.257584889</v>
      </c>
      <c r="AK155" s="9" t="n">
        <v>4285958.221081623</v>
      </c>
      <c r="AL155" s="9" t="n">
        <v>3724916.261166812</v>
      </c>
      <c r="AM155" s="9" t="n">
        <v>3648947.822729002</v>
      </c>
      <c r="AN155" s="9" t="n">
        <v>3602835.449657723</v>
      </c>
      <c r="AO155" s="9" t="n">
        <v>3196386.106139939</v>
      </c>
      <c r="AP155" s="9" t="n">
        <v>3706647.34299043</v>
      </c>
      <c r="AQ155" s="9" t="n">
        <v>3759584.867149455</v>
      </c>
      <c r="AR155" s="9" t="n">
        <v>3157237.492487279</v>
      </c>
    </row>
    <row r="156">
      <c r="A156" s="4" t="inlineStr">
        <is>
          <t>AyE</t>
        </is>
      </c>
      <c r="B156" s="5" t="n">
        <v>202511</v>
      </c>
      <c r="C156" s="5" t="n">
        <v>2025</v>
      </c>
      <c r="D156" s="6" t="n">
        <v>4046522.300274956</v>
      </c>
      <c r="E156" s="11" t="n">
        <v>0.1182516354974524</v>
      </c>
      <c r="F156" s="22">
        <f>D156*(1-E156)</f>
        <v/>
      </c>
      <c r="G156" s="11" t="n">
        <v>0.6777464131097926</v>
      </c>
      <c r="H156" s="11" t="n">
        <v>0.04169439586497123</v>
      </c>
      <c r="I156" s="11" t="n">
        <v>0.02900769868061344</v>
      </c>
      <c r="J156" s="11" t="n">
        <v>0.05561371237640547</v>
      </c>
      <c r="K156" s="6" t="n">
        <v>14326938.00101665</v>
      </c>
      <c r="L156" s="18" t="n">
        <v>21139083.47412492</v>
      </c>
      <c r="M156" s="18" t="n">
        <v>19828982.42120933</v>
      </c>
      <c r="N156" s="23">
        <f>IF(L156=0,"",M156/L156)</f>
        <v/>
      </c>
      <c r="O156" s="6" t="n">
        <v>15339882.52611326</v>
      </c>
      <c r="P156" s="22">
        <f>M156*G156*(1+H156+I156)</f>
        <v/>
      </c>
      <c r="Q156" s="6" t="n">
        <v>14543108.31689013</v>
      </c>
      <c r="R156" s="22">
        <f>P156-M156*G156*J156</f>
        <v/>
      </c>
      <c r="S156" s="22">
        <f>IF(A156=A155,O156-O155,"")</f>
        <v/>
      </c>
      <c r="T156" s="22">
        <f>IF(A156=A155,P156-P155,"")</f>
        <v/>
      </c>
      <c r="U156" s="22">
        <f>IF(A156=A155,Q156-Q155,"")</f>
        <v/>
      </c>
      <c r="V156" s="22">
        <f>IF(A156=A155,R156-R155,"")</f>
        <v/>
      </c>
      <c r="W156" s="22">
        <f>IF(S156="","",D156-S156)</f>
        <v/>
      </c>
      <c r="X156" s="22">
        <f>IF(T156="","",D156-T156)</f>
        <v/>
      </c>
      <c r="Y156" s="22">
        <f>IF(U156="","",F156-U156)</f>
        <v/>
      </c>
      <c r="Z156" s="22">
        <f>IF(V156="","",F156-V156)</f>
        <v/>
      </c>
      <c r="AA156" s="6" t="n">
        <v>21634560.76693639</v>
      </c>
      <c r="AB156" s="6" t="n">
        <v>18482843.91577655</v>
      </c>
      <c r="AC156" s="6" t="n">
        <v>16470397.29834824</v>
      </c>
      <c r="AD156" s="6" t="n">
        <v>8774832.051481271</v>
      </c>
      <c r="AE156" s="6" t="n">
        <v>6625141.852998659</v>
      </c>
      <c r="AF156" s="6" t="n">
        <v>23120463.97469882</v>
      </c>
      <c r="AG156" s="6" t="n">
        <v>3114282.214024116</v>
      </c>
      <c r="AH156" s="6" t="n">
        <v>3277661.931078967</v>
      </c>
      <c r="AI156" s="6" t="n">
        <v>2724621.674891847</v>
      </c>
      <c r="AJ156" s="6" t="n">
        <v>4104535.404013746</v>
      </c>
      <c r="AK156" s="6" t="n">
        <v>4239909.824076656</v>
      </c>
      <c r="AL156" s="6" t="n">
        <v>3211383.014800577</v>
      </c>
      <c r="AM156" s="6" t="n">
        <v>2657265.160355243</v>
      </c>
      <c r="AN156" s="6" t="n">
        <v>2816031.730638637</v>
      </c>
      <c r="AO156" s="6" t="n">
        <v>2295388.979261833</v>
      </c>
      <c r="AP156" s="6" t="n">
        <v>3611295.860251249</v>
      </c>
      <c r="AQ156" s="6" t="n">
        <v>3742236.760816256</v>
      </c>
      <c r="AR156" s="6" t="n">
        <v>2747178.891578038</v>
      </c>
    </row>
    <row r="157">
      <c r="A157" t="inlineStr">
        <is>
          <t>AyE</t>
        </is>
      </c>
      <c r="B157" s="8" t="n">
        <v>202512</v>
      </c>
      <c r="C157" s="8" t="n">
        <v>2025</v>
      </c>
      <c r="D157" s="9" t="n">
        <v>2528352.382826266</v>
      </c>
      <c r="E157" s="10" t="n">
        <v>0.1182516354974524</v>
      </c>
      <c r="F157" s="22">
        <f>D157*(1-E157)</f>
        <v/>
      </c>
      <c r="G157" s="10" t="n">
        <v>0.680479188965156</v>
      </c>
      <c r="H157" s="10" t="n">
        <v>0.04152696136283896</v>
      </c>
      <c r="I157" s="10" t="n">
        <v>0.03409270084598331</v>
      </c>
      <c r="J157" s="10" t="n">
        <v>0.05565387134434299</v>
      </c>
      <c r="K157" s="9" t="n">
        <v>13736965.6663705</v>
      </c>
      <c r="L157" s="18" t="n">
        <v>20187194.39056042</v>
      </c>
      <c r="M157" s="18" t="n">
        <v>18776543.49267151</v>
      </c>
      <c r="N157" s="23">
        <f>IF(L157=0,"",M157/L157)</f>
        <v/>
      </c>
      <c r="O157" s="9" t="n">
        <v>14775750.36983563</v>
      </c>
      <c r="P157" s="22">
        <f>M157*G157*(1+H157+I157)</f>
        <v/>
      </c>
      <c r="Q157" s="9" t="n">
        <v>14011235.04997779</v>
      </c>
      <c r="R157" s="22">
        <f>P157-M157*G157*J157</f>
        <v/>
      </c>
      <c r="S157" s="22">
        <f>IF(A157=A156,O157-O156,"")</f>
        <v/>
      </c>
      <c r="T157" s="22">
        <f>IF(A157=A156,P157-P156,"")</f>
        <v/>
      </c>
      <c r="U157" s="22">
        <f>IF(A157=A156,Q157-Q156,"")</f>
        <v/>
      </c>
      <c r="V157" s="22">
        <f>IF(A157=A156,R157-R156,"")</f>
        <v/>
      </c>
      <c r="W157" s="22">
        <f>IF(S157="","",D157-S157)</f>
        <v/>
      </c>
      <c r="X157" s="22">
        <f>IF(T157="","",D157-T157)</f>
        <v/>
      </c>
      <c r="Y157" s="22">
        <f>IF(U157="","",F157-U157)</f>
        <v/>
      </c>
      <c r="Z157" s="22">
        <f>IF(V157="","",F157-V157)</f>
        <v/>
      </c>
      <c r="AA157" s="9" t="n">
        <v>20554394.39589451</v>
      </c>
      <c r="AB157" s="9" t="n">
        <v>17476268.95314799</v>
      </c>
      <c r="AC157" s="9" t="n">
        <v>16451259.69516358</v>
      </c>
      <c r="AD157" s="9" t="n">
        <v>7208039.768667931</v>
      </c>
      <c r="AE157" s="9" t="n">
        <v>5008498.537659552</v>
      </c>
      <c r="AF157" s="9" t="n">
        <v>21877801.3200928</v>
      </c>
      <c r="AG157" s="9" t="n">
        <v>3183267.627912649</v>
      </c>
      <c r="AH157" s="9" t="n">
        <v>3149171.854417447</v>
      </c>
      <c r="AI157" s="9" t="n">
        <v>2439052.769297588</v>
      </c>
      <c r="AJ157" s="9" t="n">
        <v>3620107.002701581</v>
      </c>
      <c r="AK157" s="9" t="n">
        <v>3670078.290797218</v>
      </c>
      <c r="AL157" s="9" t="n">
        <v>3292884.61922091</v>
      </c>
      <c r="AM157" s="9" t="n">
        <v>2847257.748991007</v>
      </c>
      <c r="AN157" s="9" t="n">
        <v>2815383.852518578</v>
      </c>
      <c r="AO157" s="9" t="n">
        <v>2142299.459016871</v>
      </c>
      <c r="AP157" s="9" t="n">
        <v>3263362.125950554</v>
      </c>
      <c r="AQ157" s="9" t="n">
        <v>3311060.035748619</v>
      </c>
      <c r="AR157" s="9" t="n">
        <v>2950987.227667653</v>
      </c>
    </row>
    <row r="158">
      <c r="A158" s="4" t="inlineStr">
        <is>
          <t>AyE</t>
        </is>
      </c>
      <c r="B158" s="5" t="n">
        <v>202601</v>
      </c>
      <c r="C158" s="5" t="n">
        <v>2026</v>
      </c>
      <c r="D158" s="6" t="n">
        <v>5151666.114039201</v>
      </c>
      <c r="E158" s="11" t="n">
        <v>0.1182516354974524</v>
      </c>
      <c r="F158" s="22">
        <f>D158*(1-E158)</f>
        <v/>
      </c>
      <c r="G158" s="11" t="n">
        <v>0.6750262356055076</v>
      </c>
      <c r="H158" s="11" t="n">
        <v>0.04186242234898609</v>
      </c>
      <c r="I158" s="11" t="n">
        <v>0.03072819773621715</v>
      </c>
      <c r="J158" s="11" t="n">
        <v>0.06320811017279516</v>
      </c>
      <c r="K158" s="6" t="n">
        <v>14892636.27992951</v>
      </c>
      <c r="L158" s="18" t="n">
        <v>22062307.35101816</v>
      </c>
      <c r="M158" s="18" t="n">
        <v>20343694.55810826</v>
      </c>
      <c r="N158" s="23">
        <f>IF(L158=0,"",M158/L158)</f>
        <v/>
      </c>
      <c r="O158" s="6" t="n">
        <v>15973701.98219298</v>
      </c>
      <c r="P158" s="22">
        <f>M158*G158*(1+H158+I158)</f>
        <v/>
      </c>
      <c r="Q158" s="6" t="n">
        <v>15032366.58744783</v>
      </c>
      <c r="R158" s="22">
        <f>P158-M158*G158*J158</f>
        <v/>
      </c>
      <c r="S158" s="22">
        <f>IF(A158=A157,O158-O157,"")</f>
        <v/>
      </c>
      <c r="T158" s="22">
        <f>IF(A158=A157,P158-P157,"")</f>
        <v/>
      </c>
      <c r="U158" s="22">
        <f>IF(A158=A157,Q158-Q157,"")</f>
        <v/>
      </c>
      <c r="V158" s="22">
        <f>IF(A158=A157,R158-R157,"")</f>
        <v/>
      </c>
      <c r="W158" s="22">
        <f>IF(S158="","",D158-S158)</f>
        <v/>
      </c>
      <c r="X158" s="22">
        <f>IF(T158="","",D158-T158)</f>
        <v/>
      </c>
      <c r="Y158" s="22">
        <f>IF(U158="","",F158-U158)</f>
        <v/>
      </c>
      <c r="Z158" s="22">
        <f>IF(V158="","",F158-V158)</f>
        <v/>
      </c>
      <c r="AA158" s="6" t="n">
        <v>22094711.6866998</v>
      </c>
      <c r="AB158" s="6" t="n">
        <v>19000105.19484428</v>
      </c>
      <c r="AC158" s="6" t="n">
        <v>15266156.69991241</v>
      </c>
      <c r="AD158" s="6" t="n">
        <v>7329066.820077642</v>
      </c>
      <c r="AE158" s="6" t="n">
        <v>5231032.430611204</v>
      </c>
      <c r="AF158" s="6" t="n">
        <v>23244836.20504615</v>
      </c>
      <c r="AG158" s="6" t="n">
        <v>4199020.089098619</v>
      </c>
      <c r="AH158" s="6" t="n">
        <v>4186604.87901172</v>
      </c>
      <c r="AI158" s="6" t="n">
        <v>6139841.699837113</v>
      </c>
      <c r="AJ158" s="6" t="n">
        <v>5121054.783334958</v>
      </c>
      <c r="AK158" s="6" t="n">
        <v>5030162.76680023</v>
      </c>
      <c r="AL158" s="6" t="n">
        <v>4334949.327637076</v>
      </c>
      <c r="AM158" s="6" t="n">
        <v>3754123.478538027</v>
      </c>
      <c r="AN158" s="6" t="n">
        <v>3726242.898584569</v>
      </c>
      <c r="AO158" s="6" t="n">
        <v>5558981.277972914</v>
      </c>
      <c r="AP158" s="6" t="n">
        <v>4551594.260775914</v>
      </c>
      <c r="AQ158" s="6" t="n">
        <v>4454484.621138966</v>
      </c>
      <c r="AR158" s="6" t="n">
        <v>3889006.090204397</v>
      </c>
    </row>
    <row r="159">
      <c r="A159" t="inlineStr">
        <is>
          <t>AyE</t>
        </is>
      </c>
      <c r="B159" s="8" t="n">
        <v>202602</v>
      </c>
      <c r="C159" s="8" t="n">
        <v>2026</v>
      </c>
      <c r="D159" s="9" t="n">
        <v>5161711.717216333</v>
      </c>
      <c r="E159" s="10" t="n">
        <v>0.1182516354974524</v>
      </c>
      <c r="F159" s="22">
        <f>D159*(1-E159)</f>
        <v/>
      </c>
      <c r="G159" s="10" t="n">
        <v>0.672542300446926</v>
      </c>
      <c r="H159" s="10" t="n">
        <v>0.04186242234898608</v>
      </c>
      <c r="I159" s="10" t="n">
        <v>0.03072819773621715</v>
      </c>
      <c r="J159" s="10" t="n">
        <v>0.06320811017279516</v>
      </c>
      <c r="K159" s="9" t="n">
        <v>15055375.13550529</v>
      </c>
      <c r="L159" s="18" t="n">
        <v>22385766.85139434</v>
      </c>
      <c r="M159" s="18" t="n">
        <v>21715801.42962258</v>
      </c>
      <c r="N159" s="23">
        <f>IF(L159=0,"",M159/L159)</f>
        <v/>
      </c>
      <c r="O159" s="9" t="n">
        <v>16148254.15220696</v>
      </c>
      <c r="P159" s="22">
        <f>M159*G159*(1+H159+I159)</f>
        <v/>
      </c>
      <c r="Q159" s="9" t="n">
        <v>15196632.34194919</v>
      </c>
      <c r="R159" s="22">
        <f>P159-M159*G159*J159</f>
        <v/>
      </c>
      <c r="S159" s="22">
        <f>IF(A159=A158,O159-O158,"")</f>
        <v/>
      </c>
      <c r="T159" s="22">
        <f>IF(A159=A158,P159-P158,"")</f>
        <v/>
      </c>
      <c r="U159" s="22">
        <f>IF(A159=A158,Q159-Q158,"")</f>
        <v/>
      </c>
      <c r="V159" s="22">
        <f>IF(A159=A158,R159-R158,"")</f>
        <v/>
      </c>
      <c r="W159" s="22">
        <f>IF(S159="","",D159-S159)</f>
        <v/>
      </c>
      <c r="X159" s="22">
        <f>IF(T159="","",D159-T159)</f>
        <v/>
      </c>
      <c r="Y159" s="22">
        <f>IF(U159="","",F159-U159)</f>
        <v/>
      </c>
      <c r="Z159" s="22">
        <f>IF(V159="","",F159-V159)</f>
        <v/>
      </c>
      <c r="AA159" s="9" t="n">
        <v>23576768.99152683</v>
      </c>
      <c r="AB159" s="9" t="n">
        <v>20294581.83261366</v>
      </c>
      <c r="AC159" s="9" t="n">
        <v>14919090.38981297</v>
      </c>
      <c r="AD159" s="9" t="n">
        <v>7831718.631123045</v>
      </c>
      <c r="AE159" s="9" t="n">
        <v>5704618.786290009</v>
      </c>
      <c r="AF159" s="9" t="n">
        <v>24472334.02833366</v>
      </c>
      <c r="AG159" s="9" t="n">
        <v>4151476.798523728</v>
      </c>
      <c r="AH159" s="9" t="n">
        <v>4278545.677713702</v>
      </c>
      <c r="AI159" s="9" t="n">
        <v>5452745.150308667</v>
      </c>
      <c r="AJ159" s="9" t="n">
        <v>4818643.952144557</v>
      </c>
      <c r="AK159" s="9" t="n">
        <v>4834021.004734534</v>
      </c>
      <c r="AL159" s="9" t="n">
        <v>4338170.692713069</v>
      </c>
      <c r="AM159" s="9" t="n">
        <v>3600629.414633479</v>
      </c>
      <c r="AN159" s="9" t="n">
        <v>3720210.083909092</v>
      </c>
      <c r="AO159" s="9" t="n">
        <v>4825213.603976779</v>
      </c>
      <c r="AP159" s="9" t="n">
        <v>4228480.193339166</v>
      </c>
      <c r="AQ159" s="9" t="n">
        <v>4242951.071274957</v>
      </c>
      <c r="AR159" s="9" t="n">
        <v>3776321.377599917</v>
      </c>
    </row>
    <row r="160">
      <c r="A160" s="4" t="inlineStr">
        <is>
          <t>AyE</t>
        </is>
      </c>
      <c r="B160" s="5" t="n">
        <v>202603</v>
      </c>
      <c r="C160" s="5" t="n">
        <v>2026</v>
      </c>
      <c r="D160" s="6" t="n">
        <v>6457915.255616595</v>
      </c>
      <c r="E160" s="11" t="n">
        <v>0.1182516354974524</v>
      </c>
      <c r="F160" s="22">
        <f>D160*(1-E160)</f>
        <v/>
      </c>
      <c r="G160" s="11" t="n">
        <v>0.6706762941409532</v>
      </c>
      <c r="H160" s="11" t="n">
        <v>0.039124216236148</v>
      </c>
      <c r="I160" s="11" t="n">
        <v>0.02707123696327121</v>
      </c>
      <c r="J160" s="11" t="n">
        <v>0.07411910259773098</v>
      </c>
      <c r="K160" s="6" t="n">
        <v>15014706.91373039</v>
      </c>
      <c r="L160" s="18" t="n">
        <v>22387412.59367491</v>
      </c>
      <c r="M160" s="18" t="n">
        <v>21316511.28511136</v>
      </c>
      <c r="N160" s="23">
        <f>IF(L160=0,"",M160/L160)</f>
        <v/>
      </c>
      <c r="O160" s="6" t="n">
        <v>16008612.24254123</v>
      </c>
      <c r="P160" s="22">
        <f>M160*G160*(1+H160+I160)</f>
        <v/>
      </c>
      <c r="Q160" s="6" t="n">
        <v>14895735.64032758</v>
      </c>
      <c r="R160" s="22">
        <f>P160-M160*G160*J160</f>
        <v/>
      </c>
      <c r="S160" s="22">
        <f>IF(A160=A159,O160-O159,"")</f>
        <v/>
      </c>
      <c r="T160" s="22">
        <f>IF(A160=A159,P160-P159,"")</f>
        <v/>
      </c>
      <c r="U160" s="22">
        <f>IF(A160=A159,Q160-Q159,"")</f>
        <v/>
      </c>
      <c r="V160" s="22">
        <f>IF(A160=A159,R160-R159,"")</f>
        <v/>
      </c>
      <c r="W160" s="22">
        <f>IF(S160="","",D160-S160)</f>
        <v/>
      </c>
      <c r="X160" s="22">
        <f>IF(T160="","",D160-T160)</f>
        <v/>
      </c>
      <c r="Y160" s="22">
        <f>IF(U160="","",F160-U160)</f>
        <v/>
      </c>
      <c r="Z160" s="22">
        <f>IF(V160="","",F160-V160)</f>
        <v/>
      </c>
      <c r="AA160" s="6" t="n">
        <v>23170402.55480339</v>
      </c>
      <c r="AB160" s="6" t="n">
        <v>19907403.67338621</v>
      </c>
      <c r="AC160" s="6" t="n">
        <v>14689554.57755759</v>
      </c>
      <c r="AD160" s="6" t="n">
        <v>7685182.17879692</v>
      </c>
      <c r="AE160" s="6" t="n">
        <v>5571049.473573327</v>
      </c>
      <c r="AF160" s="6" t="n">
        <v>26759514.56406254</v>
      </c>
      <c r="AG160" s="6" t="n">
        <v>6896807.312182241</v>
      </c>
      <c r="AH160" s="6" t="n">
        <v>6862439.557076815</v>
      </c>
      <c r="AI160" s="6" t="n">
        <v>6715899.141049665</v>
      </c>
      <c r="AJ160" s="6" t="n">
        <v>6611965.171437787</v>
      </c>
      <c r="AK160" s="6" t="n">
        <v>6589312.109772089</v>
      </c>
      <c r="AL160" s="6" t="n">
        <v>4976360.844637324</v>
      </c>
      <c r="AM160" s="6" t="n">
        <v>6282695.782330322</v>
      </c>
      <c r="AN160" s="6" t="n">
        <v>6225650.793036935</v>
      </c>
      <c r="AO160" s="6" t="n">
        <v>6048244.317848575</v>
      </c>
      <c r="AP160" s="6" t="n">
        <v>5897408.600622484</v>
      </c>
      <c r="AQ160" s="6" t="n">
        <v>5860085.446918268</v>
      </c>
      <c r="AR160" s="6" t="n">
        <v>4502593.219592719</v>
      </c>
    </row>
    <row r="161">
      <c r="A161" t="inlineStr">
        <is>
          <t>AyE</t>
        </is>
      </c>
      <c r="B161" s="8" t="n">
        <v>202604</v>
      </c>
      <c r="C161" s="8" t="n">
        <v>2026</v>
      </c>
      <c r="D161" s="9" t="n">
        <v>3757673.506657246</v>
      </c>
      <c r="E161" s="10" t="n">
        <v>0.1182516354974524</v>
      </c>
      <c r="F161" s="22">
        <f>D161*(1-E161)</f>
        <v/>
      </c>
      <c r="G161" s="10" t="n">
        <v>0.6635275965594754</v>
      </c>
      <c r="H161" s="10" t="n">
        <v>0.03954576610912252</v>
      </c>
      <c r="I161" s="10" t="n">
        <v>0.02271810061832576</v>
      </c>
      <c r="J161" s="10" t="n">
        <v>0.08813934328601061</v>
      </c>
      <c r="K161" s="9" t="n">
        <v>15443794.85425444</v>
      </c>
      <c r="L161" s="18" t="n">
        <v>23275286.41511467</v>
      </c>
      <c r="M161" s="18" t="n">
        <v>21211454.92232321</v>
      </c>
      <c r="N161" s="23">
        <f>IF(L161=0,"",M161/L161)</f>
        <v/>
      </c>
      <c r="O161" s="9" t="n">
        <v>16405385.23882579</v>
      </c>
      <c r="P161" s="22">
        <f>M161*G161*(1+H161+I161)</f>
        <v/>
      </c>
      <c r="Q161" s="9" t="n">
        <v>15044179.30252793</v>
      </c>
      <c r="R161" s="22">
        <f>P161-M161*G161*J161</f>
        <v/>
      </c>
      <c r="S161" s="22">
        <f>IF(A161=A160,O161-O160,"")</f>
        <v/>
      </c>
      <c r="T161" s="22">
        <f>IF(A161=A160,P161-P160,"")</f>
        <v/>
      </c>
      <c r="U161" s="22">
        <f>IF(A161=A160,Q161-Q160,"")</f>
        <v/>
      </c>
      <c r="V161" s="22">
        <f>IF(A161=A160,R161-R160,"")</f>
        <v/>
      </c>
      <c r="W161" s="22">
        <f>IF(S161="","",D161-S161)</f>
        <v/>
      </c>
      <c r="X161" s="22">
        <f>IF(T161="","",D161-T161)</f>
        <v/>
      </c>
      <c r="Y161" s="22">
        <f>IF(U161="","",F161-U161)</f>
        <v/>
      </c>
      <c r="Z161" s="22">
        <f>IF(V161="","",F161-V161)</f>
        <v/>
      </c>
      <c r="AA161" s="9" t="n">
        <v>23087709.10291534</v>
      </c>
      <c r="AB161" s="9" t="n">
        <v>19801904.26459696</v>
      </c>
      <c r="AC161" s="9" t="n">
        <v>14896219.39750075</v>
      </c>
      <c r="AD161" s="9" t="n">
        <v>8334799.231473732</v>
      </c>
      <c r="AE161" s="9" t="n">
        <v>6396895.111728742</v>
      </c>
      <c r="AF161" s="9" t="n">
        <v>26289691.44212155</v>
      </c>
      <c r="AG161" s="9" t="n">
        <v>4053006.973438862</v>
      </c>
      <c r="AH161" s="9" t="n">
        <v>4035699.037944335</v>
      </c>
      <c r="AI161" s="9" t="n">
        <v>3762290.911628851</v>
      </c>
      <c r="AJ161" s="9" t="n">
        <v>3378420.736794789</v>
      </c>
      <c r="AK161" s="9" t="n">
        <v>3232578.636712267</v>
      </c>
      <c r="AL161" s="9" t="n">
        <v>4362590.847322941</v>
      </c>
      <c r="AM161" s="9" t="n">
        <v>3807092.834728155</v>
      </c>
      <c r="AN161" s="9" t="n">
        <v>3759824.97729292</v>
      </c>
      <c r="AO161" s="9" t="n">
        <v>3458897.126639944</v>
      </c>
      <c r="AP161" s="9" t="n">
        <v>3039482.987218346</v>
      </c>
      <c r="AQ161" s="9" t="n">
        <v>2885400.038567734</v>
      </c>
      <c r="AR161" s="9" t="n">
        <v>4125523.389697183</v>
      </c>
    </row>
    <row r="162">
      <c r="A162" s="4" t="inlineStr">
        <is>
          <t>AyE</t>
        </is>
      </c>
      <c r="B162" s="5" t="n">
        <v>202605</v>
      </c>
      <c r="C162" s="5" t="n">
        <v>2026</v>
      </c>
      <c r="D162" s="6" t="n">
        <v>4756706.040785791</v>
      </c>
      <c r="E162" s="11" t="n">
        <v>0.1182516354974524</v>
      </c>
      <c r="F162" s="22">
        <f>D162*(1-E162)</f>
        <v/>
      </c>
      <c r="G162" s="11" t="n">
        <v>0.6750692597686505</v>
      </c>
      <c r="H162" s="11" t="n">
        <v>0.03886959168563518</v>
      </c>
      <c r="I162" s="11" t="n">
        <v>0.02645495418217396</v>
      </c>
      <c r="J162" s="11" t="n">
        <v>0.1091851552696121</v>
      </c>
      <c r="K162" s="6" t="n">
        <v>16569696.2704944</v>
      </c>
      <c r="L162" s="18" t="n">
        <v>24545179.66967259</v>
      </c>
      <c r="M162" s="18" t="n">
        <v>21259707.21528393</v>
      </c>
      <c r="N162" s="23">
        <f>IF(L162=0,"",M162/L162)</f>
        <v/>
      </c>
      <c r="O162" s="6" t="n">
        <v>17652104.15453198</v>
      </c>
      <c r="P162" s="22">
        <f>M162*G162*(1+H162+I162)</f>
        <v/>
      </c>
      <c r="Q162" s="6" t="n">
        <v>15842939.29446774</v>
      </c>
      <c r="R162" s="22">
        <f>P162-M162*G162*J162</f>
        <v/>
      </c>
      <c r="S162" s="22">
        <f>IF(A162=A161,O162-O161,"")</f>
        <v/>
      </c>
      <c r="T162" s="22">
        <f>IF(A162=A161,P162-P161,"")</f>
        <v/>
      </c>
      <c r="U162" s="22">
        <f>IF(A162=A161,Q162-Q161,"")</f>
        <v/>
      </c>
      <c r="V162" s="22">
        <f>IF(A162=A161,R162-R161,"")</f>
        <v/>
      </c>
      <c r="W162" s="22">
        <f>IF(S162="","",D162-S162)</f>
        <v/>
      </c>
      <c r="X162" s="22">
        <f>IF(T162="","",D162-T162)</f>
        <v/>
      </c>
      <c r="Y162" s="22">
        <f>IF(U162="","",F162-U162)</f>
        <v/>
      </c>
      <c r="Z162" s="22">
        <f>IF(V162="","",F162-V162)</f>
        <v/>
      </c>
      <c r="AA162" s="6" t="n">
        <v>23114806.81455559</v>
      </c>
      <c r="AB162" s="6" t="n">
        <v>19880419.94713323</v>
      </c>
      <c r="AC162" s="6" t="n">
        <v>13883455.39359785</v>
      </c>
      <c r="AD162" s="6" t="n">
        <v>9195544.740899483</v>
      </c>
      <c r="AE162" s="6" t="n">
        <v>7104994.583544013</v>
      </c>
      <c r="AF162" s="6" t="n">
        <v>26745556.01837485</v>
      </c>
      <c r="AG162" s="6" t="n">
        <v>4406453.046162112</v>
      </c>
      <c r="AH162" s="6" t="n">
        <v>4416548.853230411</v>
      </c>
      <c r="AI162" s="6" t="n">
        <v>5271643.230672548</v>
      </c>
      <c r="AJ162" s="6" t="n">
        <v>4018277.355086634</v>
      </c>
      <c r="AK162" s="6" t="n">
        <v>4155818.788262458</v>
      </c>
      <c r="AL162" s="6" t="n">
        <v>4052224.621957609</v>
      </c>
      <c r="AM162" s="6" t="n">
        <v>4197464.496489115</v>
      </c>
      <c r="AN162" s="6" t="n">
        <v>4161324.949650123</v>
      </c>
      <c r="AO162" s="6" t="n">
        <v>4861296.422557374</v>
      </c>
      <c r="AP162" s="6" t="n">
        <v>3646126.967489888</v>
      </c>
      <c r="AQ162" s="6" t="n">
        <v>3742913.314154803</v>
      </c>
      <c r="AR162" s="6" t="n">
        <v>3923588.501438712</v>
      </c>
    </row>
    <row r="163">
      <c r="A163" t="inlineStr">
        <is>
          <t>CAT</t>
        </is>
      </c>
      <c r="B163" s="8" t="n">
        <v>202201</v>
      </c>
      <c r="C163" s="8" t="n">
        <v>2022</v>
      </c>
      <c r="D163" s="9" t="n">
        <v>12598118.26418058</v>
      </c>
      <c r="E163" s="10" t="n">
        <v>0.2784904088744087</v>
      </c>
      <c r="F163" s="22">
        <f>D163*(1-E163)</f>
        <v/>
      </c>
      <c r="G163" s="10" t="n">
        <v>0.1607842216653735</v>
      </c>
      <c r="H163" s="10" t="n">
        <v>0</v>
      </c>
      <c r="I163" s="10" t="n">
        <v>0</v>
      </c>
      <c r="J163" s="10" t="n">
        <v>0.3116167838368631</v>
      </c>
      <c r="K163" s="9" t="n">
        <v>17307005.1971048</v>
      </c>
      <c r="L163" s="18" t="n">
        <v>107641191.5164437</v>
      </c>
      <c r="M163" s="18" t="n">
        <v>56476504.53417964</v>
      </c>
      <c r="N163" s="23">
        <f>IF(L163=0,"",M163/L163)</f>
        <v/>
      </c>
      <c r="O163" s="9" t="n">
        <v>17307005.1971048</v>
      </c>
      <c r="P163" s="22">
        <f>M163*G163*(1+H163+I163)</f>
        <v/>
      </c>
      <c r="Q163" s="9" t="n">
        <v>11913851.89973513</v>
      </c>
      <c r="R163" s="22">
        <f>P163-M163*G163*J163</f>
        <v/>
      </c>
      <c r="S163" s="22">
        <f>IF(A163=A162,O163-O162,"")</f>
        <v/>
      </c>
      <c r="T163" s="22">
        <f>IF(A163=A162,P163-P162,"")</f>
        <v/>
      </c>
      <c r="U163" s="22">
        <f>IF(A163=A162,Q163-Q162,"")</f>
        <v/>
      </c>
      <c r="V163" s="22">
        <f>IF(A163=A162,R163-R162,"")</f>
        <v/>
      </c>
      <c r="W163" s="22">
        <f>IF(S163="","",D163-S163)</f>
        <v/>
      </c>
      <c r="X163" s="22">
        <f>IF(T163="","",D163-T163)</f>
        <v/>
      </c>
      <c r="Y163" s="22">
        <f>IF(U163="","",F163-U163)</f>
        <v/>
      </c>
      <c r="Z163" s="22">
        <f>IF(V163="","",F163-V163)</f>
        <v/>
      </c>
      <c r="AA163" s="9" t="n">
        <v>53981955.210595</v>
      </c>
      <c r="AB163" s="9" t="n">
        <v>48410258.22470245</v>
      </c>
      <c r="AC163" s="9" t="n">
        <v>30806763.5012698</v>
      </c>
      <c r="AD163" s="9" t="n">
        <v>21785115.57519295</v>
      </c>
      <c r="AE163" s="9" t="n">
        <v>19990584.17409714</v>
      </c>
      <c r="AF163" s="9" t="n">
        <v>55406777.07979772</v>
      </c>
    </row>
    <row r="164">
      <c r="A164" s="4" t="inlineStr">
        <is>
          <t>CAT</t>
        </is>
      </c>
      <c r="B164" s="5" t="n">
        <v>202202</v>
      </c>
      <c r="C164" s="5" t="n">
        <v>2022</v>
      </c>
      <c r="D164" s="6" t="n">
        <v>6924293.641004911</v>
      </c>
      <c r="E164" s="11" t="n">
        <v>0.2784904088744087</v>
      </c>
      <c r="F164" s="22">
        <f>D164*(1-E164)</f>
        <v/>
      </c>
      <c r="G164" s="11" t="n">
        <v>0.1599872621876366</v>
      </c>
      <c r="H164" s="11" t="n">
        <v>0</v>
      </c>
      <c r="I164" s="11" t="n">
        <v>0</v>
      </c>
      <c r="J164" s="11" t="n">
        <v>0.3148294176680898</v>
      </c>
      <c r="K164" s="6" t="n">
        <v>16453286.41941017</v>
      </c>
      <c r="L164" s="18" t="n">
        <v>102841227.4479289</v>
      </c>
      <c r="M164" s="18" t="n">
        <v>54253811.78926214</v>
      </c>
      <c r="N164" s="23">
        <f>IF(L164=0,"",M164/L164)</f>
        <v/>
      </c>
      <c r="O164" s="6" t="n">
        <v>16453286.41941017</v>
      </c>
      <c r="P164" s="22">
        <f>M164*G164*(1+H164+I164)</f>
        <v/>
      </c>
      <c r="Q164" s="6" t="n">
        <v>11273307.83726098</v>
      </c>
      <c r="R164" s="22">
        <f>P164-M164*G164*J164</f>
        <v/>
      </c>
      <c r="S164" s="22">
        <f>IF(A164=A163,O164-O163,"")</f>
        <v/>
      </c>
      <c r="T164" s="22">
        <f>IF(A164=A163,P164-P163,"")</f>
        <v/>
      </c>
      <c r="U164" s="22">
        <f>IF(A164=A163,Q164-Q163,"")</f>
        <v/>
      </c>
      <c r="V164" s="22">
        <f>IF(A164=A163,R164-R163,"")</f>
        <v/>
      </c>
      <c r="W164" s="22">
        <f>IF(S164="","",D164-S164)</f>
        <v/>
      </c>
      <c r="X164" s="22">
        <f>IF(T164="","",D164-T164)</f>
        <v/>
      </c>
      <c r="Y164" s="22">
        <f>IF(U164="","",F164-U164)</f>
        <v/>
      </c>
      <c r="Z164" s="22">
        <f>IF(V164="","",F164-V164)</f>
        <v/>
      </c>
      <c r="AA164" s="6" t="n">
        <v>51663010.25800274</v>
      </c>
      <c r="AB164" s="6" t="n">
        <v>45907793.9619328</v>
      </c>
      <c r="AC164" s="6" t="n">
        <v>17839387.23028902</v>
      </c>
      <c r="AD164" s="6" t="n">
        <v>12978846.94140356</v>
      </c>
      <c r="AE164" s="6" t="n">
        <v>11063703.45380051</v>
      </c>
      <c r="AF164" s="6" t="n">
        <v>53259618.35277187</v>
      </c>
      <c r="AG164" s="6" t="n">
        <v>7338316.725965835</v>
      </c>
      <c r="AH164" s="6" t="n">
        <v>7363237.061239696</v>
      </c>
      <c r="AI164" s="6" t="n">
        <v>9023460.410506787</v>
      </c>
      <c r="AJ164" s="6" t="n">
        <v>8350546.304144979</v>
      </c>
      <c r="AK164" s="6" t="n">
        <v>8368412.532843809</v>
      </c>
      <c r="AL164" s="6" t="n">
        <v>7311968.643348668</v>
      </c>
      <c r="AM164" s="6" t="n">
        <v>5307504.595928697</v>
      </c>
      <c r="AN164" s="6" t="n">
        <v>5321701.267574318</v>
      </c>
      <c r="AO164" s="6" t="n">
        <v>6450144.542816468</v>
      </c>
      <c r="AP164" s="6" t="n">
        <v>5984423.54319304</v>
      </c>
      <c r="AQ164" s="6" t="n">
        <v>5995738.00877522</v>
      </c>
      <c r="AR164" s="6" t="n">
        <v>5290187.643489555</v>
      </c>
    </row>
    <row r="165">
      <c r="A165" t="inlineStr">
        <is>
          <t>CAT</t>
        </is>
      </c>
      <c r="B165" s="8" t="n">
        <v>202203</v>
      </c>
      <c r="C165" s="8" t="n">
        <v>2022</v>
      </c>
      <c r="D165" s="9" t="n">
        <v>9169121.432081182</v>
      </c>
      <c r="E165" s="10" t="n">
        <v>0.2784904088744087</v>
      </c>
      <c r="F165" s="22">
        <f>D165*(1-E165)</f>
        <v/>
      </c>
      <c r="G165" s="10" t="n">
        <v>0.1600950000232333</v>
      </c>
      <c r="H165" s="10" t="n">
        <v>0</v>
      </c>
      <c r="I165" s="10" t="n">
        <v>0</v>
      </c>
      <c r="J165" s="10" t="n">
        <v>0.2918857411647025</v>
      </c>
      <c r="K165" s="9" t="n">
        <v>16339850.0867222</v>
      </c>
      <c r="L165" s="18" t="n">
        <v>102063462.8461284</v>
      </c>
      <c r="M165" s="18" t="n">
        <v>54343045.56595503</v>
      </c>
      <c r="N165" s="23">
        <f>IF(L165=0,"",M165/L165)</f>
        <v/>
      </c>
      <c r="O165" s="9" t="n">
        <v>16339850.0867222</v>
      </c>
      <c r="P165" s="22">
        <f>M165*G165*(1+H165+I165)</f>
        <v/>
      </c>
      <c r="Q165" s="9" t="n">
        <v>11570480.83363916</v>
      </c>
      <c r="R165" s="22">
        <f>P165-M165*G165*J165</f>
        <v/>
      </c>
      <c r="S165" s="22">
        <f>IF(A165=A164,O165-O164,"")</f>
        <v/>
      </c>
      <c r="T165" s="22">
        <f>IF(A165=A164,P165-P164,"")</f>
        <v/>
      </c>
      <c r="U165" s="22">
        <f>IF(A165=A164,Q165-Q164,"")</f>
        <v/>
      </c>
      <c r="V165" s="22">
        <f>IF(A165=A164,R165-R164,"")</f>
        <v/>
      </c>
      <c r="W165" s="22">
        <f>IF(S165="","",D165-S165)</f>
        <v/>
      </c>
      <c r="X165" s="22">
        <f>IF(T165="","",D165-T165)</f>
        <v/>
      </c>
      <c r="Y165" s="22">
        <f>IF(U165="","",F165-U165)</f>
        <v/>
      </c>
      <c r="Z165" s="22">
        <f>IF(V165="","",F165-V165)</f>
        <v/>
      </c>
      <c r="AA165" s="9" t="n">
        <v>51597083.55403098</v>
      </c>
      <c r="AB165" s="9" t="n">
        <v>45575627.3480494</v>
      </c>
      <c r="AC165" s="9" t="n">
        <v>14594358.62279674</v>
      </c>
      <c r="AD165" s="9" t="n">
        <v>10687561.92570458</v>
      </c>
      <c r="AE165" s="9" t="n">
        <v>8731759.759110078</v>
      </c>
      <c r="AF165" s="9" t="n">
        <v>53049462.58451111</v>
      </c>
      <c r="AG165" s="9" t="n">
        <v>9174109.906849466</v>
      </c>
      <c r="AH165" s="9" t="n">
        <v>9217353.639780086</v>
      </c>
      <c r="AI165" s="9" t="n">
        <v>9686712.310104489</v>
      </c>
      <c r="AJ165" s="9" t="n">
        <v>9534546.393844737</v>
      </c>
      <c r="AK165" s="9" t="n">
        <v>9541261.97847303</v>
      </c>
      <c r="AL165" s="9" t="n">
        <v>9197028.243799739</v>
      </c>
      <c r="AM165" s="9" t="n">
        <v>6429502.26105772</v>
      </c>
      <c r="AN165" s="9" t="n">
        <v>6481249.414320914</v>
      </c>
      <c r="AO165" s="9" t="n">
        <v>6916639.569273299</v>
      </c>
      <c r="AP165" s="9" t="n">
        <v>6826730.280000391</v>
      </c>
      <c r="AQ165" s="9" t="n">
        <v>6838515.590749056</v>
      </c>
      <c r="AR165" s="9" t="n">
        <v>6439870.399312649</v>
      </c>
    </row>
    <row r="166">
      <c r="A166" s="4" t="inlineStr">
        <is>
          <t>CAT</t>
        </is>
      </c>
      <c r="B166" s="5" t="n">
        <v>202204</v>
      </c>
      <c r="C166" s="5" t="n">
        <v>2022</v>
      </c>
      <c r="D166" s="6" t="n">
        <v>10952435.83576846</v>
      </c>
      <c r="E166" s="11" t="n">
        <v>0.2784904088744087</v>
      </c>
      <c r="F166" s="22">
        <f>D166*(1-E166)</f>
        <v/>
      </c>
      <c r="G166" s="11" t="n">
        <v>0.1584409085511814</v>
      </c>
      <c r="H166" s="11" t="n">
        <v>0</v>
      </c>
      <c r="I166" s="11" t="n">
        <v>0</v>
      </c>
      <c r="J166" s="11" t="n">
        <v>0.3040945477919073</v>
      </c>
      <c r="K166" s="6" t="n">
        <v>16780126.25274634</v>
      </c>
      <c r="L166" s="18" t="n">
        <v>105907788.6272397</v>
      </c>
      <c r="M166" s="18" t="n">
        <v>55978712.55913141</v>
      </c>
      <c r="N166" s="23">
        <f>IF(L166=0,"",M166/L166)</f>
        <v/>
      </c>
      <c r="O166" s="6" t="n">
        <v>16780126.25274634</v>
      </c>
      <c r="P166" s="22">
        <f>M166*G166*(1+H166+I166)</f>
        <v/>
      </c>
      <c r="Q166" s="6" t="n">
        <v>11677381.34802632</v>
      </c>
      <c r="R166" s="22">
        <f>P166-M166*G166*J166</f>
        <v/>
      </c>
      <c r="S166" s="22">
        <f>IF(A166=A165,O166-O165,"")</f>
        <v/>
      </c>
      <c r="T166" s="22">
        <f>IF(A166=A165,P166-P165,"")</f>
        <v/>
      </c>
      <c r="U166" s="22">
        <f>IF(A166=A165,Q166-Q165,"")</f>
        <v/>
      </c>
      <c r="V166" s="22">
        <f>IF(A166=A165,R166-R165,"")</f>
        <v/>
      </c>
      <c r="W166" s="22">
        <f>IF(S166="","",D166-S166)</f>
        <v/>
      </c>
      <c r="X166" s="22">
        <f>IF(T166="","",D166-T166)</f>
        <v/>
      </c>
      <c r="Y166" s="22">
        <f>IF(U166="","",F166-U166)</f>
        <v/>
      </c>
      <c r="Z166" s="22">
        <f>IF(V166="","",F166-V166)</f>
        <v/>
      </c>
      <c r="AA166" s="6" t="n">
        <v>53241701.37031784</v>
      </c>
      <c r="AB166" s="6" t="n">
        <v>47237520.67565564</v>
      </c>
      <c r="AC166" s="6" t="n">
        <v>6177079.910964635</v>
      </c>
      <c r="AD166" s="6" t="n">
        <v>17678851.73275782</v>
      </c>
      <c r="AE166" s="6" t="n">
        <v>15752997.54053427</v>
      </c>
      <c r="AF166" s="6" t="n">
        <v>54631030.30572413</v>
      </c>
      <c r="AG166" s="6" t="n">
        <v>10777207.39062598</v>
      </c>
      <c r="AH166" s="6" t="n">
        <v>10764510.2035572</v>
      </c>
      <c r="AI166" s="6" t="n">
        <v>12310217.52653769</v>
      </c>
      <c r="AJ166" s="6" t="n">
        <v>9862407.731832664</v>
      </c>
      <c r="AK166" s="6" t="n">
        <v>9854427.671879278</v>
      </c>
      <c r="AL166" s="6" t="n">
        <v>10789599.47274222</v>
      </c>
      <c r="AM166" s="6" t="n">
        <v>7881195.12604232</v>
      </c>
      <c r="AN166" s="6" t="n">
        <v>7860589.733316991</v>
      </c>
      <c r="AO166" s="6" t="n">
        <v>8875700.862648869</v>
      </c>
      <c r="AP166" s="6" t="n">
        <v>7164620.577233192</v>
      </c>
      <c r="AQ166" s="6" t="n">
        <v>7155244.459918653</v>
      </c>
      <c r="AR166" s="6" t="n">
        <v>7892657.61843124</v>
      </c>
    </row>
    <row r="167">
      <c r="A167" t="inlineStr">
        <is>
          <t>CAT</t>
        </is>
      </c>
      <c r="B167" s="8" t="n">
        <v>202205</v>
      </c>
      <c r="C167" s="8" t="n">
        <v>2022</v>
      </c>
      <c r="D167" s="9" t="n">
        <v>12010734.37468949</v>
      </c>
      <c r="E167" s="10" t="n">
        <v>0.2784904088744087</v>
      </c>
      <c r="F167" s="22">
        <f>D167*(1-E167)</f>
        <v/>
      </c>
      <c r="G167" s="10" t="n">
        <v>0.157857142884774</v>
      </c>
      <c r="H167" s="10" t="n">
        <v>0</v>
      </c>
      <c r="I167" s="10" t="n">
        <v>0</v>
      </c>
      <c r="J167" s="10" t="n">
        <v>0.290297997943342</v>
      </c>
      <c r="K167" s="9" t="n">
        <v>17011725.19113053</v>
      </c>
      <c r="L167" s="18" t="n">
        <v>107766584.9023255</v>
      </c>
      <c r="M167" s="18" t="n">
        <v>58108757.81022368</v>
      </c>
      <c r="N167" s="23">
        <f>IF(L167=0,"",M167/L167)</f>
        <v/>
      </c>
      <c r="O167" s="9" t="n">
        <v>17011725.19113053</v>
      </c>
      <c r="P167" s="22">
        <f>M167*G167*(1+H167+I167)</f>
        <v/>
      </c>
      <c r="Q167" s="9" t="n">
        <v>12073255.42658302</v>
      </c>
      <c r="R167" s="22">
        <f>P167-M167*G167*J167</f>
        <v/>
      </c>
      <c r="S167" s="22">
        <f>IF(A167=A166,O167-O166,"")</f>
        <v/>
      </c>
      <c r="T167" s="22">
        <f>IF(A167=A166,P167-P166,"")</f>
        <v/>
      </c>
      <c r="U167" s="22">
        <f>IF(A167=A166,Q167-Q166,"")</f>
        <v/>
      </c>
      <c r="V167" s="22">
        <f>IF(A167=A166,R167-R166,"")</f>
        <v/>
      </c>
      <c r="W167" s="22">
        <f>IF(S167="","",D167-S167)</f>
        <v/>
      </c>
      <c r="X167" s="22">
        <f>IF(T167="","",D167-T167)</f>
        <v/>
      </c>
      <c r="Y167" s="22">
        <f>IF(U167="","",F167-U167)</f>
        <v/>
      </c>
      <c r="Z167" s="22">
        <f>IF(V167="","",F167-V167)</f>
        <v/>
      </c>
      <c r="AA167" s="9" t="n">
        <v>55384703.48943526</v>
      </c>
      <c r="AB167" s="9" t="n">
        <v>49326868.30104292</v>
      </c>
      <c r="AC167" s="9" t="n">
        <v>8386652.952576823</v>
      </c>
      <c r="AD167" s="9" t="n">
        <v>20162995.78570138</v>
      </c>
      <c r="AE167" s="9" t="n">
        <v>18215060.28129731</v>
      </c>
      <c r="AF167" s="9" t="n">
        <v>57145381.73493997</v>
      </c>
      <c r="AG167" s="9" t="n">
        <v>11703526.86025071</v>
      </c>
      <c r="AH167" s="9" t="n">
        <v>11708491.57078943</v>
      </c>
      <c r="AI167" s="9" t="n">
        <v>11665543.45451605</v>
      </c>
      <c r="AJ167" s="9" t="n">
        <v>11628914.79864071</v>
      </c>
      <c r="AK167" s="9" t="n">
        <v>11631276.24393675</v>
      </c>
      <c r="AL167" s="9" t="n">
        <v>11645717.76167818</v>
      </c>
      <c r="AM167" s="9" t="n">
        <v>8331451.207249558</v>
      </c>
      <c r="AN167" s="9" t="n">
        <v>8348099.438354669</v>
      </c>
      <c r="AO167" s="9" t="n">
        <v>8407374.647616712</v>
      </c>
      <c r="AP167" s="9" t="n">
        <v>8356237.058348843</v>
      </c>
      <c r="AQ167" s="9" t="n">
        <v>8362122.778458128</v>
      </c>
      <c r="AR167" s="9" t="n">
        <v>8287386.987489965</v>
      </c>
    </row>
    <row r="168">
      <c r="A168" s="4" t="inlineStr">
        <is>
          <t>CAT</t>
        </is>
      </c>
      <c r="B168" s="5" t="n">
        <v>202206</v>
      </c>
      <c r="C168" s="5" t="n">
        <v>2022</v>
      </c>
      <c r="D168" s="6" t="n">
        <v>8922350.847383946</v>
      </c>
      <c r="E168" s="11" t="n">
        <v>0.2784904088744087</v>
      </c>
      <c r="F168" s="22">
        <f>D168*(1-E168)</f>
        <v/>
      </c>
      <c r="G168" s="11" t="n">
        <v>0.1566137072677144</v>
      </c>
      <c r="H168" s="11" t="n">
        <v>0</v>
      </c>
      <c r="I168" s="11" t="n">
        <v>0</v>
      </c>
      <c r="J168" s="11" t="n">
        <v>0.2942930757118896</v>
      </c>
      <c r="K168" s="6" t="n">
        <v>16104493.2730081</v>
      </c>
      <c r="L168" s="18" t="n">
        <v>102829398.2306363</v>
      </c>
      <c r="M168" s="18" t="n">
        <v>57547908.07975341</v>
      </c>
      <c r="N168" s="23">
        <f>IF(L168=0,"",M168/L168)</f>
        <v/>
      </c>
      <c r="O168" s="6" t="n">
        <v>16104493.2730081</v>
      </c>
      <c r="P168" s="22">
        <f>M168*G168*(1+H168+I168)</f>
        <v/>
      </c>
      <c r="Q168" s="6" t="n">
        <v>11365052.41491311</v>
      </c>
      <c r="R168" s="22">
        <f>P168-M168*G168*J168</f>
        <v/>
      </c>
      <c r="S168" s="22">
        <f>IF(A168=A167,O168-O167,"")</f>
        <v/>
      </c>
      <c r="T168" s="22">
        <f>IF(A168=A167,P168-P167,"")</f>
        <v/>
      </c>
      <c r="U168" s="22">
        <f>IF(A168=A167,Q168-Q167,"")</f>
        <v/>
      </c>
      <c r="V168" s="22">
        <f>IF(A168=A167,R168-R167,"")</f>
        <v/>
      </c>
      <c r="W168" s="22">
        <f>IF(S168="","",D168-S168)</f>
        <v/>
      </c>
      <c r="X168" s="22">
        <f>IF(T168="","",D168-T168)</f>
        <v/>
      </c>
      <c r="Y168" s="22">
        <f>IF(U168="","",F168-U168)</f>
        <v/>
      </c>
      <c r="Z168" s="22">
        <f>IF(V168="","",F168-V168)</f>
        <v/>
      </c>
      <c r="AA168" s="6" t="n">
        <v>54809510.12569818</v>
      </c>
      <c r="AB168" s="6" t="n">
        <v>48712312.42064252</v>
      </c>
      <c r="AC168" s="6" t="n">
        <v>9405092.617396653</v>
      </c>
      <c r="AD168" s="6" t="n">
        <v>19696252.46191255</v>
      </c>
      <c r="AE168" s="6" t="n">
        <v>17729144.87667496</v>
      </c>
      <c r="AF168" s="6" t="n">
        <v>56515667.25376485</v>
      </c>
      <c r="AG168" s="6" t="n">
        <v>9081301.325433644</v>
      </c>
      <c r="AH168" s="6" t="n">
        <v>9079933.507060148</v>
      </c>
      <c r="AI168" s="6" t="n">
        <v>8773277.498837177</v>
      </c>
      <c r="AJ168" s="6" t="n">
        <v>9020520.636771532</v>
      </c>
      <c r="AK168" s="6" t="n">
        <v>9021101.115040995</v>
      </c>
      <c r="AL168" s="6" t="n">
        <v>9092029.369800635</v>
      </c>
      <c r="AM168" s="6" t="n">
        <v>6584662.614528213</v>
      </c>
      <c r="AN168" s="6" t="n">
        <v>6579876.952406089</v>
      </c>
      <c r="AO168" s="6" t="n">
        <v>6337648.673264507</v>
      </c>
      <c r="AP168" s="6" t="n">
        <v>6519556.636691572</v>
      </c>
      <c r="AQ168" s="6" t="n">
        <v>6518737.815656921</v>
      </c>
      <c r="AR168" s="6" t="n">
        <v>6593343.844208032</v>
      </c>
    </row>
    <row r="169">
      <c r="A169" t="inlineStr">
        <is>
          <t>CAT</t>
        </is>
      </c>
      <c r="B169" s="8" t="n">
        <v>202207</v>
      </c>
      <c r="C169" s="8" t="n">
        <v>2022</v>
      </c>
      <c r="D169" s="9" t="n">
        <v>14306306.01954858</v>
      </c>
      <c r="E169" s="10" t="n">
        <v>0.2784904088744087</v>
      </c>
      <c r="F169" s="22">
        <f>D169*(1-E169)</f>
        <v/>
      </c>
      <c r="G169" s="10" t="n">
        <v>0.1529091999531857</v>
      </c>
      <c r="H169" s="10" t="n">
        <v>0</v>
      </c>
      <c r="I169" s="10" t="n">
        <v>0</v>
      </c>
      <c r="J169" s="10" t="n">
        <v>0.3259766356973243</v>
      </c>
      <c r="K169" s="9" t="n">
        <v>17477255.49487786</v>
      </c>
      <c r="L169" s="18" t="n">
        <v>114298260.0146274</v>
      </c>
      <c r="M169" s="18" t="n">
        <v>62294337.17011777</v>
      </c>
      <c r="N169" s="23">
        <f>IF(L169=0,"",M169/L169)</f>
        <v/>
      </c>
      <c r="O169" s="9" t="n">
        <v>17477255.49487786</v>
      </c>
      <c r="P169" s="22">
        <f>M169*G169*(1+H169+I169)</f>
        <v/>
      </c>
      <c r="Q169" s="9" t="n">
        <v>11780078.547435</v>
      </c>
      <c r="R169" s="22">
        <f>P169-M169*G169*J169</f>
        <v/>
      </c>
      <c r="S169" s="22">
        <f>IF(A169=A168,O169-O168,"")</f>
        <v/>
      </c>
      <c r="T169" s="22">
        <f>IF(A169=A168,P169-P168,"")</f>
        <v/>
      </c>
      <c r="U169" s="22">
        <f>IF(A169=A168,Q169-Q168,"")</f>
        <v/>
      </c>
      <c r="V169" s="22">
        <f>IF(A169=A168,R169-R168,"")</f>
        <v/>
      </c>
      <c r="W169" s="22">
        <f>IF(S169="","",D169-S169)</f>
        <v/>
      </c>
      <c r="X169" s="22">
        <f>IF(T169="","",D169-T169)</f>
        <v/>
      </c>
      <c r="Y169" s="22">
        <f>IF(U169="","",F169-U169)</f>
        <v/>
      </c>
      <c r="Z169" s="22">
        <f>IF(V169="","",F169-V169)</f>
        <v/>
      </c>
      <c r="AA169" s="9" t="n">
        <v>59618349.07885864</v>
      </c>
      <c r="AB169" s="9" t="n">
        <v>53708586.77874199</v>
      </c>
      <c r="AC169" s="9" t="n">
        <v>17863691.3072269</v>
      </c>
      <c r="AD169" s="9" t="n">
        <v>27056256.00960178</v>
      </c>
      <c r="AE169" s="9" t="n">
        <v>25095502.07370884</v>
      </c>
      <c r="AF169" s="9" t="n">
        <v>61415578.02903294</v>
      </c>
      <c r="AG169" s="9" t="n">
        <v>13774032.53368349</v>
      </c>
      <c r="AH169" s="9" t="n">
        <v>13722784.82237486</v>
      </c>
      <c r="AI169" s="9" t="n">
        <v>13047749.69555654</v>
      </c>
      <c r="AJ169" s="9" t="n">
        <v>13253858.67673277</v>
      </c>
      <c r="AK169" s="9" t="n">
        <v>13245599.98085672</v>
      </c>
      <c r="AL169" s="9" t="n">
        <v>13766427.28578739</v>
      </c>
      <c r="AM169" s="9" t="n">
        <v>10235341.40343663</v>
      </c>
      <c r="AN169" s="9" t="n">
        <v>10170544.46714726</v>
      </c>
      <c r="AO169" s="9" t="n">
        <v>9520509.459008742</v>
      </c>
      <c r="AP169" s="9" t="n">
        <v>9710497.284181492</v>
      </c>
      <c r="AQ169" s="9" t="n">
        <v>9695169.785411343</v>
      </c>
      <c r="AR169" s="9" t="n">
        <v>10238681.37646497</v>
      </c>
    </row>
    <row r="170">
      <c r="A170" s="4" t="inlineStr">
        <is>
          <t>CAT</t>
        </is>
      </c>
      <c r="B170" s="5" t="n">
        <v>202208</v>
      </c>
      <c r="C170" s="5" t="n">
        <v>2022</v>
      </c>
      <c r="D170" s="6" t="n">
        <v>9788221.265799873</v>
      </c>
      <c r="E170" s="11" t="n">
        <v>0.2784904088744087</v>
      </c>
      <c r="F170" s="22">
        <f>D170*(1-E170)</f>
        <v/>
      </c>
      <c r="G170" s="11" t="n">
        <v>0.152696603298734</v>
      </c>
      <c r="H170" s="11" t="n">
        <v>0</v>
      </c>
      <c r="I170" s="11" t="n">
        <v>0</v>
      </c>
      <c r="J170" s="11" t="n">
        <v>0.3078460936592273</v>
      </c>
      <c r="K170" s="6" t="n">
        <v>17277987.16738155</v>
      </c>
      <c r="L170" s="18" t="n">
        <v>113152400.2114119</v>
      </c>
      <c r="M170" s="18" t="n">
        <v>62556594.65994493</v>
      </c>
      <c r="N170" s="23">
        <f>IF(L170=0,"",M170/L170)</f>
        <v/>
      </c>
      <c r="O170" s="6" t="n">
        <v>17277987.16738155</v>
      </c>
      <c r="P170" s="22">
        <f>M170*G170*(1+H170+I170)</f>
        <v/>
      </c>
      <c r="Q170" s="6" t="n">
        <v>11959026.31160888</v>
      </c>
      <c r="R170" s="22">
        <f>P170-M170*G170*J170</f>
        <v/>
      </c>
      <c r="S170" s="22">
        <f>IF(A170=A169,O170-O169,"")</f>
        <v/>
      </c>
      <c r="T170" s="22">
        <f>IF(A170=A169,P170-P169,"")</f>
        <v/>
      </c>
      <c r="U170" s="22">
        <f>IF(A170=A169,Q170-Q169,"")</f>
        <v/>
      </c>
      <c r="V170" s="22">
        <f>IF(A170=A169,R170-R169,"")</f>
        <v/>
      </c>
      <c r="W170" s="22">
        <f>IF(S170="","",D170-S170)</f>
        <v/>
      </c>
      <c r="X170" s="22">
        <f>IF(T170="","",D170-T170)</f>
        <v/>
      </c>
      <c r="Y170" s="22">
        <f>IF(U170="","",F170-U170)</f>
        <v/>
      </c>
      <c r="Z170" s="22">
        <f>IF(V170="","",F170-V170)</f>
        <v/>
      </c>
      <c r="AA170" s="6" t="n">
        <v>59792955.87590302</v>
      </c>
      <c r="AB170" s="6" t="n">
        <v>53793129.67191763</v>
      </c>
      <c r="AC170" s="6" t="n">
        <v>19427220.37895678</v>
      </c>
      <c r="AD170" s="6" t="n">
        <v>26452109.93696795</v>
      </c>
      <c r="AE170" s="6" t="n">
        <v>24454056.45886723</v>
      </c>
      <c r="AF170" s="6" t="n">
        <v>61649042.54914524</v>
      </c>
      <c r="AG170" s="6" t="n">
        <v>9774234.062536424</v>
      </c>
      <c r="AH170" s="6" t="n">
        <v>9786730.119043393</v>
      </c>
      <c r="AI170" s="6" t="n">
        <v>9553273.448395971</v>
      </c>
      <c r="AJ170" s="6" t="n">
        <v>9886224.388496958</v>
      </c>
      <c r="AK170" s="6" t="n">
        <v>9891503.05216971</v>
      </c>
      <c r="AL170" s="6" t="n">
        <v>9765628.773008145</v>
      </c>
      <c r="AM170" s="6" t="n">
        <v>6887332.686320998</v>
      </c>
      <c r="AN170" s="6" t="n">
        <v>6912365.672330003</v>
      </c>
      <c r="AO170" s="6" t="n">
        <v>6850151.485757387</v>
      </c>
      <c r="AP170" s="6" t="n">
        <v>7055119.98720666</v>
      </c>
      <c r="AQ170" s="6" t="n">
        <v>7064209.48533302</v>
      </c>
      <c r="AR170" s="6" t="n">
        <v>6876393.99579419</v>
      </c>
    </row>
    <row r="171">
      <c r="A171" t="inlineStr">
        <is>
          <t>CAT</t>
        </is>
      </c>
      <c r="B171" s="8" t="n">
        <v>202209</v>
      </c>
      <c r="C171" s="8" t="n">
        <v>2022</v>
      </c>
      <c r="D171" s="9" t="n">
        <v>13287809.77924341</v>
      </c>
      <c r="E171" s="10" t="n">
        <v>0.2784904088744087</v>
      </c>
      <c r="F171" s="22">
        <f>D171*(1-E171)</f>
        <v/>
      </c>
      <c r="G171" s="10" t="n">
        <v>0.1554560627027032</v>
      </c>
      <c r="H171" s="10" t="n">
        <v>0</v>
      </c>
      <c r="I171" s="10" t="n">
        <v>0</v>
      </c>
      <c r="J171" s="10" t="n">
        <v>0.2933233649322138</v>
      </c>
      <c r="K171" s="9" t="n">
        <v>18031466.86954405</v>
      </c>
      <c r="L171" s="18" t="n">
        <v>115990760.0646476</v>
      </c>
      <c r="M171" s="18" t="n">
        <v>66275008.96307759</v>
      </c>
      <c r="N171" s="23">
        <f>IF(L171=0,"",M171/L171)</f>
        <v/>
      </c>
      <c r="O171" s="9" t="n">
        <v>18031466.86954405</v>
      </c>
      <c r="P171" s="22">
        <f>M171*G171*(1+H171+I171)</f>
        <v/>
      </c>
      <c r="Q171" s="9" t="n">
        <v>12742416.33270566</v>
      </c>
      <c r="R171" s="22">
        <f>P171-M171*G171*J171</f>
        <v/>
      </c>
      <c r="S171" s="22">
        <f>IF(A171=A170,O171-O170,"")</f>
        <v/>
      </c>
      <c r="T171" s="22">
        <f>IF(A171=A170,P171-P170,"")</f>
        <v/>
      </c>
      <c r="U171" s="22">
        <f>IF(A171=A170,Q171-Q170,"")</f>
        <v/>
      </c>
      <c r="V171" s="22">
        <f>IF(A171=A170,R171-R170,"")</f>
        <v/>
      </c>
      <c r="W171" s="22">
        <f>IF(S171="","",D171-S171)</f>
        <v/>
      </c>
      <c r="X171" s="22">
        <f>IF(T171="","",D171-T171)</f>
        <v/>
      </c>
      <c r="Y171" s="22">
        <f>IF(U171="","",F171-U171)</f>
        <v/>
      </c>
      <c r="Z171" s="22">
        <f>IF(V171="","",F171-V171)</f>
        <v/>
      </c>
      <c r="AA171" s="9" t="n">
        <v>63277402.39223299</v>
      </c>
      <c r="AB171" s="9" t="n">
        <v>56858238.79677916</v>
      </c>
      <c r="AC171" s="9" t="n">
        <v>20725557.71032098</v>
      </c>
      <c r="AD171" s="9" t="n">
        <v>24337993.51311662</v>
      </c>
      <c r="AE171" s="9" t="n">
        <v>22229516.59878837</v>
      </c>
      <c r="AF171" s="9" t="n">
        <v>64914339.37589491</v>
      </c>
      <c r="AG171" s="9" t="n">
        <v>12581135.20873373</v>
      </c>
      <c r="AH171" s="9" t="n">
        <v>12662880.0253962</v>
      </c>
      <c r="AI171" s="9" t="n">
        <v>13032366.7436819</v>
      </c>
      <c r="AJ171" s="9" t="n">
        <v>13543468.47107006</v>
      </c>
      <c r="AK171" s="9" t="n">
        <v>13566148.01115588</v>
      </c>
      <c r="AL171" s="9" t="n">
        <v>12610081.56079334</v>
      </c>
      <c r="AM171" s="9" t="n">
        <v>8955296.647483369</v>
      </c>
      <c r="AN171" s="9" t="n">
        <v>9026368.842135042</v>
      </c>
      <c r="AO171" s="9" t="n">
        <v>9363685.328685472</v>
      </c>
      <c r="AP171" s="9" t="n">
        <v>9709290.783772074</v>
      </c>
      <c r="AQ171" s="9" t="n">
        <v>9729748.710988097</v>
      </c>
      <c r="AR171" s="9" t="n">
        <v>8971636.353529761</v>
      </c>
    </row>
    <row r="172">
      <c r="A172" s="4" t="inlineStr">
        <is>
          <t>CAT</t>
        </is>
      </c>
      <c r="B172" s="5" t="n">
        <v>202210</v>
      </c>
      <c r="C172" s="5" t="n">
        <v>2022</v>
      </c>
      <c r="D172" s="6" t="n">
        <v>5889125.986667036</v>
      </c>
      <c r="E172" s="11" t="n">
        <v>0.2784904088744087</v>
      </c>
      <c r="F172" s="22">
        <f>D172*(1-E172)</f>
        <v/>
      </c>
      <c r="G172" s="11" t="n">
        <v>0.1565073575734829</v>
      </c>
      <c r="H172" s="11" t="n">
        <v>0</v>
      </c>
      <c r="I172" s="11" t="n">
        <v>0</v>
      </c>
      <c r="J172" s="11" t="n">
        <v>0.2878900781528566</v>
      </c>
      <c r="K172" s="6" t="n">
        <v>17023497.14088126</v>
      </c>
      <c r="L172" s="18" t="n">
        <v>108771225.8696109</v>
      </c>
      <c r="M172" s="18" t="n">
        <v>61721092.60405497</v>
      </c>
      <c r="N172" s="23">
        <f>IF(L172=0,"",M172/L172)</f>
        <v/>
      </c>
      <c r="O172" s="6" t="n">
        <v>17023497.14088126</v>
      </c>
      <c r="P172" s="22">
        <f>M172*G172*(1+H172+I172)</f>
        <v/>
      </c>
      <c r="Q172" s="6" t="n">
        <v>12122601.21855802</v>
      </c>
      <c r="R172" s="22">
        <f>P172-M172*G172*J172</f>
        <v/>
      </c>
      <c r="S172" s="22">
        <f>IF(A172=A171,O172-O171,"")</f>
        <v/>
      </c>
      <c r="T172" s="22">
        <f>IF(A172=A171,P172-P171,"")</f>
        <v/>
      </c>
      <c r="U172" s="22">
        <f>IF(A172=A171,Q172-Q171,"")</f>
        <v/>
      </c>
      <c r="V172" s="22">
        <f>IF(A172=A171,R172-R171,"")</f>
        <v/>
      </c>
      <c r="W172" s="22">
        <f>IF(S172="","",D172-S172)</f>
        <v/>
      </c>
      <c r="X172" s="22">
        <f>IF(T172="","",D172-T172)</f>
        <v/>
      </c>
      <c r="Y172" s="22">
        <f>IF(U172="","",F172-U172)</f>
        <v/>
      </c>
      <c r="Z172" s="22">
        <f>IF(V172="","",F172-V172)</f>
        <v/>
      </c>
      <c r="AA172" s="6" t="n">
        <v>58863657.63365798</v>
      </c>
      <c r="AB172" s="6" t="n">
        <v>52714296.81377442</v>
      </c>
      <c r="AC172" s="6" t="n">
        <v>20915182.81220476</v>
      </c>
      <c r="AD172" s="6" t="n">
        <v>21882893.47087542</v>
      </c>
      <c r="AE172" s="6" t="n">
        <v>19765590.02306643</v>
      </c>
      <c r="AF172" s="6" t="n">
        <v>60990947.07584685</v>
      </c>
      <c r="AG172" s="6" t="n">
        <v>6513386.307264206</v>
      </c>
      <c r="AH172" s="6" t="n">
        <v>6477908.621556305</v>
      </c>
      <c r="AI172" s="6" t="n">
        <v>5837659.590526694</v>
      </c>
      <c r="AJ172" s="6" t="n">
        <v>6247780.799111345</v>
      </c>
      <c r="AK172" s="6" t="n">
        <v>6251378.84750814</v>
      </c>
      <c r="AL172" s="6" t="n">
        <v>6434921.636245777</v>
      </c>
      <c r="AM172" s="6" t="n">
        <v>4640156.392086901</v>
      </c>
      <c r="AN172" s="6" t="n">
        <v>4620314.245548622</v>
      </c>
      <c r="AO172" s="6" t="n">
        <v>4194905.570832492</v>
      </c>
      <c r="AP172" s="6" t="n">
        <v>4483905.754348881</v>
      </c>
      <c r="AQ172" s="6" t="n">
        <v>4488248.858707682</v>
      </c>
      <c r="AR172" s="6" t="n">
        <v>4582898.303191055</v>
      </c>
    </row>
    <row r="173">
      <c r="A173" t="inlineStr">
        <is>
          <t>CAT</t>
        </is>
      </c>
      <c r="B173" s="8" t="n">
        <v>202211</v>
      </c>
      <c r="C173" s="8" t="n">
        <v>2022</v>
      </c>
      <c r="D173" s="9" t="n">
        <v>8951068.540512532</v>
      </c>
      <c r="E173" s="10" t="n">
        <v>0.2784904088744087</v>
      </c>
      <c r="F173" s="22">
        <f>D173*(1-E173)</f>
        <v/>
      </c>
      <c r="G173" s="10" t="n">
        <v>0.1573887267654522</v>
      </c>
      <c r="H173" s="10" t="n">
        <v>0</v>
      </c>
      <c r="I173" s="10" t="n">
        <v>0</v>
      </c>
      <c r="J173" s="10" t="n">
        <v>0.2870851530021271</v>
      </c>
      <c r="K173" s="9" t="n">
        <v>17089648.15854486</v>
      </c>
      <c r="L173" s="18" t="n">
        <v>108582415.7152795</v>
      </c>
      <c r="M173" s="18" t="n">
        <v>60760170.09243758</v>
      </c>
      <c r="N173" s="23">
        <f>IF(L173=0,"",M173/L173)</f>
        <v/>
      </c>
      <c r="O173" s="9" t="n">
        <v>17089648.15854486</v>
      </c>
      <c r="P173" s="22">
        <f>M173*G173*(1+H173+I173)</f>
        <v/>
      </c>
      <c r="Q173" s="9" t="n">
        <v>12183463.90219649</v>
      </c>
      <c r="R173" s="22">
        <f>P173-M173*G173*J173</f>
        <v/>
      </c>
      <c r="S173" s="22">
        <f>IF(A173=A172,O173-O172,"")</f>
        <v/>
      </c>
      <c r="T173" s="22">
        <f>IF(A173=A172,P173-P172,"")</f>
        <v/>
      </c>
      <c r="U173" s="22">
        <f>IF(A173=A172,Q173-Q172,"")</f>
        <v/>
      </c>
      <c r="V173" s="22">
        <f>IF(A173=A172,R173-R172,"")</f>
        <v/>
      </c>
      <c r="W173" s="22">
        <f>IF(S173="","",D173-S173)</f>
        <v/>
      </c>
      <c r="X173" s="22">
        <f>IF(T173="","",D173-T173)</f>
        <v/>
      </c>
      <c r="Y173" s="22">
        <f>IF(U173="","",F173-U173)</f>
        <v/>
      </c>
      <c r="Z173" s="22">
        <f>IF(V173="","",F173-V173)</f>
        <v/>
      </c>
      <c r="AA173" s="9" t="n">
        <v>57826038.35506412</v>
      </c>
      <c r="AB173" s="9" t="n">
        <v>51523667.57464896</v>
      </c>
      <c r="AC173" s="9" t="n">
        <v>22362119.1827977</v>
      </c>
      <c r="AD173" s="9" t="n">
        <v>19983792.97828129</v>
      </c>
      <c r="AE173" s="9" t="n">
        <v>17849525.7824409</v>
      </c>
      <c r="AF173" s="9" t="n">
        <v>59997116.16212325</v>
      </c>
      <c r="AG173" s="9" t="n">
        <v>9062497.503272772</v>
      </c>
      <c r="AH173" s="9" t="n">
        <v>9091999.403320221</v>
      </c>
      <c r="AI173" s="9" t="n">
        <v>8704903.069659203</v>
      </c>
      <c r="AJ173" s="9" t="n">
        <v>9230678.64090519</v>
      </c>
      <c r="AK173" s="9" t="n">
        <v>9235214.669637971</v>
      </c>
      <c r="AL173" s="9" t="n">
        <v>9053730.780901955</v>
      </c>
      <c r="AM173" s="9" t="n">
        <v>6530305.714907493</v>
      </c>
      <c r="AN173" s="9" t="n">
        <v>6552112.733700728</v>
      </c>
      <c r="AO173" s="9" t="n">
        <v>6280151.957926825</v>
      </c>
      <c r="AP173" s="9" t="n">
        <v>6654863.259853429</v>
      </c>
      <c r="AQ173" s="9" t="n">
        <v>6658363.793002445</v>
      </c>
      <c r="AR173" s="9" t="n">
        <v>6523787.79944812</v>
      </c>
    </row>
    <row r="174">
      <c r="A174" s="4" t="inlineStr">
        <is>
          <t>CAT</t>
        </is>
      </c>
      <c r="B174" s="5" t="n">
        <v>202212</v>
      </c>
      <c r="C174" s="5" t="n">
        <v>2022</v>
      </c>
      <c r="D174" s="6" t="n">
        <v>11600847.21528533</v>
      </c>
      <c r="E174" s="11" t="n">
        <v>0.2784904088744087</v>
      </c>
      <c r="F174" s="22">
        <f>D174*(1-E174)</f>
        <v/>
      </c>
      <c r="G174" s="11" t="n">
        <v>0.1596823231079829</v>
      </c>
      <c r="H174" s="11" t="n">
        <v>0</v>
      </c>
      <c r="I174" s="11" t="n">
        <v>0</v>
      </c>
      <c r="J174" s="11" t="n">
        <v>0.2703521976910782</v>
      </c>
      <c r="K174" s="6" t="n">
        <v>17005004.63532029</v>
      </c>
      <c r="L174" s="18" t="n">
        <v>106492718.1941166</v>
      </c>
      <c r="M174" s="18" t="n">
        <v>62354933.85989109</v>
      </c>
      <c r="N174" s="23">
        <f>IF(L174=0,"",M174/L174)</f>
        <v/>
      </c>
      <c r="O174" s="6" t="n">
        <v>17005004.63532029</v>
      </c>
      <c r="P174" s="22">
        <f>M174*G174*(1+H174+I174)</f>
        <v/>
      </c>
      <c r="Q174" s="6" t="n">
        <v>12407664.26041448</v>
      </c>
      <c r="R174" s="22">
        <f>P174-M174*G174*J174</f>
        <v/>
      </c>
      <c r="S174" s="22">
        <f>IF(A174=A173,O174-O173,"")</f>
        <v/>
      </c>
      <c r="T174" s="22">
        <f>IF(A174=A173,P174-P173,"")</f>
        <v/>
      </c>
      <c r="U174" s="22">
        <f>IF(A174=A173,Q174-Q173,"")</f>
        <v/>
      </c>
      <c r="V174" s="22">
        <f>IF(A174=A173,R174-R173,"")</f>
        <v/>
      </c>
      <c r="W174" s="22">
        <f>IF(S174="","",D174-S174)</f>
        <v/>
      </c>
      <c r="X174" s="22">
        <f>IF(T174="","",D174-T174)</f>
        <v/>
      </c>
      <c r="Y174" s="22">
        <f>IF(U174="","",F174-U174)</f>
        <v/>
      </c>
      <c r="Z174" s="22">
        <f>IF(V174="","",F174-V174)</f>
        <v/>
      </c>
      <c r="AA174" s="6" t="n">
        <v>59241204.10286888</v>
      </c>
      <c r="AB174" s="6" t="n">
        <v>52501506.07192551</v>
      </c>
      <c r="AC174" s="6" t="n">
        <v>24788985.85729842</v>
      </c>
      <c r="AD174" s="6" t="n">
        <v>17331528.00002648</v>
      </c>
      <c r="AE174" s="6" t="n">
        <v>15134847.24699371</v>
      </c>
      <c r="AF174" s="6" t="n">
        <v>61373132.00219344</v>
      </c>
      <c r="AG174" s="6" t="n">
        <v>11242240.6710188</v>
      </c>
      <c r="AH174" s="6" t="n">
        <v>11326529.19691281</v>
      </c>
      <c r="AI174" s="6" t="n">
        <v>11162029.83205881</v>
      </c>
      <c r="AJ174" s="6" t="n">
        <v>11978532.29402613</v>
      </c>
      <c r="AK174" s="6" t="n">
        <v>11993393.7832664</v>
      </c>
      <c r="AL174" s="6" t="n">
        <v>11243512.6431177</v>
      </c>
      <c r="AM174" s="6" t="n">
        <v>7956176.640923807</v>
      </c>
      <c r="AN174" s="6" t="n">
        <v>8034275.366986632</v>
      </c>
      <c r="AO174" s="6" t="n">
        <v>7991047.994727713</v>
      </c>
      <c r="AP174" s="6" t="n">
        <v>8593070.73051494</v>
      </c>
      <c r="AQ174" s="6" t="n">
        <v>8609535.143745443</v>
      </c>
      <c r="AR174" s="6" t="n">
        <v>7951387.028667632</v>
      </c>
    </row>
    <row r="175">
      <c r="A175" t="inlineStr">
        <is>
          <t>CAT</t>
        </is>
      </c>
      <c r="B175" s="8" t="n">
        <v>202301</v>
      </c>
      <c r="C175" s="8" t="n">
        <v>2023</v>
      </c>
      <c r="D175" s="9" t="n">
        <v>20253836.73005361</v>
      </c>
      <c r="E175" s="10" t="n">
        <v>0.2784904088744087</v>
      </c>
      <c r="F175" s="22">
        <f>D175*(1-E175)</f>
        <v/>
      </c>
      <c r="G175" s="10" t="n">
        <v>0.163019573555313</v>
      </c>
      <c r="H175" s="10" t="n">
        <v>0</v>
      </c>
      <c r="I175" s="10" t="n">
        <v>0</v>
      </c>
      <c r="J175" s="10" t="n">
        <v>0.2901745687134707</v>
      </c>
      <c r="K175" s="9" t="n">
        <v>18252193.54955146</v>
      </c>
      <c r="L175" s="18" t="n">
        <v>111963202.6479228</v>
      </c>
      <c r="M175" s="18" t="n">
        <v>71884769.55273055</v>
      </c>
      <c r="N175" s="23">
        <f>IF(L175=0,"",M175/L175)</f>
        <v/>
      </c>
      <c r="O175" s="9" t="n">
        <v>18252193.54955146</v>
      </c>
      <c r="P175" s="22">
        <f>M175*G175*(1+H175+I175)</f>
        <v/>
      </c>
      <c r="Q175" s="9" t="n">
        <v>12955871.15823558</v>
      </c>
      <c r="R175" s="22">
        <f>P175-M175*G175*J175</f>
        <v/>
      </c>
      <c r="S175" s="22">
        <f>IF(A175=A174,O175-O174,"")</f>
        <v/>
      </c>
      <c r="T175" s="22">
        <f>IF(A175=A174,P175-P174,"")</f>
        <v/>
      </c>
      <c r="U175" s="22">
        <f>IF(A175=A174,Q175-Q174,"")</f>
        <v/>
      </c>
      <c r="V175" s="22">
        <f>IF(A175=A174,R175-R174,"")</f>
        <v/>
      </c>
      <c r="W175" s="22">
        <f>IF(S175="","",D175-S175)</f>
        <v/>
      </c>
      <c r="X175" s="22">
        <f>IF(T175="","",D175-T175)</f>
        <v/>
      </c>
      <c r="Y175" s="22">
        <f>IF(U175="","",F175-U175)</f>
        <v/>
      </c>
      <c r="Z175" s="22">
        <f>IF(V175="","",F175-V175)</f>
        <v/>
      </c>
      <c r="AA175" s="9" t="n">
        <v>68653226.28403787</v>
      </c>
      <c r="AB175" s="9" t="n">
        <v>61728279.56719256</v>
      </c>
      <c r="AC175" s="9" t="n">
        <v>33010910.33244472</v>
      </c>
      <c r="AD175" s="9" t="n">
        <v>26019362.83267865</v>
      </c>
      <c r="AE175" s="9" t="n">
        <v>23809006.62157778</v>
      </c>
      <c r="AF175" s="9" t="n">
        <v>70771061.12856716</v>
      </c>
      <c r="AG175" s="9" t="n">
        <v>18521790.15289363</v>
      </c>
      <c r="AH175" s="9" t="n">
        <v>18574481.37493968</v>
      </c>
      <c r="AI175" s="9" t="n">
        <v>18830775.05417015</v>
      </c>
      <c r="AJ175" s="9" t="n">
        <v>18779709.95094466</v>
      </c>
      <c r="AK175" s="9" t="n">
        <v>18789270.1921128</v>
      </c>
      <c r="AL175" s="9" t="n">
        <v>18516972.81934075</v>
      </c>
      <c r="AM175" s="9" t="n">
        <v>13571401.88125849</v>
      </c>
      <c r="AN175" s="9" t="n">
        <v>13587470.40409523</v>
      </c>
      <c r="AO175" s="9" t="n">
        <v>13681676.22703194</v>
      </c>
      <c r="AP175" s="9" t="n">
        <v>13621823.95909293</v>
      </c>
      <c r="AQ175" s="9" t="n">
        <v>13621656.94679723</v>
      </c>
      <c r="AR175" s="9" t="n">
        <v>13574730.56893898</v>
      </c>
    </row>
    <row r="176">
      <c r="A176" s="4" t="inlineStr">
        <is>
          <t>CAT</t>
        </is>
      </c>
      <c r="B176" s="5" t="n">
        <v>202302</v>
      </c>
      <c r="C176" s="5" t="n">
        <v>2023</v>
      </c>
      <c r="D176" s="6" t="n">
        <v>6777441.827856025</v>
      </c>
      <c r="E176" s="11" t="n">
        <v>0.2784904088744087</v>
      </c>
      <c r="F176" s="22">
        <f>D176*(1-E176)</f>
        <v/>
      </c>
      <c r="G176" s="11" t="n">
        <v>0.1648483639244022</v>
      </c>
      <c r="H176" s="11" t="n">
        <v>0</v>
      </c>
      <c r="I176" s="11" t="n">
        <v>0</v>
      </c>
      <c r="J176" s="11" t="n">
        <v>0.2771147947948056</v>
      </c>
      <c r="K176" s="6" t="n">
        <v>16774172.04902512</v>
      </c>
      <c r="L176" s="18" t="n">
        <v>101755162.4395714</v>
      </c>
      <c r="M176" s="18" t="n">
        <v>67806703.74054605</v>
      </c>
      <c r="N176" s="23">
        <f>IF(L176=0,"",M176/L176)</f>
        <v/>
      </c>
      <c r="O176" s="6" t="n">
        <v>16774172.04902512</v>
      </c>
      <c r="P176" s="22">
        <f>M176*G176*(1+H176+I176)</f>
        <v/>
      </c>
      <c r="Q176" s="6" t="n">
        <v>12125800.80380676</v>
      </c>
      <c r="R176" s="22">
        <f>P176-M176*G176*J176</f>
        <v/>
      </c>
      <c r="S176" s="22">
        <f>IF(A176=A175,O176-O175,"")</f>
        <v/>
      </c>
      <c r="T176" s="22">
        <f>IF(A176=A175,P176-P175,"")</f>
        <v/>
      </c>
      <c r="U176" s="22">
        <f>IF(A176=A175,Q176-Q175,"")</f>
        <v/>
      </c>
      <c r="V176" s="22">
        <f>IF(A176=A175,R176-R175,"")</f>
        <v/>
      </c>
      <c r="W176" s="22">
        <f>IF(S176="","",D176-S176)</f>
        <v/>
      </c>
      <c r="X176" s="22">
        <f>IF(T176="","",D176-T176)</f>
        <v/>
      </c>
      <c r="Y176" s="22">
        <f>IF(U176="","",F176-U176)</f>
        <v/>
      </c>
      <c r="Z176" s="22">
        <f>IF(V176="","",F176-V176)</f>
        <v/>
      </c>
      <c r="AA176" s="6" t="n">
        <v>64585672.4595948</v>
      </c>
      <c r="AB176" s="6" t="n">
        <v>57808517.74441514</v>
      </c>
      <c r="AC176" s="6" t="n">
        <v>30352859.05291407</v>
      </c>
      <c r="AD176" s="6" t="n">
        <v>23554460.64045942</v>
      </c>
      <c r="AE176" s="6" t="n">
        <v>21345382.11868105</v>
      </c>
      <c r="AF176" s="6" t="n">
        <v>66627459.54443858</v>
      </c>
      <c r="AG176" s="6" t="n">
        <v>7322419.061954757</v>
      </c>
      <c r="AH176" s="6" t="n">
        <v>7310720.068141285</v>
      </c>
      <c r="AI176" s="6" t="n">
        <v>7155247.197622973</v>
      </c>
      <c r="AJ176" s="6" t="n">
        <v>7136192.961318797</v>
      </c>
      <c r="AK176" s="6" t="n">
        <v>7140024.614475497</v>
      </c>
      <c r="AL176" s="6" t="n">
        <v>7331082.334752034</v>
      </c>
      <c r="AM176" s="6" t="n">
        <v>5137782.627142449</v>
      </c>
      <c r="AN176" s="6" t="n">
        <v>5144068.800675659</v>
      </c>
      <c r="AO176" s="6" t="n">
        <v>5092819.00668774</v>
      </c>
      <c r="AP176" s="6" t="n">
        <v>5093929.977228971</v>
      </c>
      <c r="AQ176" s="6" t="n">
        <v>5101405.668273063</v>
      </c>
      <c r="AR176" s="6" t="n">
        <v>5139536.31108671</v>
      </c>
    </row>
    <row r="177">
      <c r="A177" t="inlineStr">
        <is>
          <t>CAT</t>
        </is>
      </c>
      <c r="B177" s="8" t="n">
        <v>202303</v>
      </c>
      <c r="C177" s="8" t="n">
        <v>2023</v>
      </c>
      <c r="D177" s="9" t="n">
        <v>9768445.08788575</v>
      </c>
      <c r="E177" s="10" t="n">
        <v>0.2784904088744087</v>
      </c>
      <c r="F177" s="22">
        <f>D177*(1-E177)</f>
        <v/>
      </c>
      <c r="G177" s="10" t="n">
        <v>0.1678630127672208</v>
      </c>
      <c r="H177" s="10" t="n">
        <v>0</v>
      </c>
      <c r="I177" s="10" t="n">
        <v>0</v>
      </c>
      <c r="J177" s="10" t="n">
        <v>0.2731051927869705</v>
      </c>
      <c r="K177" s="9" t="n">
        <v>15797025.12361197</v>
      </c>
      <c r="L177" s="18" t="n">
        <v>94106646.02760372</v>
      </c>
      <c r="M177" s="18" t="n">
        <v>66822881.60455775</v>
      </c>
      <c r="N177" s="23">
        <f>IF(L177=0,"",M177/L177)</f>
        <v/>
      </c>
      <c r="O177" s="9" t="n">
        <v>15797025.12361197</v>
      </c>
      <c r="P177" s="22">
        <f>M177*G177*(1+H177+I177)</f>
        <v/>
      </c>
      <c r="Q177" s="9" t="n">
        <v>11482775.5317673</v>
      </c>
      <c r="R177" s="22">
        <f>P177-M177*G177*J177</f>
        <v/>
      </c>
      <c r="S177" s="22">
        <f>IF(A177=A176,O177-O176,"")</f>
        <v/>
      </c>
      <c r="T177" s="22">
        <f>IF(A177=A176,P177-P176,"")</f>
        <v/>
      </c>
      <c r="U177" s="22">
        <f>IF(A177=A176,Q177-Q176,"")</f>
        <v/>
      </c>
      <c r="V177" s="22">
        <f>IF(A177=A176,R177-R176,"")</f>
        <v/>
      </c>
      <c r="W177" s="22">
        <f>IF(S177="","",D177-S177)</f>
        <v/>
      </c>
      <c r="X177" s="22">
        <f>IF(T177="","",D177-T177)</f>
        <v/>
      </c>
      <c r="Y177" s="22">
        <f>IF(U177="","",F177-U177)</f>
        <v/>
      </c>
      <c r="Z177" s="22">
        <f>IF(V177="","",F177-V177)</f>
        <v/>
      </c>
      <c r="AA177" s="9" t="n">
        <v>63577693.6185812</v>
      </c>
      <c r="AB177" s="9" t="n">
        <v>56693042.47153644</v>
      </c>
      <c r="AC177" s="9" t="n">
        <v>26709426.67034185</v>
      </c>
      <c r="AD177" s="9" t="n">
        <v>21442342.01210761</v>
      </c>
      <c r="AE177" s="9" t="n">
        <v>19203895.88987484</v>
      </c>
      <c r="AF177" s="9" t="n">
        <v>65424504.57159281</v>
      </c>
      <c r="AG177" s="9" t="n">
        <v>9742944.330200929</v>
      </c>
      <c r="AH177" s="9" t="n">
        <v>9781419.746735249</v>
      </c>
      <c r="AI177" s="9" t="n">
        <v>10288539.41301787</v>
      </c>
      <c r="AJ177" s="9" t="n">
        <v>10051983.25664968</v>
      </c>
      <c r="AK177" s="9" t="n">
        <v>10063572.58654907</v>
      </c>
      <c r="AL177" s="9" t="n">
        <v>9769518.340035368</v>
      </c>
      <c r="AM177" s="9" t="n">
        <v>6986800.85213595</v>
      </c>
      <c r="AN177" s="9" t="n">
        <v>7019247.971478226</v>
      </c>
      <c r="AO177" s="9" t="n">
        <v>7406018.164081208</v>
      </c>
      <c r="AP177" s="9" t="n">
        <v>7238560.302842095</v>
      </c>
      <c r="AQ177" s="9" t="n">
        <v>7248444.675181214</v>
      </c>
      <c r="AR177" s="9" t="n">
        <v>7004767.788955449</v>
      </c>
    </row>
    <row r="178">
      <c r="A178" s="4" t="inlineStr">
        <is>
          <t>CAT</t>
        </is>
      </c>
      <c r="B178" s="5" t="n">
        <v>202304</v>
      </c>
      <c r="C178" s="5" t="n">
        <v>2023</v>
      </c>
      <c r="D178" s="6" t="n">
        <v>16301677.42572854</v>
      </c>
      <c r="E178" s="11" t="n">
        <v>0.2784904088744087</v>
      </c>
      <c r="F178" s="22">
        <f>D178*(1-E178)</f>
        <v/>
      </c>
      <c r="G178" s="11" t="n">
        <v>0.1705525370323281</v>
      </c>
      <c r="H178" s="11" t="n">
        <v>0</v>
      </c>
      <c r="I178" s="11" t="n">
        <v>0</v>
      </c>
      <c r="J178" s="11" t="n">
        <v>0.2841732107435157</v>
      </c>
      <c r="K178" s="6" t="n">
        <v>15877107.48101533</v>
      </c>
      <c r="L178" s="18" t="n">
        <v>93092180.02430442</v>
      </c>
      <c r="M178" s="18" t="n">
        <v>72134179.24604557</v>
      </c>
      <c r="N178" s="23">
        <f>IF(L178=0,"",M178/L178)</f>
        <v/>
      </c>
      <c r="O178" s="6" t="n">
        <v>15877107.48101533</v>
      </c>
      <c r="P178" s="22">
        <f>M178*G178*(1+H178+I178)</f>
        <v/>
      </c>
      <c r="Q178" s="6" t="n">
        <v>11365258.87081531</v>
      </c>
      <c r="R178" s="22">
        <f>P178-M178*G178*J178</f>
        <v/>
      </c>
      <c r="S178" s="22">
        <f>IF(A178=A177,O178-O177,"")</f>
        <v/>
      </c>
      <c r="T178" s="22">
        <f>IF(A178=A177,P178-P177,"")</f>
        <v/>
      </c>
      <c r="U178" s="22">
        <f>IF(A178=A177,Q178-Q177,"")</f>
        <v/>
      </c>
      <c r="V178" s="22">
        <f>IF(A178=A177,R178-R177,"")</f>
        <v/>
      </c>
      <c r="W178" s="22">
        <f>IF(S178="","",D178-S178)</f>
        <v/>
      </c>
      <c r="X178" s="22">
        <f>IF(T178="","",D178-T178)</f>
        <v/>
      </c>
      <c r="Y178" s="22">
        <f>IF(U178="","",F178-U178)</f>
        <v/>
      </c>
      <c r="Z178" s="22">
        <f>IF(V178="","",F178-V178)</f>
        <v/>
      </c>
      <c r="AA178" s="6" t="n">
        <v>68781393.31207661</v>
      </c>
      <c r="AB178" s="6" t="n">
        <v>61698398.49174675</v>
      </c>
      <c r="AC178" s="6" t="n">
        <v>28526004.00329676</v>
      </c>
      <c r="AD178" s="6" t="n">
        <v>24198816.20519556</v>
      </c>
      <c r="AE178" s="6" t="n">
        <v>21907773.53921871</v>
      </c>
      <c r="AF178" s="6" t="n">
        <v>70389052.49301885</v>
      </c>
      <c r="AG178" s="6" t="n">
        <v>15243179.49134181</v>
      </c>
      <c r="AH178" s="6" t="n">
        <v>15295523.94434167</v>
      </c>
      <c r="AI178" s="6" t="n">
        <v>15920019.90174066</v>
      </c>
      <c r="AJ178" s="6" t="n">
        <v>15773884.05969095</v>
      </c>
      <c r="AK178" s="6" t="n">
        <v>15788874.88882752</v>
      </c>
      <c r="AL178" s="6" t="n">
        <v>15279000.38993283</v>
      </c>
      <c r="AM178" s="6" t="n">
        <v>11122237.12241939</v>
      </c>
      <c r="AN178" s="6" t="n">
        <v>11146915.61615307</v>
      </c>
      <c r="AO178" s="6" t="n">
        <v>11538239.66743578</v>
      </c>
      <c r="AP178" s="6" t="n">
        <v>11423845.9431467</v>
      </c>
      <c r="AQ178" s="6" t="n">
        <v>11430417.94692158</v>
      </c>
      <c r="AR178" s="6" t="n">
        <v>11151309.89133428</v>
      </c>
    </row>
    <row r="179">
      <c r="A179" t="inlineStr">
        <is>
          <t>CAT</t>
        </is>
      </c>
      <c r="B179" s="8" t="n">
        <v>202305</v>
      </c>
      <c r="C179" s="8" t="n">
        <v>2023</v>
      </c>
      <c r="D179" s="9" t="n">
        <v>12822222.93071074</v>
      </c>
      <c r="E179" s="10" t="n">
        <v>0.2784904088744087</v>
      </c>
      <c r="F179" s="22">
        <f>D179*(1-E179)</f>
        <v/>
      </c>
      <c r="G179" s="10" t="n">
        <v>0.1710687354926783</v>
      </c>
      <c r="H179" s="10" t="n">
        <v>0</v>
      </c>
      <c r="I179" s="10" t="n">
        <v>0</v>
      </c>
      <c r="J179" s="10" t="n">
        <v>0.2857064892589151</v>
      </c>
      <c r="K179" s="9" t="n">
        <v>15225688.19126443</v>
      </c>
      <c r="L179" s="18" t="n">
        <v>89003336.27541243</v>
      </c>
      <c r="M179" s="18" t="n">
        <v>72869182.72564106</v>
      </c>
      <c r="N179" s="23">
        <f>IF(L179=0,"",M179/L179)</f>
        <v/>
      </c>
      <c r="O179" s="9" t="n">
        <v>15225688.19126443</v>
      </c>
      <c r="P179" s="22">
        <f>M179*G179*(1+H179+I179)</f>
        <v/>
      </c>
      <c r="Q179" s="9" t="n">
        <v>10875610.27158735</v>
      </c>
      <c r="R179" s="22">
        <f>P179-M179*G179*J179</f>
        <v/>
      </c>
      <c r="S179" s="22">
        <f>IF(A179=A178,O179-O178,"")</f>
        <v/>
      </c>
      <c r="T179" s="22">
        <f>IF(A179=A178,P179-P178,"")</f>
        <v/>
      </c>
      <c r="U179" s="22">
        <f>IF(A179=A178,Q179-Q178,"")</f>
        <v/>
      </c>
      <c r="V179" s="22">
        <f>IF(A179=A178,R179-R178,"")</f>
        <v/>
      </c>
      <c r="W179" s="22">
        <f>IF(S179="","",D179-S179)</f>
        <v/>
      </c>
      <c r="X179" s="22">
        <f>IF(T179="","",D179-T179)</f>
        <v/>
      </c>
      <c r="Y179" s="22">
        <f>IF(U179="","",F179-U179)</f>
        <v/>
      </c>
      <c r="Z179" s="22">
        <f>IF(V179="","",F179-V179)</f>
        <v/>
      </c>
      <c r="AA179" s="9" t="n">
        <v>69506831.58534873</v>
      </c>
      <c r="AB179" s="9" t="n">
        <v>62429880.43609745</v>
      </c>
      <c r="AC179" s="9" t="n">
        <v>28253406.32721337</v>
      </c>
      <c r="AD179" s="9" t="n">
        <v>25079850.64381675</v>
      </c>
      <c r="AE179" s="9" t="n">
        <v>22761461.77356391</v>
      </c>
      <c r="AF179" s="9" t="n">
        <v>71733331.60893252</v>
      </c>
      <c r="AG179" s="9" t="n">
        <v>12662618.27329565</v>
      </c>
      <c r="AH179" s="9" t="n">
        <v>12665240.62114743</v>
      </c>
      <c r="AI179" s="9" t="n">
        <v>12854130.79111012</v>
      </c>
      <c r="AJ179" s="9" t="n">
        <v>12659014.09170289</v>
      </c>
      <c r="AK179" s="9" t="n">
        <v>12664874.80498568</v>
      </c>
      <c r="AL179" s="9" t="n">
        <v>12555924.08167977</v>
      </c>
      <c r="AM179" s="9" t="n">
        <v>9155338.899654817</v>
      </c>
      <c r="AN179" s="9" t="n">
        <v>9155359.790400418</v>
      </c>
      <c r="AO179" s="9" t="n">
        <v>9281608.081260327</v>
      </c>
      <c r="AP179" s="9" t="n">
        <v>9141105.909778519</v>
      </c>
      <c r="AQ179" s="9" t="n">
        <v>9144693.06118446</v>
      </c>
      <c r="AR179" s="9" t="n">
        <v>9079548.341125663</v>
      </c>
    </row>
    <row r="180">
      <c r="A180" s="4" t="inlineStr">
        <is>
          <t>CAT</t>
        </is>
      </c>
      <c r="B180" s="5" t="n">
        <v>202306</v>
      </c>
      <c r="C180" s="5" t="n">
        <v>2023</v>
      </c>
      <c r="D180" s="6" t="n">
        <v>14921771.16033502</v>
      </c>
      <c r="E180" s="11" t="n">
        <v>0.2784904088744087</v>
      </c>
      <c r="F180" s="22">
        <f>D180*(1-E180)</f>
        <v/>
      </c>
      <c r="G180" s="11" t="n">
        <v>0.1744093345384672</v>
      </c>
      <c r="H180" s="11" t="n">
        <v>0</v>
      </c>
      <c r="I180" s="11" t="n">
        <v>0</v>
      </c>
      <c r="J180" s="11" t="n">
        <v>0.2734262588672243</v>
      </c>
      <c r="K180" s="6" t="n">
        <v>15312527.00343546</v>
      </c>
      <c r="L180" s="18" t="n">
        <v>87796487.7508215</v>
      </c>
      <c r="M180" s="18" t="n">
        <v>76128118.31967722</v>
      </c>
      <c r="N180" s="23">
        <f>IF(L180=0,"",M180/L180)</f>
        <v/>
      </c>
      <c r="O180" s="6" t="n">
        <v>15312527.00343546</v>
      </c>
      <c r="P180" s="22">
        <f>M180*G180*(1+H180+I180)</f>
        <v/>
      </c>
      <c r="Q180" s="6" t="n">
        <v>11125680.03108276</v>
      </c>
      <c r="R180" s="22">
        <f>P180-M180*G180*J180</f>
        <v/>
      </c>
      <c r="S180" s="22">
        <f>IF(A180=A179,O180-O179,"")</f>
        <v/>
      </c>
      <c r="T180" s="22">
        <f>IF(A180=A179,P180-P179,"")</f>
        <v/>
      </c>
      <c r="U180" s="22">
        <f>IF(A180=A179,Q180-Q179,"")</f>
        <v/>
      </c>
      <c r="V180" s="22">
        <f>IF(A180=A179,R180-R179,"")</f>
        <v/>
      </c>
      <c r="W180" s="22">
        <f>IF(S180="","",D180-S180)</f>
        <v/>
      </c>
      <c r="X180" s="22">
        <f>IF(T180="","",D180-T180)</f>
        <v/>
      </c>
      <c r="Y180" s="22">
        <f>IF(U180="","",F180-U180)</f>
        <v/>
      </c>
      <c r="Z180" s="22">
        <f>IF(V180="","",F180-V180)</f>
        <v/>
      </c>
      <c r="AA180" s="6" t="n">
        <v>72588144.74409436</v>
      </c>
      <c r="AB180" s="6" t="n">
        <v>65003450.49259272</v>
      </c>
      <c r="AC180" s="6" t="n">
        <v>28654265.69511016</v>
      </c>
      <c r="AD180" s="6" t="n">
        <v>25831976.2729875</v>
      </c>
      <c r="AE180" s="6" t="n">
        <v>23458733.97034548</v>
      </c>
      <c r="AF180" s="6" t="n">
        <v>74749364.96575332</v>
      </c>
      <c r="AG180" s="6" t="n">
        <v>14152166.92754374</v>
      </c>
      <c r="AH180" s="6" t="n">
        <v>14264363.32038001</v>
      </c>
      <c r="AI180" s="6" t="n">
        <v>14757474.24251965</v>
      </c>
      <c r="AJ180" s="6" t="n">
        <v>14706811.70473276</v>
      </c>
      <c r="AK180" s="6" t="n">
        <v>14724123.46302064</v>
      </c>
      <c r="AL180" s="6" t="n">
        <v>14156114.49050202</v>
      </c>
      <c r="AM180" s="6" t="n">
        <v>10061009.3684229</v>
      </c>
      <c r="AN180" s="6" t="n">
        <v>10157395.32186466</v>
      </c>
      <c r="AO180" s="6" t="n">
        <v>10587473.45819964</v>
      </c>
      <c r="AP180" s="6" t="n">
        <v>10557330.27848077</v>
      </c>
      <c r="AQ180" s="6" t="n">
        <v>10574778.93414746</v>
      </c>
      <c r="AR180" s="6" t="n">
        <v>10059200.21406171</v>
      </c>
    </row>
    <row r="181">
      <c r="A181" t="inlineStr">
        <is>
          <t>CAT</t>
        </is>
      </c>
      <c r="B181" s="8" t="n">
        <v>202307</v>
      </c>
      <c r="C181" s="8" t="n">
        <v>2023</v>
      </c>
      <c r="D181" s="9" t="n">
        <v>15136833.49968168</v>
      </c>
      <c r="E181" s="10" t="n">
        <v>0.2784904088744087</v>
      </c>
      <c r="F181" s="22">
        <f>D181*(1-E181)</f>
        <v/>
      </c>
      <c r="G181" s="10" t="n">
        <v>0.1762135803213986</v>
      </c>
      <c r="H181" s="10" t="n">
        <v>0</v>
      </c>
      <c r="I181" s="10" t="n">
        <v>0</v>
      </c>
      <c r="J181" s="10" t="n">
        <v>0.290457378996091</v>
      </c>
      <c r="K181" s="9" t="n">
        <v>15369354.81838488</v>
      </c>
      <c r="L181" s="18" t="n">
        <v>87220035.99468598</v>
      </c>
      <c r="M181" s="18" t="n">
        <v>78895165.95217687</v>
      </c>
      <c r="N181" s="23">
        <f>IF(L181=0,"",M181/L181)</f>
        <v/>
      </c>
      <c r="O181" s="9" t="n">
        <v>15369354.81838488</v>
      </c>
      <c r="P181" s="22">
        <f>M181*G181*(1+H181+I181)</f>
        <v/>
      </c>
      <c r="Q181" s="9" t="n">
        <v>10905212.30097586</v>
      </c>
      <c r="R181" s="22">
        <f>P181-M181*G181*J181</f>
        <v/>
      </c>
      <c r="S181" s="22">
        <f>IF(A181=A180,O181-O180,"")</f>
        <v/>
      </c>
      <c r="T181" s="22">
        <f>IF(A181=A180,P181-P180,"")</f>
        <v/>
      </c>
      <c r="U181" s="22">
        <f>IF(A181=A180,Q181-Q180,"")</f>
        <v/>
      </c>
      <c r="V181" s="22">
        <f>IF(A181=A180,R181-R180,"")</f>
        <v/>
      </c>
      <c r="W181" s="22">
        <f>IF(S181="","",D181-S181)</f>
        <v/>
      </c>
      <c r="X181" s="22">
        <f>IF(T181="","",D181-T181)</f>
        <v/>
      </c>
      <c r="Y181" s="22">
        <f>IF(U181="","",F181-U181)</f>
        <v/>
      </c>
      <c r="Z181" s="22">
        <f>IF(V181="","",F181-V181)</f>
        <v/>
      </c>
      <c r="AA181" s="9" t="n">
        <v>75323341.14364675</v>
      </c>
      <c r="AB181" s="9" t="n">
        <v>67808491.61266524</v>
      </c>
      <c r="AC181" s="9" t="n">
        <v>34153099.38933746</v>
      </c>
      <c r="AD181" s="9" t="n">
        <v>31762595.97817009</v>
      </c>
      <c r="AE181" s="9" t="n">
        <v>29391104.25512635</v>
      </c>
      <c r="AF181" s="9" t="n">
        <v>77800679.4480779</v>
      </c>
      <c r="AG181" s="9" t="n">
        <v>14523887.89518901</v>
      </c>
      <c r="AH181" s="9" t="n">
        <v>14525264.95953771</v>
      </c>
      <c r="AI181" s="9" t="n">
        <v>14116164.98878655</v>
      </c>
      <c r="AJ181" s="9" t="n">
        <v>14045170.5336515</v>
      </c>
      <c r="AK181" s="9" t="n">
        <v>14049143.97016926</v>
      </c>
      <c r="AL181" s="9" t="n">
        <v>14464284.22354847</v>
      </c>
      <c r="AM181" s="9" t="n">
        <v>10702074.35127841</v>
      </c>
      <c r="AN181" s="9" t="n">
        <v>10680521.96501804</v>
      </c>
      <c r="AO181" s="9" t="n">
        <v>10282276.97795788</v>
      </c>
      <c r="AP181" s="9" t="n">
        <v>10223520.09627114</v>
      </c>
      <c r="AQ181" s="9" t="n">
        <v>10219289.97234326</v>
      </c>
      <c r="AR181" s="9" t="n">
        <v>10666202.66487959</v>
      </c>
    </row>
    <row r="182">
      <c r="A182" s="4" t="inlineStr">
        <is>
          <t>CAT</t>
        </is>
      </c>
      <c r="B182" s="5" t="n">
        <v>202308</v>
      </c>
      <c r="C182" s="5" t="n">
        <v>2023</v>
      </c>
      <c r="D182" s="6" t="n">
        <v>17412162.00481847</v>
      </c>
      <c r="E182" s="11" t="n">
        <v>0.2784904088744087</v>
      </c>
      <c r="F182" s="22">
        <f>D182*(1-E182)</f>
        <v/>
      </c>
      <c r="G182" s="11" t="n">
        <v>0.1781488209301169</v>
      </c>
      <c r="H182" s="11" t="n">
        <v>0</v>
      </c>
      <c r="I182" s="11" t="n">
        <v>0</v>
      </c>
      <c r="J182" s="11" t="n">
        <v>0.3008588952751553</v>
      </c>
      <c r="K182" s="6" t="n">
        <v>16111775.01055397</v>
      </c>
      <c r="L182" s="18" t="n">
        <v>90439975.55770628</v>
      </c>
      <c r="M182" s="18" t="n">
        <v>83917353.87948547</v>
      </c>
      <c r="N182" s="23">
        <f>IF(L182=0,"",M182/L182)</f>
        <v/>
      </c>
      <c r="O182" s="6" t="n">
        <v>16111775.01055397</v>
      </c>
      <c r="P182" s="22">
        <f>M182*G182*(1+H182+I182)</f>
        <v/>
      </c>
      <c r="Q182" s="6" t="n">
        <v>11264404.17995684</v>
      </c>
      <c r="R182" s="22">
        <f>P182-M182*G182*J182</f>
        <v/>
      </c>
      <c r="S182" s="22">
        <f>IF(A182=A181,O182-O181,"")</f>
        <v/>
      </c>
      <c r="T182" s="22">
        <f>IF(A182=A181,P182-P181,"")</f>
        <v/>
      </c>
      <c r="U182" s="22">
        <f>IF(A182=A181,Q182-Q181,"")</f>
        <v/>
      </c>
      <c r="V182" s="22">
        <f>IF(A182=A181,R182-R181,"")</f>
        <v/>
      </c>
      <c r="W182" s="22">
        <f>IF(S182="","",D182-S182)</f>
        <v/>
      </c>
      <c r="X182" s="22">
        <f>IF(T182="","",D182-T182)</f>
        <v/>
      </c>
      <c r="Y182" s="22">
        <f>IF(U182="","",F182-U182)</f>
        <v/>
      </c>
      <c r="Z182" s="22">
        <f>IF(V182="","",F182-V182)</f>
        <v/>
      </c>
      <c r="AA182" s="6" t="n">
        <v>80103204.85516322</v>
      </c>
      <c r="AB182" s="6" t="n">
        <v>72219722.50537571</v>
      </c>
      <c r="AC182" s="6" t="n">
        <v>35260439.15919085</v>
      </c>
      <c r="AD182" s="6" t="n">
        <v>31985365.44073651</v>
      </c>
      <c r="AE182" s="6" t="n">
        <v>29528369.25759216</v>
      </c>
      <c r="AF182" s="6" t="n">
        <v>82568453.15211441</v>
      </c>
      <c r="AG182" s="6" t="n">
        <v>16414866.13183964</v>
      </c>
      <c r="AH182" s="6" t="n">
        <v>16495080.67584683</v>
      </c>
      <c r="AI182" s="6" t="n">
        <v>17148796.26559823</v>
      </c>
      <c r="AJ182" s="6" t="n">
        <v>17311007.62214777</v>
      </c>
      <c r="AK182" s="6" t="n">
        <v>17330829.54798463</v>
      </c>
      <c r="AL182" s="6" t="n">
        <v>16412225.70672896</v>
      </c>
      <c r="AM182" s="6" t="n">
        <v>12003850.63039937</v>
      </c>
      <c r="AN182" s="6" t="n">
        <v>12046158.03459582</v>
      </c>
      <c r="AO182" s="6" t="n">
        <v>12441510.89536888</v>
      </c>
      <c r="AP182" s="6" t="n">
        <v>12550537.99635525</v>
      </c>
      <c r="AQ182" s="6" t="n">
        <v>12560049.6397551</v>
      </c>
      <c r="AR182" s="6" t="n">
        <v>12006545.28537182</v>
      </c>
    </row>
    <row r="183">
      <c r="A183" t="inlineStr">
        <is>
          <t>CAT</t>
        </is>
      </c>
      <c r="B183" s="8" t="n">
        <v>202309</v>
      </c>
      <c r="C183" s="8" t="n">
        <v>2023</v>
      </c>
      <c r="D183" s="9" t="n">
        <v>11828199.33429214</v>
      </c>
      <c r="E183" s="10" t="n">
        <v>0.2784904088744087</v>
      </c>
      <c r="F183" s="22">
        <f>D183*(1-E183)</f>
        <v/>
      </c>
      <c r="G183" s="10" t="n">
        <v>0.1796142947138545</v>
      </c>
      <c r="H183" s="10" t="n">
        <v>0</v>
      </c>
      <c r="I183" s="10" t="n">
        <v>0</v>
      </c>
      <c r="J183" s="10" t="n">
        <v>0.2903421755773265</v>
      </c>
      <c r="K183" s="9" t="n">
        <v>15620736.5523098</v>
      </c>
      <c r="L183" s="18" t="n">
        <v>86968225.87086052</v>
      </c>
      <c r="M183" s="18" t="n">
        <v>82864709.61044075</v>
      </c>
      <c r="N183" s="23">
        <f>IF(L183=0,"",M183/L183)</f>
        <v/>
      </c>
      <c r="O183" s="9" t="n">
        <v>15620736.5523098</v>
      </c>
      <c r="P183" s="22">
        <f>M183*G183*(1+H183+I183)</f>
        <v/>
      </c>
      <c r="Q183" s="9" t="n">
        <v>11085377.91759191</v>
      </c>
      <c r="R183" s="22">
        <f>P183-M183*G183*J183</f>
        <v/>
      </c>
      <c r="S183" s="22">
        <f>IF(A183=A182,O183-O182,"")</f>
        <v/>
      </c>
      <c r="T183" s="22">
        <f>IF(A183=A182,P183-P182,"")</f>
        <v/>
      </c>
      <c r="U183" s="22">
        <f>IF(A183=A182,Q183-Q182,"")</f>
        <v/>
      </c>
      <c r="V183" s="22">
        <f>IF(A183=A182,R183-R182,"")</f>
        <v/>
      </c>
      <c r="W183" s="22">
        <f>IF(S183="","",D183-S183)</f>
        <v/>
      </c>
      <c r="X183" s="22">
        <f>IF(T183="","",D183-T183)</f>
        <v/>
      </c>
      <c r="Y183" s="22">
        <f>IF(U183="","",F183-U183)</f>
        <v/>
      </c>
      <c r="Z183" s="22">
        <f>IF(V183="","",F183-V183)</f>
        <v/>
      </c>
      <c r="AA183" s="9" t="n">
        <v>79119142.38641462</v>
      </c>
      <c r="AB183" s="9" t="n">
        <v>71061474.7785652</v>
      </c>
      <c r="AC183" s="9" t="n">
        <v>32347015.35206405</v>
      </c>
      <c r="AD183" s="9" t="n">
        <v>28840842.08409846</v>
      </c>
      <c r="AE183" s="9" t="n">
        <v>26284384.9815696</v>
      </c>
      <c r="AF183" s="9" t="n">
        <v>81736228.21241476</v>
      </c>
      <c r="AG183" s="9" t="n">
        <v>11887561.87386219</v>
      </c>
      <c r="AH183" s="9" t="n">
        <v>11930401.07284671</v>
      </c>
      <c r="AI183" s="9" t="n">
        <v>12299818.64742091</v>
      </c>
      <c r="AJ183" s="9" t="n">
        <v>12346126.96468926</v>
      </c>
      <c r="AK183" s="9" t="n">
        <v>12367592.23106924</v>
      </c>
      <c r="AL183" s="9" t="n">
        <v>11856676.92642139</v>
      </c>
      <c r="AM183" s="9" t="n">
        <v>8426209.700433286</v>
      </c>
      <c r="AN183" s="9" t="n">
        <v>8471380.902278556</v>
      </c>
      <c r="AO183" s="9" t="n">
        <v>8802785.71515152</v>
      </c>
      <c r="AP183" s="9" t="n">
        <v>8841784.760427993</v>
      </c>
      <c r="AQ183" s="9" t="n">
        <v>8861621.038280167</v>
      </c>
      <c r="AR183" s="9" t="n">
        <v>8399673.21153741</v>
      </c>
    </row>
    <row r="184">
      <c r="A184" s="4" t="inlineStr">
        <is>
          <t>CAT</t>
        </is>
      </c>
      <c r="B184" s="5" t="n">
        <v>202310</v>
      </c>
      <c r="C184" s="5" t="n">
        <v>2023</v>
      </c>
      <c r="D184" s="6" t="n">
        <v>8462106.053371068</v>
      </c>
      <c r="E184" s="11" t="n">
        <v>0.2784904088744087</v>
      </c>
      <c r="F184" s="22">
        <f>D184*(1-E184)</f>
        <v/>
      </c>
      <c r="G184" s="11" t="n">
        <v>0.18206194116627</v>
      </c>
      <c r="H184" s="11" t="n">
        <v>0</v>
      </c>
      <c r="I184" s="11" t="n">
        <v>0</v>
      </c>
      <c r="J184" s="11" t="n">
        <v>0.2797864276842116</v>
      </c>
      <c r="K184" s="6" t="n">
        <v>14779311.80882638</v>
      </c>
      <c r="L184" s="18" t="n">
        <v>81177382.34664331</v>
      </c>
      <c r="M184" s="18" t="n">
        <v>78770939.50202172</v>
      </c>
      <c r="N184" s="23">
        <f>IF(L184=0,"",M184/L184)</f>
        <v/>
      </c>
      <c r="O184" s="6" t="n">
        <v>14779311.80882638</v>
      </c>
      <c r="P184" s="22">
        <f>M184*G184*(1+H184+I184)</f>
        <v/>
      </c>
      <c r="Q184" s="6" t="n">
        <v>10644260.95420377</v>
      </c>
      <c r="R184" s="22">
        <f>P184-M184*G184*J184</f>
        <v/>
      </c>
      <c r="S184" s="22">
        <f>IF(A184=A183,O184-O183,"")</f>
        <v/>
      </c>
      <c r="T184" s="22">
        <f>IF(A184=A183,P184-P183,"")</f>
        <v/>
      </c>
      <c r="U184" s="22">
        <f>IF(A184=A183,Q184-Q183,"")</f>
        <v/>
      </c>
      <c r="V184" s="22">
        <f>IF(A184=A183,R184-R183,"")</f>
        <v/>
      </c>
      <c r="W184" s="22">
        <f>IF(S184="","",D184-S184)</f>
        <v/>
      </c>
      <c r="X184" s="22">
        <f>IF(T184="","",D184-T184)</f>
        <v/>
      </c>
      <c r="Y184" s="22">
        <f>IF(U184="","",F184-U184)</f>
        <v/>
      </c>
      <c r="Z184" s="22">
        <f>IF(V184="","",F184-V184)</f>
        <v/>
      </c>
      <c r="AA184" s="6" t="n">
        <v>74961341.45012474</v>
      </c>
      <c r="AB184" s="6" t="n">
        <v>66829408.02920322</v>
      </c>
      <c r="AC184" s="6" t="n">
        <v>31853346.42318087</v>
      </c>
      <c r="AD184" s="6" t="n">
        <v>26696295.86664318</v>
      </c>
      <c r="AE184" s="6" t="n">
        <v>24121548.33719375</v>
      </c>
      <c r="AF184" s="6" t="n">
        <v>77455536.34221898</v>
      </c>
      <c r="AG184" s="6" t="n">
        <v>9025427.674634667</v>
      </c>
      <c r="AH184" s="6" t="n">
        <v>9058670.974259961</v>
      </c>
      <c r="AI184" s="6" t="n">
        <v>8472810.319484303</v>
      </c>
      <c r="AJ184" s="6" t="n">
        <v>8781954.115829937</v>
      </c>
      <c r="AK184" s="6" t="n">
        <v>8791541.409617612</v>
      </c>
      <c r="AL184" s="6" t="n">
        <v>9041395.735775635</v>
      </c>
      <c r="AM184" s="6" t="n">
        <v>6361195.572433451</v>
      </c>
      <c r="AN184" s="6" t="n">
        <v>6400414.889379205</v>
      </c>
      <c r="AO184" s="6" t="n">
        <v>6051871.285207752</v>
      </c>
      <c r="AP184" s="6" t="n">
        <v>6281168.41866757</v>
      </c>
      <c r="AQ184" s="6" t="n">
        <v>6292920.266397237</v>
      </c>
      <c r="AR184" s="6" t="n">
        <v>6367734.088339387</v>
      </c>
    </row>
    <row r="185">
      <c r="A185" t="inlineStr">
        <is>
          <t>CAT</t>
        </is>
      </c>
      <c r="B185" s="8" t="n">
        <v>202311</v>
      </c>
      <c r="C185" s="8" t="n">
        <v>2023</v>
      </c>
      <c r="D185" s="9" t="n">
        <v>21010573.73040631</v>
      </c>
      <c r="E185" s="10" t="n">
        <v>0.2784904088744087</v>
      </c>
      <c r="F185" s="22">
        <f>D185*(1-E185)</f>
        <v/>
      </c>
      <c r="G185" s="10" t="n">
        <v>0.1826532853465741</v>
      </c>
      <c r="H185" s="10" t="n">
        <v>0</v>
      </c>
      <c r="I185" s="10" t="n">
        <v>0</v>
      </c>
      <c r="J185" s="10" t="n">
        <v>0.2920160013822014</v>
      </c>
      <c r="K185" s="9" t="n">
        <v>16037788.67276691</v>
      </c>
      <c r="L185" s="18" t="n">
        <v>87804545.32934418</v>
      </c>
      <c r="M185" s="18" t="n">
        <v>85909925.08497268</v>
      </c>
      <c r="N185" s="23">
        <f>IF(L185=0,"",M185/L185)</f>
        <v/>
      </c>
      <c r="O185" s="9" t="n">
        <v>16037788.67276691</v>
      </c>
      <c r="P185" s="22">
        <f>M185*G185*(1+H185+I185)</f>
        <v/>
      </c>
      <c r="Q185" s="9" t="n">
        <v>11354497.75353275</v>
      </c>
      <c r="R185" s="22">
        <f>P185-M185*G185*J185</f>
        <v/>
      </c>
      <c r="S185" s="22">
        <f>IF(A185=A184,O185-O184,"")</f>
        <v/>
      </c>
      <c r="T185" s="22">
        <f>IF(A185=A184,P185-P184,"")</f>
        <v/>
      </c>
      <c r="U185" s="22">
        <f>IF(A185=A184,Q185-Q184,"")</f>
        <v/>
      </c>
      <c r="V185" s="22">
        <f>IF(A185=A184,R185-R184,"")</f>
        <v/>
      </c>
      <c r="W185" s="22">
        <f>IF(S185="","",D185-S185)</f>
        <v/>
      </c>
      <c r="X185" s="22">
        <f>IF(T185="","",D185-T185)</f>
        <v/>
      </c>
      <c r="Y185" s="22">
        <f>IF(U185="","",F185-U185)</f>
        <v/>
      </c>
      <c r="Z185" s="22">
        <f>IF(V185="","",F185-V185)</f>
        <v/>
      </c>
      <c r="AA185" s="9" t="n">
        <v>81709995.78763182</v>
      </c>
      <c r="AB185" s="9" t="n">
        <v>72793868.07905287</v>
      </c>
      <c r="AC185" s="9" t="n">
        <v>37480727.07948238</v>
      </c>
      <c r="AD185" s="9" t="n">
        <v>26701976.68550158</v>
      </c>
      <c r="AE185" s="9" t="n">
        <v>24005771.37362644</v>
      </c>
      <c r="AF185" s="9" t="n">
        <v>84903436.37138335</v>
      </c>
      <c r="AG185" s="9" t="n">
        <v>19733581.89097791</v>
      </c>
      <c r="AH185" s="9" t="n">
        <v>19881626.32547164</v>
      </c>
      <c r="AI185" s="9" t="n">
        <v>19963877.87460652</v>
      </c>
      <c r="AJ185" s="9" t="n">
        <v>20993749.41098195</v>
      </c>
      <c r="AK185" s="9" t="n">
        <v>21017456.63594021</v>
      </c>
      <c r="AL185" s="9" t="n">
        <v>19604387.44049828</v>
      </c>
      <c r="AM185" s="9" t="n">
        <v>14422145.09258581</v>
      </c>
      <c r="AN185" s="9" t="n">
        <v>14508852.10884565</v>
      </c>
      <c r="AO185" s="9" t="n">
        <v>14489209.29183643</v>
      </c>
      <c r="AP185" s="9" t="n">
        <v>15206859.481252</v>
      </c>
      <c r="AQ185" s="9" t="n">
        <v>15217911.03899758</v>
      </c>
      <c r="AR185" s="9" t="n">
        <v>14336230.91344921</v>
      </c>
    </row>
    <row r="186">
      <c r="A186" s="4" t="inlineStr">
        <is>
          <t>CAT</t>
        </is>
      </c>
      <c r="B186" s="5" t="n">
        <v>202312</v>
      </c>
      <c r="C186" s="5" t="n">
        <v>2023</v>
      </c>
      <c r="D186" s="6" t="n">
        <v>20335777.01622272</v>
      </c>
      <c r="E186" s="11" t="n">
        <v>0.2784904088744087</v>
      </c>
      <c r="F186" s="22">
        <f>D186*(1-E186)</f>
        <v/>
      </c>
      <c r="G186" s="11" t="n">
        <v>0.1834497348412276</v>
      </c>
      <c r="H186" s="11" t="n">
        <v>0</v>
      </c>
      <c r="I186" s="11" t="n">
        <v>0</v>
      </c>
      <c r="J186" s="11" t="n">
        <v>0.2597882836314175</v>
      </c>
      <c r="K186" s="6" t="n">
        <v>17207600.28762392</v>
      </c>
      <c r="L186" s="18" t="n">
        <v>93800082.63580641</v>
      </c>
      <c r="M186" s="18" t="n">
        <v>93633120.37662525</v>
      </c>
      <c r="N186" s="23">
        <f>IF(L186=0,"",M186/L186)</f>
        <v/>
      </c>
      <c r="O186" s="6" t="n">
        <v>17207600.28762392</v>
      </c>
      <c r="P186" s="22">
        <f>M186*G186*(1+H186+I186)</f>
        <v/>
      </c>
      <c r="Q186" s="6" t="n">
        <v>12737267.34348662</v>
      </c>
      <c r="R186" s="22">
        <f>P186-M186*G186*J186</f>
        <v/>
      </c>
      <c r="S186" s="22">
        <f>IF(A186=A185,O186-O185,"")</f>
        <v/>
      </c>
      <c r="T186" s="22">
        <f>IF(A186=A185,P186-P185,"")</f>
        <v/>
      </c>
      <c r="U186" s="22">
        <f>IF(A186=A185,Q186-Q185,"")</f>
        <v/>
      </c>
      <c r="V186" s="22">
        <f>IF(A186=A185,R186-R185,"")</f>
        <v/>
      </c>
      <c r="W186" s="22">
        <f>IF(S186="","",D186-S186)</f>
        <v/>
      </c>
      <c r="X186" s="22">
        <f>IF(T186="","",D186-T186)</f>
        <v/>
      </c>
      <c r="Y186" s="22">
        <f>IF(U186="","",F186-U186)</f>
        <v/>
      </c>
      <c r="Z186" s="22">
        <f>IF(V186="","",F186-V186)</f>
        <v/>
      </c>
      <c r="AA186" s="6" t="n">
        <v>89088144.56385395</v>
      </c>
      <c r="AB186" s="6" t="n">
        <v>79317175.16735496</v>
      </c>
      <c r="AC186" s="6" t="n">
        <v>44789806.36294361</v>
      </c>
      <c r="AD186" s="6" t="n">
        <v>24670620.53261675</v>
      </c>
      <c r="AE186" s="6" t="n">
        <v>21779081.01585287</v>
      </c>
      <c r="AF186" s="6" t="n">
        <v>90893778.10318623</v>
      </c>
      <c r="AG186" s="6" t="n">
        <v>18917179.69475245</v>
      </c>
      <c r="AH186" s="6" t="n">
        <v>19081101.42114037</v>
      </c>
      <c r="AI186" s="6" t="n">
        <v>18965076.85359655</v>
      </c>
      <c r="AJ186" s="6" t="n">
        <v>20687161.98800012</v>
      </c>
      <c r="AK186" s="6" t="n">
        <v>20725143.38745051</v>
      </c>
      <c r="AL186" s="6" t="n">
        <v>19169229.11492281</v>
      </c>
      <c r="AM186" s="6" t="n">
        <v>13141410.0322384</v>
      </c>
      <c r="AN186" s="6" t="n">
        <v>13315231.58729587</v>
      </c>
      <c r="AO186" s="6" t="n">
        <v>13437219.59546996</v>
      </c>
      <c r="AP186" s="6" t="n">
        <v>14775376.28685028</v>
      </c>
      <c r="AQ186" s="6" t="n">
        <v>14819361.77232277</v>
      </c>
      <c r="AR186" s="6" t="n">
        <v>13309181.782862</v>
      </c>
    </row>
    <row r="187">
      <c r="A187" t="inlineStr">
        <is>
          <t>CAT</t>
        </is>
      </c>
      <c r="B187" s="8" t="n">
        <v>202401</v>
      </c>
      <c r="C187" s="8" t="n">
        <v>2024</v>
      </c>
      <c r="D187" s="9" t="n">
        <v>14889896.2890969</v>
      </c>
      <c r="E187" s="10" t="n">
        <v>0.3360974203448559</v>
      </c>
      <c r="F187" s="22">
        <f>D187*(1-E187)</f>
        <v/>
      </c>
      <c r="G187" s="10" t="n">
        <v>0.1853388820627262</v>
      </c>
      <c r="H187" s="10" t="n">
        <v>0</v>
      </c>
      <c r="I187" s="10" t="n">
        <v>0</v>
      </c>
      <c r="J187" s="10" t="n">
        <v>0.2949032343267531</v>
      </c>
      <c r="K187" s="9" t="n">
        <v>17338542.17619181</v>
      </c>
      <c r="L187" s="18" t="n">
        <v>93550484.297859</v>
      </c>
      <c r="M187" s="18" t="n">
        <v>93821627.19031256</v>
      </c>
      <c r="N187" s="23">
        <f>IF(L187=0,"",M187/L187)</f>
        <v/>
      </c>
      <c r="O187" s="9" t="n">
        <v>17338542.17619181</v>
      </c>
      <c r="P187" s="22">
        <f>M187*G187*(1+H187+I187)</f>
        <v/>
      </c>
      <c r="Q187" s="9" t="n">
        <v>12225350.00992202</v>
      </c>
      <c r="R187" s="22">
        <f>P187-M187*G187*J187</f>
        <v/>
      </c>
      <c r="S187" s="22">
        <f>IF(A187=A186,O187-O186,"")</f>
        <v/>
      </c>
      <c r="T187" s="22">
        <f>IF(A187=A186,P187-P186,"")</f>
        <v/>
      </c>
      <c r="U187" s="22">
        <f>IF(A187=A186,Q187-Q186,"")</f>
        <v/>
      </c>
      <c r="V187" s="22">
        <f>IF(A187=A186,R187-R186,"")</f>
        <v/>
      </c>
      <c r="W187" s="22">
        <f>IF(S187="","",D187-S187)</f>
        <v/>
      </c>
      <c r="X187" s="22">
        <f>IF(T187="","",D187-T187)</f>
        <v/>
      </c>
      <c r="Y187" s="22">
        <f>IF(U187="","",F187-U187)</f>
        <v/>
      </c>
      <c r="Z187" s="22">
        <f>IF(V187="","",F187-V187)</f>
        <v/>
      </c>
      <c r="AA187" s="9" t="n">
        <v>89466457.40479814</v>
      </c>
      <c r="AB187" s="9" t="n">
        <v>80063303.27656491</v>
      </c>
      <c r="AC187" s="9" t="n">
        <v>48006905.4817379</v>
      </c>
      <c r="AD187" s="9" t="n">
        <v>31283156.86769298</v>
      </c>
      <c r="AE187" s="9" t="n">
        <v>28406772.23393882</v>
      </c>
      <c r="AF187" s="9" t="n">
        <v>91602757.63025364</v>
      </c>
      <c r="AG187" s="9" t="n">
        <v>14651479.58931505</v>
      </c>
      <c r="AH187" s="9" t="n">
        <v>14601767.91837582</v>
      </c>
      <c r="AI187" s="9" t="n">
        <v>14209028.19669256</v>
      </c>
      <c r="AJ187" s="9" t="n">
        <v>13617729.76292287</v>
      </c>
      <c r="AK187" s="9" t="n">
        <v>13620383.51769201</v>
      </c>
      <c r="AL187" s="9" t="n">
        <v>14586783.08778971</v>
      </c>
      <c r="AM187" s="9" t="n">
        <v>10291224.2524525</v>
      </c>
      <c r="AN187" s="9" t="n">
        <v>10193229.80596154</v>
      </c>
      <c r="AO187" s="9" t="n">
        <v>9693890.913716141</v>
      </c>
      <c r="AP187" s="9" t="n">
        <v>9147363.957971068</v>
      </c>
      <c r="AQ187" s="9" t="n">
        <v>9130608.310514148</v>
      </c>
      <c r="AR187" s="9" t="n">
        <v>10257238.53987948</v>
      </c>
    </row>
    <row r="188">
      <c r="A188" s="4" t="inlineStr">
        <is>
          <t>CAT</t>
        </is>
      </c>
      <c r="B188" s="5" t="n">
        <v>202402</v>
      </c>
      <c r="C188" s="5" t="n">
        <v>2024</v>
      </c>
      <c r="D188" s="6" t="n">
        <v>12105034.31759037</v>
      </c>
      <c r="E188" s="11" t="n">
        <v>0.3360974203448559</v>
      </c>
      <c r="F188" s="22">
        <f>D188*(1-E188)</f>
        <v/>
      </c>
      <c r="G188" s="11" t="n">
        <v>0.2270782271991548</v>
      </c>
      <c r="H188" s="11" t="n">
        <v>0</v>
      </c>
      <c r="I188" s="11" t="n">
        <v>0</v>
      </c>
      <c r="J188" s="11" t="n">
        <v>0.2751363890165376</v>
      </c>
      <c r="K188" s="6" t="n">
        <v>17318995.76235905</v>
      </c>
      <c r="L188" s="18" t="n">
        <v>76268852.26283604</v>
      </c>
      <c r="M188" s="18" t="n">
        <v>92042828.36600663</v>
      </c>
      <c r="N188" s="23">
        <f>IF(L188=0,"",M188/L188)</f>
        <v/>
      </c>
      <c r="O188" s="6" t="n">
        <v>17318995.76235905</v>
      </c>
      <c r="P188" s="22">
        <f>M188*G188*(1+H188+I188)</f>
        <v/>
      </c>
      <c r="Q188" s="6" t="n">
        <v>12553909.80691087</v>
      </c>
      <c r="R188" s="22">
        <f>P188-M188*G188*J188</f>
        <v/>
      </c>
      <c r="S188" s="22">
        <f>IF(A188=A187,O188-O187,"")</f>
        <v/>
      </c>
      <c r="T188" s="22">
        <f>IF(A188=A187,P188-P187,"")</f>
        <v/>
      </c>
      <c r="U188" s="22">
        <f>IF(A188=A187,Q188-Q187,"")</f>
        <v/>
      </c>
      <c r="V188" s="22">
        <f>IF(A188=A187,R188-R187,"")</f>
        <v/>
      </c>
      <c r="W188" s="22">
        <f>IF(S188="","",D188-S188)</f>
        <v/>
      </c>
      <c r="X188" s="22">
        <f>IF(T188="","",D188-T188)</f>
        <v/>
      </c>
      <c r="Y188" s="22">
        <f>IF(U188="","",F188-U188)</f>
        <v/>
      </c>
      <c r="Z188" s="22">
        <f>IF(V188="","",F188-V188)</f>
        <v/>
      </c>
      <c r="AA188" s="6" t="n">
        <v>87477777.93242437</v>
      </c>
      <c r="AB188" s="6" t="n">
        <v>77784931.14844194</v>
      </c>
      <c r="AC188" s="6" t="n">
        <v>41648759.67240074</v>
      </c>
      <c r="AD188" s="6" t="n">
        <v>27593533.37572569</v>
      </c>
      <c r="AE188" s="6" t="n">
        <v>24689117.36059406</v>
      </c>
      <c r="AF188" s="6" t="n">
        <v>89265543.44882753</v>
      </c>
      <c r="AG188" s="6" t="n">
        <v>8822348.782891899</v>
      </c>
      <c r="AH188" s="6" t="n">
        <v>9280613.1731214</v>
      </c>
      <c r="AI188" s="6" t="n">
        <v>11545053.99941422</v>
      </c>
      <c r="AJ188" s="6" t="n">
        <v>11637128.99772098</v>
      </c>
      <c r="AK188" s="6" t="n">
        <v>11763552.7250835</v>
      </c>
      <c r="AL188" s="6" t="n">
        <v>8812325.654315561</v>
      </c>
      <c r="AM188" s="6" t="n">
        <v>5329298.036788419</v>
      </c>
      <c r="AN188" s="6" t="n">
        <v>5695926.283939147</v>
      </c>
      <c r="AO188" s="6" t="n">
        <v>7454777.735506473</v>
      </c>
      <c r="AP188" s="6" t="n">
        <v>7582788.091547325</v>
      </c>
      <c r="AQ188" s="6" t="n">
        <v>7684965.873181732</v>
      </c>
      <c r="AR188" s="6" t="n">
        <v>5314206.160854753</v>
      </c>
    </row>
    <row r="189">
      <c r="A189" t="inlineStr">
        <is>
          <t>CAT</t>
        </is>
      </c>
      <c r="B189" s="8" t="n">
        <v>202403</v>
      </c>
      <c r="C189" s="8" t="n">
        <v>2024</v>
      </c>
      <c r="D189" s="9" t="n">
        <v>8065992.624976513</v>
      </c>
      <c r="E189" s="10" t="n">
        <v>0.3360974203448559</v>
      </c>
      <c r="F189" s="22">
        <f>D189*(1-E189)</f>
        <v/>
      </c>
      <c r="G189" s="10" t="n">
        <v>0.2373322269049639</v>
      </c>
      <c r="H189" s="10" t="n">
        <v>0</v>
      </c>
      <c r="I189" s="10" t="n">
        <v>0</v>
      </c>
      <c r="J189" s="10" t="n">
        <v>0.2655454280474555</v>
      </c>
      <c r="K189" s="9" t="n">
        <v>16571994.41086792</v>
      </c>
      <c r="L189" s="18" t="n">
        <v>69826144.67062631</v>
      </c>
      <c r="M189" s="18" t="n">
        <v>86960026.99138165</v>
      </c>
      <c r="N189" s="23">
        <f>IF(L189=0,"",M189/L189)</f>
        <v/>
      </c>
      <c r="O189" s="9" t="n">
        <v>16571994.41086792</v>
      </c>
      <c r="P189" s="22">
        <f>M189*G189*(1+H189+I189)</f>
        <v/>
      </c>
      <c r="Q189" s="9" t="n">
        <v>12171377.06143396</v>
      </c>
      <c r="R189" s="22">
        <f>P189-M189*G189*J189</f>
        <v/>
      </c>
      <c r="S189" s="22">
        <f>IF(A189=A188,O189-O188,"")</f>
        <v/>
      </c>
      <c r="T189" s="22">
        <f>IF(A189=A188,P189-P188,"")</f>
        <v/>
      </c>
      <c r="U189" s="22">
        <f>IF(A189=A188,Q189-Q188,"")</f>
        <v/>
      </c>
      <c r="V189" s="22">
        <f>IF(A189=A188,R189-R188,"")</f>
        <v/>
      </c>
      <c r="W189" s="22">
        <f>IF(S189="","",D189-S189)</f>
        <v/>
      </c>
      <c r="X189" s="22">
        <f>IF(T189="","",D189-T189)</f>
        <v/>
      </c>
      <c r="Y189" s="22">
        <f>IF(U189="","",F189-U189)</f>
        <v/>
      </c>
      <c r="Z189" s="22">
        <f>IF(V189="","",F189-V189)</f>
        <v/>
      </c>
      <c r="AA189" s="9" t="n">
        <v>82421145.84506167</v>
      </c>
      <c r="AB189" s="9" t="n">
        <v>72812270.72255819</v>
      </c>
      <c r="AC189" s="9" t="n">
        <v>35498198.35469507</v>
      </c>
      <c r="AD189" s="9" t="n">
        <v>23530521.41958267</v>
      </c>
      <c r="AE189" s="9" t="n">
        <v>20608299.27819198</v>
      </c>
      <c r="AF189" s="9" t="n">
        <v>83011041.8923353</v>
      </c>
      <c r="AG189" s="9" t="n">
        <v>8369097.269725476</v>
      </c>
      <c r="AH189" s="9" t="n">
        <v>8448558.536381181</v>
      </c>
      <c r="AI189" s="9" t="n">
        <v>9098652.669795018</v>
      </c>
      <c r="AJ189" s="9" t="n">
        <v>8747332.217352506</v>
      </c>
      <c r="AK189" s="9" t="n">
        <v>8781340.065914825</v>
      </c>
      <c r="AL189" s="9" t="n">
        <v>8635058.551296208</v>
      </c>
      <c r="AM189" s="9" t="n">
        <v>5387132.18949833</v>
      </c>
      <c r="AN189" s="9" t="n">
        <v>5466602.915724691</v>
      </c>
      <c r="AO189" s="9" t="n">
        <v>6022768.434755547</v>
      </c>
      <c r="AP189" s="9" t="n">
        <v>5795350.37729858</v>
      </c>
      <c r="AQ189" s="9" t="n">
        <v>5826653.120190384</v>
      </c>
      <c r="AR189" s="9" t="n">
        <v>5578575.097027542</v>
      </c>
    </row>
    <row r="190">
      <c r="A190" s="4" t="inlineStr">
        <is>
          <t>CAT</t>
        </is>
      </c>
      <c r="B190" s="5" t="n">
        <v>202404</v>
      </c>
      <c r="C190" s="5" t="n">
        <v>2024</v>
      </c>
      <c r="D190" s="6" t="n">
        <v>34584876.30936804</v>
      </c>
      <c r="E190" s="11" t="n">
        <v>0.3360974203448559</v>
      </c>
      <c r="F190" s="22">
        <f>D190*(1-E190)</f>
        <v/>
      </c>
      <c r="G190" s="11" t="n">
        <v>0.1745035055971505</v>
      </c>
      <c r="H190" s="11" t="n">
        <v>0</v>
      </c>
      <c r="I190" s="11" t="n">
        <v>0</v>
      </c>
      <c r="J190" s="11" t="n">
        <v>0.2771570925710383</v>
      </c>
      <c r="K190" s="6" t="n">
        <v>19826480.78800476</v>
      </c>
      <c r="L190" s="18" t="n">
        <v>113616518.5917532</v>
      </c>
      <c r="M190" s="18" t="n">
        <v>107198284.1751816</v>
      </c>
      <c r="N190" s="23">
        <f>IF(L190=0,"",M190/L190)</f>
        <v/>
      </c>
      <c r="O190" s="6" t="n">
        <v>19826480.78800476</v>
      </c>
      <c r="P190" s="22">
        <f>M190*G190*(1+H190+I190)</f>
        <v/>
      </c>
      <c r="Q190" s="6" t="n">
        <v>14331431.01688582</v>
      </c>
      <c r="R190" s="22">
        <f>P190-M190*G190*J190</f>
        <v/>
      </c>
      <c r="S190" s="22">
        <f>IF(A190=A189,O190-O189,"")</f>
        <v/>
      </c>
      <c r="T190" s="22">
        <f>IF(A190=A189,P190-P189,"")</f>
        <v/>
      </c>
      <c r="U190" s="22">
        <f>IF(A190=A189,Q190-Q189,"")</f>
        <v/>
      </c>
      <c r="V190" s="22">
        <f>IF(A190=A189,R190-R189,"")</f>
        <v/>
      </c>
      <c r="W190" s="22">
        <f>IF(S190="","",D190-S190)</f>
        <v/>
      </c>
      <c r="X190" s="22">
        <f>IF(T190="","",D190-T190)</f>
        <v/>
      </c>
      <c r="Y190" s="22">
        <f>IF(U190="","",F190-U190)</f>
        <v/>
      </c>
      <c r="Z190" s="22">
        <f>IF(V190="","",F190-V190)</f>
        <v/>
      </c>
      <c r="AA190" s="6" t="n">
        <v>102052905.1388628</v>
      </c>
      <c r="AB190" s="6" t="n">
        <v>91003703.50726919</v>
      </c>
      <c r="AC190" s="6" t="n">
        <v>36322769.94113386</v>
      </c>
      <c r="AD190" s="6" t="n">
        <v>27539608.69938745</v>
      </c>
      <c r="AE190" s="6" t="n">
        <v>24393419.11540294</v>
      </c>
      <c r="AF190" s="6" t="n">
        <v>101996245.2817639</v>
      </c>
      <c r="AG190" s="6" t="n">
        <v>36337480.69373034</v>
      </c>
      <c r="AH190" s="6" t="n">
        <v>35985109.38161771</v>
      </c>
      <c r="AI190" s="6" t="n">
        <v>36671292.08827528</v>
      </c>
      <c r="AJ190" s="6" t="n">
        <v>35363669.09729565</v>
      </c>
      <c r="AK190" s="6" t="n">
        <v>35219152.72064695</v>
      </c>
      <c r="AL190" s="6" t="n">
        <v>36487369.37996261</v>
      </c>
      <c r="AM190" s="6" t="n">
        <v>24454984.27103307</v>
      </c>
      <c r="AN190" s="6" t="n">
        <v>24173794.81591663</v>
      </c>
      <c r="AO190" s="6" t="n">
        <v>24566966.16964103</v>
      </c>
      <c r="AP190" s="6" t="n">
        <v>23588779.37524667</v>
      </c>
      <c r="AQ190" s="6" t="n">
        <v>23476263.61272983</v>
      </c>
      <c r="AR190" s="6" t="n">
        <v>24564955.89340236</v>
      </c>
    </row>
    <row r="191">
      <c r="A191" t="inlineStr">
        <is>
          <t>CAT</t>
        </is>
      </c>
      <c r="B191" s="8" t="n">
        <v>202405</v>
      </c>
      <c r="C191" s="8" t="n">
        <v>2024</v>
      </c>
      <c r="D191" s="9" t="n">
        <v>25726820.15444191</v>
      </c>
      <c r="E191" s="10" t="n">
        <v>0.3360974203448559</v>
      </c>
      <c r="F191" s="22">
        <f>D191*(1-E191)</f>
        <v/>
      </c>
      <c r="G191" s="10" t="n">
        <v>0.1699453104082901</v>
      </c>
      <c r="H191" s="10" t="n">
        <v>0</v>
      </c>
      <c r="I191" s="10" t="n">
        <v>0</v>
      </c>
      <c r="J191" s="10" t="n">
        <v>0.3099919731908943</v>
      </c>
      <c r="K191" s="9" t="n">
        <v>20682284.22873375</v>
      </c>
      <c r="L191" s="18" t="n">
        <v>121699646.6630647</v>
      </c>
      <c r="M191" s="18" t="n">
        <v>116564348.6879131</v>
      </c>
      <c r="N191" s="23">
        <f>IF(L191=0,"",M191/L191)</f>
        <v/>
      </c>
      <c r="O191" s="9" t="n">
        <v>20682284.22873375</v>
      </c>
      <c r="P191" s="22">
        <f>M191*G191*(1+H191+I191)</f>
        <v/>
      </c>
      <c r="Q191" s="9" t="n">
        <v>14270942.13057366</v>
      </c>
      <c r="R191" s="22">
        <f>P191-M191*G191*J191</f>
        <v/>
      </c>
      <c r="S191" s="22">
        <f>IF(A191=A190,O191-O190,"")</f>
        <v/>
      </c>
      <c r="T191" s="22">
        <f>IF(A191=A190,P191-P190,"")</f>
        <v/>
      </c>
      <c r="U191" s="22">
        <f>IF(A191=A190,Q191-Q190,"")</f>
        <v/>
      </c>
      <c r="V191" s="22">
        <f>IF(A191=A190,R191-R190,"")</f>
        <v/>
      </c>
      <c r="W191" s="22">
        <f>IF(S191="","",D191-S191)</f>
        <v/>
      </c>
      <c r="X191" s="22">
        <f>IF(T191="","",D191-T191)</f>
        <v/>
      </c>
      <c r="Y191" s="22">
        <f>IF(U191="","",F191-U191)</f>
        <v/>
      </c>
      <c r="Z191" s="22">
        <f>IF(V191="","",F191-V191)</f>
        <v/>
      </c>
      <c r="AA191" s="9" t="n">
        <v>110989759.2599468</v>
      </c>
      <c r="AB191" s="9" t="n">
        <v>99183920.15066975</v>
      </c>
      <c r="AC191" s="9" t="n">
        <v>36581143.14566296</v>
      </c>
      <c r="AD191" s="9" t="n">
        <v>30976585.69628715</v>
      </c>
      <c r="AE191" s="9" t="n">
        <v>27681672.04713831</v>
      </c>
      <c r="AF191" s="9" t="n">
        <v>110971721.2159095</v>
      </c>
      <c r="AG191" s="9" t="n">
        <v>24673220.76797387</v>
      </c>
      <c r="AH191" s="9" t="n">
        <v>24751443.34126745</v>
      </c>
      <c r="AI191" s="9" t="n">
        <v>25848477.11518879</v>
      </c>
      <c r="AJ191" s="9" t="n">
        <v>25268252.94371429</v>
      </c>
      <c r="AK191" s="9" t="n">
        <v>25279186.95490886</v>
      </c>
      <c r="AL191" s="9" t="n">
        <v>24666398.90527656</v>
      </c>
      <c r="AM191" s="9" t="n">
        <v>16937853.15006328</v>
      </c>
      <c r="AN191" s="9" t="n">
        <v>16928517.61840322</v>
      </c>
      <c r="AO191" s="9" t="n">
        <v>17372168.81793683</v>
      </c>
      <c r="AP191" s="9" t="n">
        <v>16921483.70940622</v>
      </c>
      <c r="AQ191" s="9" t="n">
        <v>16911001.22223595</v>
      </c>
      <c r="AR191" s="9" t="n">
        <v>16932821.36029463</v>
      </c>
    </row>
    <row r="192">
      <c r="A192" s="4" t="inlineStr">
        <is>
          <t>CAT</t>
        </is>
      </c>
      <c r="B192" s="5" t="n">
        <v>202406</v>
      </c>
      <c r="C192" s="5" t="n">
        <v>2024</v>
      </c>
      <c r="D192" s="6" t="n">
        <v>3489092.307662023</v>
      </c>
      <c r="E192" s="11" t="n">
        <v>0.3360974203448559</v>
      </c>
      <c r="F192" s="22">
        <f>D192*(1-E192)</f>
        <v/>
      </c>
      <c r="G192" s="11" t="n">
        <v>0.1717218766215934</v>
      </c>
      <c r="H192" s="11" t="n">
        <v>0</v>
      </c>
      <c r="I192" s="11" t="n">
        <v>0</v>
      </c>
      <c r="J192" s="11" t="n">
        <v>0.2888150520109842</v>
      </c>
      <c r="K192" s="6" t="n">
        <v>18289867.68546773</v>
      </c>
      <c r="L192" s="18" t="n">
        <v>106508664.1568174</v>
      </c>
      <c r="M192" s="18" t="n">
        <v>103095238.0281719</v>
      </c>
      <c r="N192" s="23">
        <f>IF(L192=0,"",M192/L192)</f>
        <v/>
      </c>
      <c r="O192" s="6" t="n">
        <v>18289867.68546773</v>
      </c>
      <c r="P192" s="22">
        <f>M192*G192*(1+H192+I192)</f>
        <v/>
      </c>
      <c r="Q192" s="6" t="n">
        <v>13007478.59861535</v>
      </c>
      <c r="R192" s="22">
        <f>P192-M192*G192*J192</f>
        <v/>
      </c>
      <c r="S192" s="22">
        <f>IF(A192=A191,O192-O191,"")</f>
        <v/>
      </c>
      <c r="T192" s="22">
        <f>IF(A192=A191,P192-P191,"")</f>
        <v/>
      </c>
      <c r="U192" s="22">
        <f>IF(A192=A191,Q192-Q191,"")</f>
        <v/>
      </c>
      <c r="V192" s="22">
        <f>IF(A192=A191,R192-R191,"")</f>
        <v/>
      </c>
      <c r="W192" s="22">
        <f>IF(S192="","",D192-S192)</f>
        <v/>
      </c>
      <c r="X192" s="22">
        <f>IF(T192="","",D192-T192)</f>
        <v/>
      </c>
      <c r="Y192" s="22">
        <f>IF(U192="","",F192-U192)</f>
        <v/>
      </c>
      <c r="Z192" s="22">
        <f>IF(V192="","",F192-V192)</f>
        <v/>
      </c>
      <c r="AA192" s="6" t="n">
        <v>97868461.34667499</v>
      </c>
      <c r="AB192" s="6" t="n">
        <v>86709301.26095174</v>
      </c>
      <c r="AC192" s="6" t="n">
        <v>28087207.09372822</v>
      </c>
      <c r="AD192" s="6" t="n">
        <v>28432407.2069107</v>
      </c>
      <c r="AE192" s="6" t="n">
        <v>25219516.64329845</v>
      </c>
      <c r="AF192" s="6" t="n">
        <v>98307320.02496405</v>
      </c>
      <c r="AG192" s="6" t="n">
        <v>5545125.552716164</v>
      </c>
      <c r="AH192" s="6" t="n">
        <v>5455050.472100925</v>
      </c>
      <c r="AI192" s="6" t="n">
        <v>4882698.123447467</v>
      </c>
      <c r="AJ192" s="6" t="n">
        <v>3870951.456766518</v>
      </c>
      <c r="AK192" s="6" t="n">
        <v>3862719.930856711</v>
      </c>
      <c r="AL192" s="6" t="n">
        <v>5466698.435915614</v>
      </c>
      <c r="AM192" s="6" t="n">
        <v>3379194.188528805</v>
      </c>
      <c r="AN192" s="6" t="n">
        <v>3357622.399116679</v>
      </c>
      <c r="AO192" s="6" t="n">
        <v>3175876.312580287</v>
      </c>
      <c r="AP192" s="6" t="n">
        <v>2476507.657230455</v>
      </c>
      <c r="AQ192" s="6" t="n">
        <v>2482511.64540579</v>
      </c>
      <c r="AR192" s="6" t="n">
        <v>3323482.920995446</v>
      </c>
    </row>
    <row r="193">
      <c r="A193" t="inlineStr">
        <is>
          <t>CAT</t>
        </is>
      </c>
      <c r="B193" s="8" t="n">
        <v>202407</v>
      </c>
      <c r="C193" s="8" t="n">
        <v>2024</v>
      </c>
      <c r="D193" s="9" t="n">
        <v>30701670.79698429</v>
      </c>
      <c r="E193" s="10" t="n">
        <v>0.3360974203448559</v>
      </c>
      <c r="F193" s="22">
        <f>D193*(1-E193)</f>
        <v/>
      </c>
      <c r="G193" s="10" t="n">
        <v>0.1725647996481612</v>
      </c>
      <c r="H193" s="10" t="n">
        <v>0</v>
      </c>
      <c r="I193" s="10" t="n">
        <v>0</v>
      </c>
      <c r="J193" s="10" t="n">
        <v>0.3153579213712279</v>
      </c>
      <c r="K193" s="9" t="n">
        <v>20674360.16262344</v>
      </c>
      <c r="L193" s="18" t="n">
        <v>119806357.9871211</v>
      </c>
      <c r="M193" s="18" t="n">
        <v>116979800.9855281</v>
      </c>
      <c r="N193" s="23">
        <f>IF(L193=0,"",M193/L193)</f>
        <v/>
      </c>
      <c r="O193" s="9" t="n">
        <v>20674360.16262344</v>
      </c>
      <c r="P193" s="22">
        <f>M193*G193*(1+H193+I193)</f>
        <v/>
      </c>
      <c r="Q193" s="9" t="n">
        <v>14154536.91605839</v>
      </c>
      <c r="R193" s="22">
        <f>P193-M193*G193*J193</f>
        <v/>
      </c>
      <c r="S193" s="22">
        <f>IF(A193=A192,O193-O192,"")</f>
        <v/>
      </c>
      <c r="T193" s="22">
        <f>IF(A193=A192,P193-P192,"")</f>
        <v/>
      </c>
      <c r="U193" s="22">
        <f>IF(A193=A192,Q193-Q192,"")</f>
        <v/>
      </c>
      <c r="V193" s="22">
        <f>IF(A193=A192,R193-R192,"")</f>
        <v/>
      </c>
      <c r="W193" s="22">
        <f>IF(S193="","",D193-S193)</f>
        <v/>
      </c>
      <c r="X193" s="22">
        <f>IF(T193="","",D193-T193)</f>
        <v/>
      </c>
      <c r="Y193" s="22">
        <f>IF(U193="","",F193-U193)</f>
        <v/>
      </c>
      <c r="Z193" s="22">
        <f>IF(V193="","",F193-V193)</f>
        <v/>
      </c>
      <c r="AA193" s="9" t="n">
        <v>111279121.9468307</v>
      </c>
      <c r="AB193" s="9" t="n">
        <v>99418276.99148531</v>
      </c>
      <c r="AC193" s="9" t="n">
        <v>36043068.79823729</v>
      </c>
      <c r="AD193" s="9" t="n">
        <v>37431690.88753402</v>
      </c>
      <c r="AE193" s="9" t="n">
        <v>34142706.40461353</v>
      </c>
      <c r="AF193" s="9" t="n">
        <v>111879305.5564125</v>
      </c>
      <c r="AG193" s="9" t="n">
        <v>28304967.25772505</v>
      </c>
      <c r="AH193" s="9" t="n">
        <v>28435459.67966095</v>
      </c>
      <c r="AI193" s="9" t="n">
        <v>29305093.76230592</v>
      </c>
      <c r="AJ193" s="9" t="n">
        <v>29124744.8809251</v>
      </c>
      <c r="AK193" s="9" t="n">
        <v>29140584.23230288</v>
      </c>
      <c r="AL193" s="9" t="n">
        <v>28276758.32919294</v>
      </c>
      <c r="AM193" s="9" t="n">
        <v>19188117.94789445</v>
      </c>
      <c r="AN193" s="9" t="n">
        <v>19226595.19588987</v>
      </c>
      <c r="AO193" s="9" t="n">
        <v>19554784.28448021</v>
      </c>
      <c r="AP193" s="9" t="n">
        <v>19432883.27057885</v>
      </c>
      <c r="AQ193" s="9" t="n">
        <v>19429083.2296731</v>
      </c>
      <c r="AR193" s="9" t="n">
        <v>19170805.24248235</v>
      </c>
    </row>
    <row r="194">
      <c r="A194" s="4" t="inlineStr">
        <is>
          <t>CAT</t>
        </is>
      </c>
      <c r="B194" s="5" t="n">
        <v>202408</v>
      </c>
      <c r="C194" s="5" t="n">
        <v>2024</v>
      </c>
      <c r="D194" s="6" t="n">
        <v>18817037.46354462</v>
      </c>
      <c r="E194" s="11" t="n">
        <v>0.3360974203448559</v>
      </c>
      <c r="F194" s="22">
        <f>D194*(1-E194)</f>
        <v/>
      </c>
      <c r="G194" s="11" t="n">
        <v>0.1723112660593469</v>
      </c>
      <c r="H194" s="11" t="n">
        <v>0</v>
      </c>
      <c r="I194" s="11" t="n">
        <v>0</v>
      </c>
      <c r="J194" s="11" t="n">
        <v>0.3296975938021245</v>
      </c>
      <c r="K194" s="6" t="n">
        <v>20749366.27974846</v>
      </c>
      <c r="L194" s="18" t="n">
        <v>120417931.7712286</v>
      </c>
      <c r="M194" s="18" t="n">
        <v>118379128.9058663</v>
      </c>
      <c r="N194" s="23">
        <f>IF(L194=0,"",M194/L194)</f>
        <v/>
      </c>
      <c r="O194" s="6" t="n">
        <v>20749366.27974846</v>
      </c>
      <c r="P194" s="22">
        <f>M194*G194*(1+H194+I194)</f>
        <v/>
      </c>
      <c r="Q194" s="6" t="n">
        <v>13908350.14439645</v>
      </c>
      <c r="R194" s="22">
        <f>P194-M194*G194*J194</f>
        <v/>
      </c>
      <c r="S194" s="22">
        <f>IF(A194=A193,O194-O193,"")</f>
        <v/>
      </c>
      <c r="T194" s="22">
        <f>IF(A194=A193,P194-P193,"")</f>
        <v/>
      </c>
      <c r="U194" s="22">
        <f>IF(A194=A193,Q194-Q193,"")</f>
        <v/>
      </c>
      <c r="V194" s="22">
        <f>IF(A194=A193,R194-R193,"")</f>
        <v/>
      </c>
      <c r="W194" s="22">
        <f>IF(S194="","",D194-S194)</f>
        <v/>
      </c>
      <c r="X194" s="22">
        <f>IF(T194="","",D194-T194)</f>
        <v/>
      </c>
      <c r="Y194" s="22">
        <f>IF(U194="","",F194-U194)</f>
        <v/>
      </c>
      <c r="Z194" s="22">
        <f>IF(V194="","",F194-V194)</f>
        <v/>
      </c>
      <c r="AA194" s="6" t="n">
        <v>112610129.4386687</v>
      </c>
      <c r="AB194" s="6" t="n">
        <v>100485442.173704</v>
      </c>
      <c r="AC194" s="6" t="n">
        <v>34932846.39540068</v>
      </c>
      <c r="AD194" s="6" t="n">
        <v>36580720.92008206</v>
      </c>
      <c r="AE194" s="6" t="n">
        <v>33176996.04858785</v>
      </c>
      <c r="AF194" s="6" t="n">
        <v>113272793.5698105</v>
      </c>
      <c r="AG194" s="6" t="n">
        <v>18615902.87263883</v>
      </c>
      <c r="AH194" s="6" t="n">
        <v>18658358.75246145</v>
      </c>
      <c r="AI194" s="6" t="n">
        <v>19017479.41996915</v>
      </c>
      <c r="AJ194" s="6" t="n">
        <v>18973159.36694086</v>
      </c>
      <c r="AK194" s="6" t="n">
        <v>18992096.56052463</v>
      </c>
      <c r="AL194" s="6" t="n">
        <v>18605288.94156926</v>
      </c>
      <c r="AM194" s="6" t="n">
        <v>12633221.42656093</v>
      </c>
      <c r="AN194" s="6" t="n">
        <v>12632329.77487942</v>
      </c>
      <c r="AO194" s="6" t="n">
        <v>12716225.83113012</v>
      </c>
      <c r="AP194" s="6" t="n">
        <v>12689954.16982421</v>
      </c>
      <c r="AQ194" s="6" t="n">
        <v>12694509.14948692</v>
      </c>
      <c r="AR194" s="6" t="n">
        <v>12627592.0509919</v>
      </c>
    </row>
    <row r="195">
      <c r="A195" t="inlineStr">
        <is>
          <t>CAT</t>
        </is>
      </c>
      <c r="B195" s="8" t="n">
        <v>202409</v>
      </c>
      <c r="C195" s="8" t="n">
        <v>2024</v>
      </c>
      <c r="D195" s="9" t="n">
        <v>11171005.36869042</v>
      </c>
      <c r="E195" s="10" t="n">
        <v>0.3360974203448559</v>
      </c>
      <c r="F195" s="22">
        <f>D195*(1-E195)</f>
        <v/>
      </c>
      <c r="G195" s="10" t="n">
        <v>0.1608485011873738</v>
      </c>
      <c r="H195" s="10" t="n">
        <v>0</v>
      </c>
      <c r="I195" s="10" t="n">
        <v>0</v>
      </c>
      <c r="J195" s="10" t="n">
        <v>0.3332449744870254</v>
      </c>
      <c r="K195" s="9" t="n">
        <v>19379029.15229965</v>
      </c>
      <c r="L195" s="18" t="n">
        <v>120480010.7507676</v>
      </c>
      <c r="M195" s="18" t="n">
        <v>112000980.9309028</v>
      </c>
      <c r="N195" s="23">
        <f>IF(L195=0,"",M195/L195)</f>
        <v/>
      </c>
      <c r="O195" s="9" t="n">
        <v>19379029.15229965</v>
      </c>
      <c r="P195" s="22">
        <f>M195*G195*(1+H195+I195)</f>
        <v/>
      </c>
      <c r="Q195" s="9" t="n">
        <v>12921065.07685823</v>
      </c>
      <c r="R195" s="22">
        <f>P195-M195*G195*J195</f>
        <v/>
      </c>
      <c r="S195" s="22">
        <f>IF(A195=A194,O195-O194,"")</f>
        <v/>
      </c>
      <c r="T195" s="22">
        <f>IF(A195=A194,P195-P194,"")</f>
        <v/>
      </c>
      <c r="U195" s="22">
        <f>IF(A195=A194,Q195-Q194,"")</f>
        <v/>
      </c>
      <c r="V195" s="22">
        <f>IF(A195=A194,R195-R194,"")</f>
        <v/>
      </c>
      <c r="W195" s="22">
        <f>IF(S195="","",D195-S195)</f>
        <v/>
      </c>
      <c r="X195" s="22">
        <f>IF(T195="","",D195-T195)</f>
        <v/>
      </c>
      <c r="Y195" s="22">
        <f>IF(U195="","",F195-U195)</f>
        <v/>
      </c>
      <c r="Z195" s="22">
        <f>IF(V195="","",F195-V195)</f>
        <v/>
      </c>
      <c r="AA195" s="9" t="n">
        <v>106250100.9825795</v>
      </c>
      <c r="AB195" s="9" t="n">
        <v>94015712.13569207</v>
      </c>
      <c r="AC195" s="9" t="n">
        <v>31522888.96507942</v>
      </c>
      <c r="AD195" s="9" t="n">
        <v>32988174.78063532</v>
      </c>
      <c r="AE195" s="9" t="n">
        <v>29521944.14885628</v>
      </c>
      <c r="AF195" s="9" t="n">
        <v>107112153.3144531</v>
      </c>
      <c r="AG195" s="9" t="n">
        <v>13484829.84931933</v>
      </c>
      <c r="AH195" s="9" t="n">
        <v>13363492.74508499</v>
      </c>
      <c r="AI195" s="9" t="n">
        <v>12119918.91500957</v>
      </c>
      <c r="AJ195" s="9" t="n">
        <v>12168177.23342108</v>
      </c>
      <c r="AK195" s="9" t="n">
        <v>12139215.09338764</v>
      </c>
      <c r="AL195" s="9" t="n">
        <v>13460354.51920154</v>
      </c>
      <c r="AM195" s="9" t="n">
        <v>9028046.735665038</v>
      </c>
      <c r="AN195" s="9" t="n">
        <v>8939733.352204788</v>
      </c>
      <c r="AO195" s="9" t="n">
        <v>8070504.987509617</v>
      </c>
      <c r="AP195" s="9" t="n">
        <v>8103688.733162799</v>
      </c>
      <c r="AQ195" s="9" t="n">
        <v>8082297.54147074</v>
      </c>
      <c r="AR195" s="9" t="n">
        <v>9012132.742181441</v>
      </c>
    </row>
    <row r="196">
      <c r="A196" s="4" t="inlineStr">
        <is>
          <t>CAT</t>
        </is>
      </c>
      <c r="B196" s="5" t="n">
        <v>202410</v>
      </c>
      <c r="C196" s="5" t="n">
        <v>2024</v>
      </c>
      <c r="D196" s="6" t="n">
        <v>19508574.39346327</v>
      </c>
      <c r="E196" s="11" t="n">
        <v>0.3360974203448559</v>
      </c>
      <c r="F196" s="22">
        <f>D196*(1-E196)</f>
        <v/>
      </c>
      <c r="G196" s="11" t="n">
        <v>0.1581720005526162</v>
      </c>
      <c r="H196" s="11" t="n">
        <v>0</v>
      </c>
      <c r="I196" s="11" t="n">
        <v>0</v>
      </c>
      <c r="J196" s="11" t="n">
        <v>0.3406349861247147</v>
      </c>
      <c r="K196" s="6" t="n">
        <v>18977552.23003463</v>
      </c>
      <c r="L196" s="18" t="n">
        <v>119980477.9842923</v>
      </c>
      <c r="M196" s="18" t="n">
        <v>114008668.3603195</v>
      </c>
      <c r="N196" s="23">
        <f>IF(L196=0,"",M196/L196)</f>
        <v/>
      </c>
      <c r="O196" s="6" t="n">
        <v>18977552.23003463</v>
      </c>
      <c r="P196" s="22">
        <f>M196*G196*(1+H196+I196)</f>
        <v/>
      </c>
      <c r="Q196" s="6" t="n">
        <v>12513133.98947574</v>
      </c>
      <c r="R196" s="22">
        <f>P196-M196*G196*J196</f>
        <v/>
      </c>
      <c r="S196" s="22">
        <f>IF(A196=A195,O196-O195,"")</f>
        <v/>
      </c>
      <c r="T196" s="22">
        <f>IF(A196=A195,P196-P195,"")</f>
        <v/>
      </c>
      <c r="U196" s="22">
        <f>IF(A196=A195,Q196-Q195,"")</f>
        <v/>
      </c>
      <c r="V196" s="22">
        <f>IF(A196=A195,R196-R195,"")</f>
        <v/>
      </c>
      <c r="W196" s="22">
        <f>IF(S196="","",D196-S196)</f>
        <v/>
      </c>
      <c r="X196" s="22">
        <f>IF(T196="","",D196-T196)</f>
        <v/>
      </c>
      <c r="Y196" s="22">
        <f>IF(U196="","",F196-U196)</f>
        <v/>
      </c>
      <c r="Z196" s="22">
        <f>IF(V196="","",F196-V196)</f>
        <v/>
      </c>
      <c r="AA196" s="6" t="n">
        <v>107874412.082734</v>
      </c>
      <c r="AB196" s="6" t="n">
        <v>95410302.10676228</v>
      </c>
      <c r="AC196" s="6" t="n">
        <v>33052941.00939279</v>
      </c>
      <c r="AD196" s="6" t="n">
        <v>31600340.83898014</v>
      </c>
      <c r="AE196" s="6" t="n">
        <v>28056652.71530645</v>
      </c>
      <c r="AF196" s="6" t="n">
        <v>108602462.4530022</v>
      </c>
      <c r="AG196" s="6" t="n">
        <v>19536032.31995494</v>
      </c>
      <c r="AH196" s="6" t="n">
        <v>19539622.42099684</v>
      </c>
      <c r="AI196" s="6" t="n">
        <v>19350934.03298903</v>
      </c>
      <c r="AJ196" s="6" t="n">
        <v>19816383.73518956</v>
      </c>
      <c r="AK196" s="6" t="n">
        <v>19819357.97315415</v>
      </c>
      <c r="AL196" s="6" t="n">
        <v>19559534.96191348</v>
      </c>
      <c r="AM196" s="6" t="n">
        <v>13096194.21274787</v>
      </c>
      <c r="AN196" s="6" t="n">
        <v>13084018.72069431</v>
      </c>
      <c r="AO196" s="6" t="n">
        <v>12885320.71153572</v>
      </c>
      <c r="AP196" s="6" t="n">
        <v>13193963.70553963</v>
      </c>
      <c r="AQ196" s="6" t="n">
        <v>13191804.60167398</v>
      </c>
      <c r="AR196" s="6" t="n">
        <v>13112715.73031329</v>
      </c>
    </row>
    <row r="197">
      <c r="A197" t="inlineStr">
        <is>
          <t>CAT</t>
        </is>
      </c>
      <c r="B197" s="8" t="n">
        <v>202411</v>
      </c>
      <c r="C197" s="8" t="n">
        <v>2024</v>
      </c>
      <c r="D197" s="9" t="n">
        <v>22802213.30064276</v>
      </c>
      <c r="E197" s="10" t="n">
        <v>0.3360974203448559</v>
      </c>
      <c r="F197" s="22">
        <f>D197*(1-E197)</f>
        <v/>
      </c>
      <c r="G197" s="10" t="n">
        <v>0.1651081706398375</v>
      </c>
      <c r="H197" s="10" t="n">
        <v>0</v>
      </c>
      <c r="I197" s="10" t="n">
        <v>0</v>
      </c>
      <c r="J197" s="10" t="n">
        <v>0.348250976861572</v>
      </c>
      <c r="K197" s="9" t="n">
        <v>19711686.6539627</v>
      </c>
      <c r="L197" s="18" t="n">
        <v>119386500.2414765</v>
      </c>
      <c r="M197" s="18" t="n">
        <v>118362841.6006479</v>
      </c>
      <c r="N197" s="23">
        <f>IF(L197=0,"",M197/L197)</f>
        <v/>
      </c>
      <c r="O197" s="9" t="n">
        <v>19711686.6539627</v>
      </c>
      <c r="P197" s="22">
        <f>M197*G197*(1+H197+I197)</f>
        <v/>
      </c>
      <c r="Q197" s="9" t="n">
        <v>12847072.52113098</v>
      </c>
      <c r="R197" s="22">
        <f>P197-M197*G197*J197</f>
        <v/>
      </c>
      <c r="S197" s="22">
        <f>IF(A197=A196,O197-O196,"")</f>
        <v/>
      </c>
      <c r="T197" s="22">
        <f>IF(A197=A196,P197-P196,"")</f>
        <v/>
      </c>
      <c r="U197" s="22">
        <f>IF(A197=A196,Q197-Q196,"")</f>
        <v/>
      </c>
      <c r="V197" s="22">
        <f>IF(A197=A196,R197-R196,"")</f>
        <v/>
      </c>
      <c r="W197" s="22">
        <f>IF(S197="","",D197-S197)</f>
        <v/>
      </c>
      <c r="X197" s="22">
        <f>IF(T197="","",D197-T197)</f>
        <v/>
      </c>
      <c r="Y197" s="22">
        <f>IF(U197="","",F197-U197)</f>
        <v/>
      </c>
      <c r="Z197" s="22">
        <f>IF(V197="","",F197-V197)</f>
        <v/>
      </c>
      <c r="AA197" s="9" t="n">
        <v>112125534.8442148</v>
      </c>
      <c r="AB197" s="9" t="n">
        <v>99559374.35683049</v>
      </c>
      <c r="AC197" s="9" t="n">
        <v>33844553.96385744</v>
      </c>
      <c r="AD197" s="9" t="n">
        <v>27986048.01579701</v>
      </c>
      <c r="AE197" s="9" t="n">
        <v>24279322.46148458</v>
      </c>
      <c r="AF197" s="9" t="n">
        <v>113075034.0700662</v>
      </c>
      <c r="AG197" s="9" t="n">
        <v>21352082.92806445</v>
      </c>
      <c r="AH197" s="9" t="n">
        <v>21455385.48809581</v>
      </c>
      <c r="AI197" s="9" t="n">
        <v>22442250.71315227</v>
      </c>
      <c r="AJ197" s="9" t="n">
        <v>23179777.23796189</v>
      </c>
      <c r="AK197" s="9" t="n">
        <v>23231275.67344234</v>
      </c>
      <c r="AL197" s="9" t="n">
        <v>21310470.03142858</v>
      </c>
      <c r="AM197" s="9" t="n">
        <v>14323276.63163652</v>
      </c>
      <c r="AN197" s="9" t="n">
        <v>14375589.25251928</v>
      </c>
      <c r="AO197" s="9" t="n">
        <v>14943659.74625633</v>
      </c>
      <c r="AP197" s="9" t="n">
        <v>15422592.08316751</v>
      </c>
      <c r="AQ197" s="9" t="n">
        <v>15451887.28215841</v>
      </c>
      <c r="AR197" s="9" t="n">
        <v>14297032.50294747</v>
      </c>
    </row>
    <row r="198">
      <c r="A198" s="4" t="inlineStr">
        <is>
          <t>CAT</t>
        </is>
      </c>
      <c r="B198" s="5" t="n">
        <v>202412</v>
      </c>
      <c r="C198" s="5" t="n">
        <v>2024</v>
      </c>
      <c r="D198" s="6" t="n">
        <v>18260791.00947773</v>
      </c>
      <c r="E198" s="11" t="n">
        <v>0.3360974203448559</v>
      </c>
      <c r="F198" s="22">
        <f>D198*(1-E198)</f>
        <v/>
      </c>
      <c r="G198" s="11" t="n">
        <v>0.1719435075305664</v>
      </c>
      <c r="H198" s="11" t="n">
        <v>0</v>
      </c>
      <c r="I198" s="11" t="n">
        <v>0</v>
      </c>
      <c r="J198" s="11" t="n">
        <v>0.3388099351143152</v>
      </c>
      <c r="K198" s="6" t="n">
        <v>19617925.93222206</v>
      </c>
      <c r="L198" s="18" t="n">
        <v>114095182.8537904</v>
      </c>
      <c r="M198" s="18" t="n">
        <v>118542024.568794</v>
      </c>
      <c r="N198" s="23">
        <f>IF(L198=0,"",M198/L198)</f>
        <v/>
      </c>
      <c r="O198" s="6" t="n">
        <v>19617925.93222206</v>
      </c>
      <c r="P198" s="22">
        <f>M198*G198*(1+H198+I198)</f>
        <v/>
      </c>
      <c r="Q198" s="6" t="n">
        <v>12971177.72004846</v>
      </c>
      <c r="R198" s="22">
        <f>P198-M198*G198*J198</f>
        <v/>
      </c>
      <c r="S198" s="22">
        <f>IF(A198=A197,O198-O197,"")</f>
        <v/>
      </c>
      <c r="T198" s="22">
        <f>IF(A198=A197,P198-P197,"")</f>
        <v/>
      </c>
      <c r="U198" s="22">
        <f>IF(A198=A197,Q198-Q197,"")</f>
        <v/>
      </c>
      <c r="V198" s="22">
        <f>IF(A198=A197,R198-R197,"")</f>
        <v/>
      </c>
      <c r="W198" s="22">
        <f>IF(S198="","",D198-S198)</f>
        <v/>
      </c>
      <c r="X198" s="22">
        <f>IF(T198="","",D198-T198)</f>
        <v/>
      </c>
      <c r="Y198" s="22">
        <f>IF(U198="","",F198-U198)</f>
        <v/>
      </c>
      <c r="Z198" s="22">
        <f>IF(V198="","",F198-V198)</f>
        <v/>
      </c>
      <c r="AA198" s="6" t="n">
        <v>112399260.2640253</v>
      </c>
      <c r="AB198" s="6" t="n">
        <v>99380169.97305119</v>
      </c>
      <c r="AC198" s="6" t="n">
        <v>34717205.86006994</v>
      </c>
      <c r="AD198" s="6" t="n">
        <v>23990067.66736606</v>
      </c>
      <c r="AE198" s="6" t="n">
        <v>20165638.71342865</v>
      </c>
      <c r="AF198" s="6" t="n">
        <v>113058745.1619072</v>
      </c>
      <c r="AG198" s="6" t="n">
        <v>17447309.89598187</v>
      </c>
      <c r="AH198" s="6" t="n">
        <v>17611082.17543047</v>
      </c>
      <c r="AI198" s="6" t="n">
        <v>17879405.25333034</v>
      </c>
      <c r="AJ198" s="6" t="n">
        <v>18756579.82018208</v>
      </c>
      <c r="AK198" s="6" t="n">
        <v>18802154.87348707</v>
      </c>
      <c r="AL198" s="6" t="n">
        <v>17490685.8296809</v>
      </c>
      <c r="AM198" s="6" t="n">
        <v>11410740.11390288</v>
      </c>
      <c r="AN198" s="6" t="n">
        <v>11538612.7626391</v>
      </c>
      <c r="AO198" s="6" t="n">
        <v>11818461.12661365</v>
      </c>
      <c r="AP198" s="6" t="n">
        <v>12407572.43422101</v>
      </c>
      <c r="AQ198" s="6" t="n">
        <v>12443484.22500853</v>
      </c>
      <c r="AR198" s="6" t="n">
        <v>11437939.77744789</v>
      </c>
    </row>
    <row r="199">
      <c r="A199" t="inlineStr">
        <is>
          <t>CAT</t>
        </is>
      </c>
      <c r="B199" s="8" t="n">
        <v>202501</v>
      </c>
      <c r="C199" s="8" t="n">
        <v>2025</v>
      </c>
      <c r="D199" s="9" t="n">
        <v>24962923.10989799</v>
      </c>
      <c r="E199" s="10" t="n">
        <v>0.3757447365184676</v>
      </c>
      <c r="F199" s="22">
        <f>D199*(1-E199)</f>
        <v/>
      </c>
      <c r="G199" s="10" t="n">
        <v>0.1729276531255533</v>
      </c>
      <c r="H199" s="10" t="n">
        <v>0</v>
      </c>
      <c r="I199" s="10" t="n">
        <v>0</v>
      </c>
      <c r="J199" s="10" t="n">
        <v>0.3598607609291563</v>
      </c>
      <c r="K199" s="9" t="n">
        <v>20717080.62947441</v>
      </c>
      <c r="L199" s="18" t="n">
        <v>119802011.1591572</v>
      </c>
      <c r="M199" s="18" t="n">
        <v>124982533.7730282</v>
      </c>
      <c r="N199" s="23">
        <f>IF(L199=0,"",M199/L199)</f>
        <v/>
      </c>
      <c r="O199" s="9" t="n">
        <v>20717080.62947441</v>
      </c>
      <c r="P199" s="22">
        <f>M199*G199*(1+H199+I199)</f>
        <v/>
      </c>
      <c r="Q199" s="9" t="n">
        <v>13261816.22992106</v>
      </c>
      <c r="R199" s="22">
        <f>P199-M199*G199*J199</f>
        <v/>
      </c>
      <c r="S199" s="22">
        <f>IF(A199=A198,O199-O198,"")</f>
        <v/>
      </c>
      <c r="T199" s="22">
        <f>IF(A199=A198,P199-P198,"")</f>
        <v/>
      </c>
      <c r="U199" s="22">
        <f>IF(A199=A198,Q199-Q198,"")</f>
        <v/>
      </c>
      <c r="V199" s="22">
        <f>IF(A199=A198,R199-R198,"")</f>
        <v/>
      </c>
      <c r="W199" s="22">
        <f>IF(S199="","",D199-S199)</f>
        <v/>
      </c>
      <c r="X199" s="22">
        <f>IF(T199="","",D199-T199)</f>
        <v/>
      </c>
      <c r="Y199" s="22">
        <f>IF(U199="","",F199-U199)</f>
        <v/>
      </c>
      <c r="Z199" s="22">
        <f>IF(V199="","",F199-V199)</f>
        <v/>
      </c>
      <c r="AA199" s="9" t="n">
        <v>118446180.5805375</v>
      </c>
      <c r="AB199" s="9" t="n">
        <v>104941674.5643408</v>
      </c>
      <c r="AC199" s="9" t="n">
        <v>39773877.00472745</v>
      </c>
      <c r="AD199" s="9" t="n">
        <v>31573041.69601643</v>
      </c>
      <c r="AE199" s="9" t="n">
        <v>27721418.4204082</v>
      </c>
      <c r="AF199" s="9" t="n">
        <v>119052470.4051731</v>
      </c>
      <c r="AG199" s="9" t="n">
        <v>23806626.13405768</v>
      </c>
      <c r="AH199" s="9" t="n">
        <v>23903380.61657126</v>
      </c>
      <c r="AI199" s="9" t="n">
        <v>24054318.05100722</v>
      </c>
      <c r="AJ199" s="9" t="n">
        <v>23628007.48799318</v>
      </c>
      <c r="AK199" s="9" t="n">
        <v>23636473.93312642</v>
      </c>
      <c r="AL199" s="9" t="n">
        <v>23815176.00407479</v>
      </c>
      <c r="AM199" s="9" t="n">
        <v>15249880.13722774</v>
      </c>
      <c r="AN199" s="9" t="n">
        <v>15264693.19297277</v>
      </c>
      <c r="AO199" s="9" t="n">
        <v>15127263.15284136</v>
      </c>
      <c r="AP199" s="9" t="n">
        <v>14815537.59005447</v>
      </c>
      <c r="AQ199" s="9" t="n">
        <v>14807114.57116774</v>
      </c>
      <c r="AR199" s="9" t="n">
        <v>15257740.28494115</v>
      </c>
    </row>
    <row r="200">
      <c r="A200" s="4" t="inlineStr">
        <is>
          <t>CAT</t>
        </is>
      </c>
      <c r="B200" s="5" t="n">
        <v>202502</v>
      </c>
      <c r="C200" s="5" t="n">
        <v>2025</v>
      </c>
      <c r="D200" s="6" t="n">
        <v>18551197.99333658</v>
      </c>
      <c r="E200" s="11" t="n">
        <v>0.3757447365184676</v>
      </c>
      <c r="F200" s="22">
        <f>D200*(1-E200)</f>
        <v/>
      </c>
      <c r="G200" s="11" t="n">
        <v>0.1705073691821491</v>
      </c>
      <c r="H200" s="11" t="n">
        <v>0</v>
      </c>
      <c r="I200" s="11" t="n">
        <v>0</v>
      </c>
      <c r="J200" s="11" t="n">
        <v>0.3646923640184417</v>
      </c>
      <c r="K200" s="6" t="n">
        <v>20484205.41106608</v>
      </c>
      <c r="L200" s="18" t="n">
        <v>120136774.7876239</v>
      </c>
      <c r="M200" s="18" t="n">
        <v>124111710.4903367</v>
      </c>
      <c r="N200" s="23">
        <f>IF(L200=0,"",M200/L200)</f>
        <v/>
      </c>
      <c r="O200" s="6" t="n">
        <v>20484205.41106608</v>
      </c>
      <c r="P200" s="22">
        <f>M200*G200*(1+H200+I200)</f>
        <v/>
      </c>
      <c r="Q200" s="6" t="n">
        <v>13013772.11466504</v>
      </c>
      <c r="R200" s="22">
        <f>P200-M200*G200*J200</f>
        <v/>
      </c>
      <c r="S200" s="22">
        <f>IF(A200=A199,O200-O199,"")</f>
        <v/>
      </c>
      <c r="T200" s="22">
        <f>IF(A200=A199,P200-P199,"")</f>
        <v/>
      </c>
      <c r="U200" s="22">
        <f>IF(A200=A199,Q200-Q199,"")</f>
        <v/>
      </c>
      <c r="V200" s="22">
        <f>IF(A200=A199,R200-R199,"")</f>
        <v/>
      </c>
      <c r="W200" s="22">
        <f>IF(S200="","",D200-S200)</f>
        <v/>
      </c>
      <c r="X200" s="22">
        <f>IF(T200="","",D200-T200)</f>
        <v/>
      </c>
      <c r="Y200" s="22">
        <f>IF(U200="","",F200-U200)</f>
        <v/>
      </c>
      <c r="Z200" s="22">
        <f>IF(V200="","",F200-V200)</f>
        <v/>
      </c>
      <c r="AA200" s="6" t="n">
        <v>117363156.544063</v>
      </c>
      <c r="AB200" s="6" t="n">
        <v>103339301.704223</v>
      </c>
      <c r="AC200" s="6" t="n">
        <v>34250299.95937979</v>
      </c>
      <c r="AD200" s="6" t="n">
        <v>30219862.05952146</v>
      </c>
      <c r="AE200" s="6" t="n">
        <v>26306218.08700541</v>
      </c>
      <c r="AF200" s="6" t="n">
        <v>118180502.9985373</v>
      </c>
      <c r="AG200" s="6" t="n">
        <v>19022534.96157351</v>
      </c>
      <c r="AH200" s="6" t="n">
        <v>19078403.02410617</v>
      </c>
      <c r="AI200" s="6" t="n">
        <v>19589272.6596952</v>
      </c>
      <c r="AJ200" s="6" t="n">
        <v>18858340.8190475</v>
      </c>
      <c r="AK200" s="6" t="n">
        <v>18859593.7829421</v>
      </c>
      <c r="AL200" s="6" t="n">
        <v>18988015.64439888</v>
      </c>
      <c r="AM200" s="6" t="n">
        <v>11979090.8564808</v>
      </c>
      <c r="AN200" s="6" t="n">
        <v>12003301.00828727</v>
      </c>
      <c r="AO200" s="6" t="n">
        <v>12273411.5350239</v>
      </c>
      <c r="AP200" s="6" t="n">
        <v>11802193.01154195</v>
      </c>
      <c r="AQ200" s="6" t="n">
        <v>11799770.92933137</v>
      </c>
      <c r="AR200" s="6" t="n">
        <v>11957667.03662107</v>
      </c>
    </row>
    <row r="201">
      <c r="A201" t="inlineStr">
        <is>
          <t>CAT</t>
        </is>
      </c>
      <c r="B201" s="8" t="n">
        <v>202503</v>
      </c>
      <c r="C201" s="8" t="n">
        <v>2025</v>
      </c>
      <c r="D201" s="9" t="n">
        <v>17562602.97200752</v>
      </c>
      <c r="E201" s="10" t="n">
        <v>0.3757447365184676</v>
      </c>
      <c r="F201" s="22">
        <f>D201*(1-E201)</f>
        <v/>
      </c>
      <c r="G201" s="10" t="n">
        <v>0.1773292097191915</v>
      </c>
      <c r="H201" s="10" t="n">
        <v>0</v>
      </c>
      <c r="I201" s="10" t="n">
        <v>0</v>
      </c>
      <c r="J201" s="10" t="n">
        <v>0.3428723476667821</v>
      </c>
      <c r="K201" s="9" t="n">
        <v>20142100.05718363</v>
      </c>
      <c r="L201" s="18" t="n">
        <v>113585912.2649874</v>
      </c>
      <c r="M201" s="18" t="n">
        <v>121934118.5062718</v>
      </c>
      <c r="N201" s="23">
        <f>IF(L201=0,"",M201/L201)</f>
        <v/>
      </c>
      <c r="O201" s="9" t="n">
        <v>20142100.05718363</v>
      </c>
      <c r="P201" s="22">
        <f>M201*G201*(1+H201+I201)</f>
        <v/>
      </c>
      <c r="Q201" s="9" t="n">
        <v>13235930.92363785</v>
      </c>
      <c r="R201" s="22">
        <f>P201-M201*G201*J201</f>
        <v/>
      </c>
      <c r="S201" s="22">
        <f>IF(A201=A200,O201-O200,"")</f>
        <v/>
      </c>
      <c r="T201" s="22">
        <f>IF(A201=A200,P201-P200,"")</f>
        <v/>
      </c>
      <c r="U201" s="22">
        <f>IF(A201=A200,Q201-Q200,"")</f>
        <v/>
      </c>
      <c r="V201" s="22">
        <f>IF(A201=A200,R201-R200,"")</f>
        <v/>
      </c>
      <c r="W201" s="22">
        <f>IF(S201="","",D201-S201)</f>
        <v/>
      </c>
      <c r="X201" s="22">
        <f>IF(T201="","",D201-T201)</f>
        <v/>
      </c>
      <c r="Y201" s="22">
        <f>IF(U201="","",F201-U201)</f>
        <v/>
      </c>
      <c r="Z201" s="22">
        <f>IF(V201="","",F201-V201)</f>
        <v/>
      </c>
      <c r="AA201" s="9" t="n">
        <v>114905119.4012735</v>
      </c>
      <c r="AB201" s="9" t="n">
        <v>100960441.2421537</v>
      </c>
      <c r="AC201" s="9" t="n">
        <v>29408460.67837122</v>
      </c>
      <c r="AD201" s="9" t="n">
        <v>27561939.89724644</v>
      </c>
      <c r="AE201" s="9" t="n">
        <v>23596606.62140294</v>
      </c>
      <c r="AF201" s="9" t="n">
        <v>115655339.9984857</v>
      </c>
      <c r="AG201" s="9" t="n">
        <v>17197852.01713127</v>
      </c>
      <c r="AH201" s="9" t="n">
        <v>17279480.18034298</v>
      </c>
      <c r="AI201" s="9" t="n">
        <v>18187552.42062735</v>
      </c>
      <c r="AJ201" s="9" t="n">
        <v>17827775.1285174</v>
      </c>
      <c r="AK201" s="9" t="n">
        <v>17863639.40692665</v>
      </c>
      <c r="AL201" s="9" t="n">
        <v>17204179.58517534</v>
      </c>
      <c r="AM201" s="9" t="n">
        <v>10287212.883434</v>
      </c>
      <c r="AN201" s="9" t="n">
        <v>10393028.38816191</v>
      </c>
      <c r="AO201" s="9" t="n">
        <v>11246791.57348021</v>
      </c>
      <c r="AP201" s="9" t="n">
        <v>11025367.10389009</v>
      </c>
      <c r="AQ201" s="9" t="n">
        <v>11063495.12197928</v>
      </c>
      <c r="AR201" s="9" t="n">
        <v>10288329.98747523</v>
      </c>
    </row>
    <row r="202">
      <c r="A202" s="4" t="inlineStr">
        <is>
          <t>CAT</t>
        </is>
      </c>
      <c r="B202" s="5" t="n">
        <v>202504</v>
      </c>
      <c r="C202" s="5" t="n">
        <v>2025</v>
      </c>
      <c r="D202" s="6" t="n">
        <v>23094827.14831162</v>
      </c>
      <c r="E202" s="11" t="n">
        <v>0.3757447365184676</v>
      </c>
      <c r="F202" s="22">
        <f>D202*(1-E202)</f>
        <v/>
      </c>
      <c r="G202" s="11" t="n">
        <v>0.1722628809077166</v>
      </c>
      <c r="H202" s="11" t="n">
        <v>0</v>
      </c>
      <c r="I202" s="11" t="n">
        <v>0</v>
      </c>
      <c r="J202" s="11" t="n">
        <v>0.3593318701571748</v>
      </c>
      <c r="K202" s="6" t="n">
        <v>20575859.44905575</v>
      </c>
      <c r="L202" s="18" t="n">
        <v>119444533.4980697</v>
      </c>
      <c r="M202" s="18" t="n">
        <v>124337054.9334531</v>
      </c>
      <c r="N202" s="23">
        <f>IF(L202=0,"",M202/L202)</f>
        <v/>
      </c>
      <c r="O202" s="6" t="n">
        <v>20575859.44905575</v>
      </c>
      <c r="P202" s="22">
        <f>M202*G202*(1+H202+I202)</f>
        <v/>
      </c>
      <c r="Q202" s="6" t="n">
        <v>13182297.39313537</v>
      </c>
      <c r="R202" s="22">
        <f>P202-M202*G202*J202</f>
        <v/>
      </c>
      <c r="S202" s="22">
        <f>IF(A202=A201,O202-O201,"")</f>
        <v/>
      </c>
      <c r="T202" s="22">
        <f>IF(A202=A201,P202-P201,"")</f>
        <v/>
      </c>
      <c r="U202" s="22">
        <f>IF(A202=A201,Q202-Q201,"")</f>
        <v/>
      </c>
      <c r="V202" s="22">
        <f>IF(A202=A201,R202-R201,"")</f>
        <v/>
      </c>
      <c r="W202" s="22">
        <f>IF(S202="","",D202-S202)</f>
        <v/>
      </c>
      <c r="X202" s="22">
        <f>IF(T202="","",D202-T202)</f>
        <v/>
      </c>
      <c r="Y202" s="22">
        <f>IF(U202="","",F202-U202)</f>
        <v/>
      </c>
      <c r="Z202" s="22">
        <f>IF(V202="","",F202-V202)</f>
        <v/>
      </c>
      <c r="AA202" s="6" t="n">
        <v>117719186.2202626</v>
      </c>
      <c r="AB202" s="6" t="n">
        <v>104460516.2951868</v>
      </c>
      <c r="AC202" s="6" t="n">
        <v>31271056.77856947</v>
      </c>
      <c r="AD202" s="6" t="n">
        <v>31627056.45736892</v>
      </c>
      <c r="AE202" s="6" t="n">
        <v>27608655.11603707</v>
      </c>
      <c r="AF202" s="6" t="n">
        <v>119174358.5611939</v>
      </c>
      <c r="AG202" s="6" t="n">
        <v>23192215.00801437</v>
      </c>
      <c r="AH202" s="6" t="n">
        <v>23003392.92856725</v>
      </c>
      <c r="AI202" s="6" t="n">
        <v>22922963.90975995</v>
      </c>
      <c r="AJ202" s="6" t="n">
        <v>22534196.30864081</v>
      </c>
      <c r="AK202" s="6" t="n">
        <v>22523248.28426353</v>
      </c>
      <c r="AL202" s="6" t="n">
        <v>23074578.85396702</v>
      </c>
      <c r="AM202" s="6" t="n">
        <v>14814840.49462816</v>
      </c>
      <c r="AN202" s="6" t="n">
        <v>14653167.11934842</v>
      </c>
      <c r="AO202" s="6" t="n">
        <v>14392796.17253586</v>
      </c>
      <c r="AP202" s="6" t="n">
        <v>14138335.62045397</v>
      </c>
      <c r="AQ202" s="6" t="n">
        <v>14119747.7373322</v>
      </c>
      <c r="AR202" s="6" t="n">
        <v>14741664.46926845</v>
      </c>
    </row>
    <row r="203">
      <c r="A203" t="inlineStr">
        <is>
          <t>CAT</t>
        </is>
      </c>
      <c r="B203" s="8" t="n">
        <v>202505</v>
      </c>
      <c r="C203" s="8" t="n">
        <v>2025</v>
      </c>
      <c r="D203" s="9" t="n">
        <v>21717863.86958953</v>
      </c>
      <c r="E203" s="10" t="n">
        <v>0.3757447365184676</v>
      </c>
      <c r="F203" s="22">
        <f>D203*(1-E203)</f>
        <v/>
      </c>
      <c r="G203" s="10" t="n">
        <v>0.1665144481465756</v>
      </c>
      <c r="H203" s="10" t="n">
        <v>0</v>
      </c>
      <c r="I203" s="10" t="n">
        <v>0</v>
      </c>
      <c r="J203" s="10" t="n">
        <v>0.372701725803633</v>
      </c>
      <c r="K203" s="9" t="n">
        <v>20778328.28152631</v>
      </c>
      <c r="L203" s="18" t="n">
        <v>124783936.2457967</v>
      </c>
      <c r="M203" s="18" t="n">
        <v>125114292.6873426</v>
      </c>
      <c r="N203" s="23">
        <f>IF(L203=0,"",M203/L203)</f>
        <v/>
      </c>
      <c r="O203" s="9" t="n">
        <v>20778328.28152631</v>
      </c>
      <c r="P203" s="22">
        <f>M203*G203*(1+H203+I203)</f>
        <v/>
      </c>
      <c r="Q203" s="9" t="n">
        <v>13034209.47168702</v>
      </c>
      <c r="R203" s="22">
        <f>P203-M203*G203*J203</f>
        <v/>
      </c>
      <c r="S203" s="22">
        <f>IF(A203=A202,O203-O202,"")</f>
        <v/>
      </c>
      <c r="T203" s="22">
        <f>IF(A203=A202,P203-P202,"")</f>
        <v/>
      </c>
      <c r="U203" s="22">
        <f>IF(A203=A202,Q203-Q202,"")</f>
        <v/>
      </c>
      <c r="V203" s="22">
        <f>IF(A203=A202,R203-R202,"")</f>
        <v/>
      </c>
      <c r="W203" s="22">
        <f>IF(S203="","",D203-S203)</f>
        <v/>
      </c>
      <c r="X203" s="22">
        <f>IF(T203="","",D203-T203)</f>
        <v/>
      </c>
      <c r="Y203" s="22">
        <f>IF(U203="","",F203-U203)</f>
        <v/>
      </c>
      <c r="Z203" s="22">
        <f>IF(V203="","",F203-V203)</f>
        <v/>
      </c>
      <c r="AA203" s="9" t="n">
        <v>118701378.5646174</v>
      </c>
      <c r="AB203" s="9" t="n">
        <v>105214502.3138532</v>
      </c>
      <c r="AC203" s="9" t="n">
        <v>33813104.14879224</v>
      </c>
      <c r="AD203" s="9" t="n">
        <v>34298730.07535818</v>
      </c>
      <c r="AE203" s="9" t="n">
        <v>30241166.61985455</v>
      </c>
      <c r="AF203" s="9" t="n">
        <v>121657503.2828631</v>
      </c>
      <c r="AG203" s="9" t="n">
        <v>22231015.48007892</v>
      </c>
      <c r="AH203" s="9" t="n">
        <v>22192798.55789801</v>
      </c>
      <c r="AI203" s="9" t="n">
        <v>21474335.82183586</v>
      </c>
      <c r="AJ203" s="9" t="n">
        <v>21454797.61894028</v>
      </c>
      <c r="AK203" s="9" t="n">
        <v>21438219.16685192</v>
      </c>
      <c r="AL203" s="9" t="n">
        <v>21989450.18363383</v>
      </c>
      <c r="AM203" s="9" t="n">
        <v>14150512.52364461</v>
      </c>
      <c r="AN203" s="9" t="n">
        <v>14096002.67582671</v>
      </c>
      <c r="AO203" s="9" t="n">
        <v>13476747.41243077</v>
      </c>
      <c r="AP203" s="9" t="n">
        <v>13465311.04496065</v>
      </c>
      <c r="AQ203" s="9" t="n">
        <v>13445656.51049434</v>
      </c>
      <c r="AR203" s="9" t="n">
        <v>14002330.48093559</v>
      </c>
    </row>
    <row r="204">
      <c r="A204" s="4" t="inlineStr">
        <is>
          <t>CAT</t>
        </is>
      </c>
      <c r="B204" s="5" t="n">
        <v>202506</v>
      </c>
      <c r="C204" s="5" t="n">
        <v>2025</v>
      </c>
      <c r="D204" s="6" t="n">
        <v>21770232.78137374</v>
      </c>
      <c r="E204" s="11" t="n">
        <v>0.3757447365184676</v>
      </c>
      <c r="F204" s="22">
        <f>D204*(1-E204)</f>
        <v/>
      </c>
      <c r="G204" s="11" t="n">
        <v>0.1657631725764708</v>
      </c>
      <c r="H204" s="11" t="n">
        <v>0</v>
      </c>
      <c r="I204" s="11" t="n">
        <v>0</v>
      </c>
      <c r="J204" s="11" t="n">
        <v>0.3672012569515488</v>
      </c>
      <c r="K204" s="6" t="n">
        <v>21119892.38545408</v>
      </c>
      <c r="L204" s="18" t="n">
        <v>127410039.6196926</v>
      </c>
      <c r="M204" s="18" t="n">
        <v>127933735.5374912</v>
      </c>
      <c r="N204" s="23">
        <f>IF(L204=0,"",M204/L204)</f>
        <v/>
      </c>
      <c r="O204" s="6" t="n">
        <v>21119892.38545408</v>
      </c>
      <c r="P204" s="22">
        <f>M204*G204*(1+H204+I204)</f>
        <v/>
      </c>
      <c r="Q204" s="6" t="n">
        <v>13364641.3548339</v>
      </c>
      <c r="R204" s="22">
        <f>P204-M204*G204*J204</f>
        <v/>
      </c>
      <c r="S204" s="22">
        <f>IF(A204=A203,O204-O203,"")</f>
        <v/>
      </c>
      <c r="T204" s="22">
        <f>IF(A204=A203,P204-P203,"")</f>
        <v/>
      </c>
      <c r="U204" s="22">
        <f>IF(A204=A203,Q204-Q203,"")</f>
        <v/>
      </c>
      <c r="V204" s="22">
        <f>IF(A204=A203,R204-R203,"")</f>
        <v/>
      </c>
      <c r="W204" s="22">
        <f>IF(S204="","",D204-S204)</f>
        <v/>
      </c>
      <c r="X204" s="22">
        <f>IF(T204="","",D204-T204)</f>
        <v/>
      </c>
      <c r="Y204" s="22">
        <f>IF(U204="","",F204-U204)</f>
        <v/>
      </c>
      <c r="Z204" s="22">
        <f>IF(V204="","",F204-V204)</f>
        <v/>
      </c>
      <c r="AA204" s="6" t="n">
        <v>120921846.2968957</v>
      </c>
      <c r="AB204" s="6" t="n">
        <v>106655656.552572</v>
      </c>
      <c r="AC204" s="6" t="n">
        <v>34095826.90360311</v>
      </c>
      <c r="AD204" s="6" t="n">
        <v>34652564.58306997</v>
      </c>
      <c r="AE204" s="6" t="n">
        <v>30524107.43530674</v>
      </c>
      <c r="AF204" s="6" t="n">
        <v>123080295.8106683</v>
      </c>
      <c r="AG204" s="6" t="n">
        <v>21491338.45132096</v>
      </c>
      <c r="AH204" s="6" t="n">
        <v>21610387.56780082</v>
      </c>
      <c r="AI204" s="6" t="n">
        <v>21748770.71967312</v>
      </c>
      <c r="AJ204" s="6" t="n">
        <v>21737347.84879963</v>
      </c>
      <c r="AK204" s="6" t="n">
        <v>21746051.06384597</v>
      </c>
      <c r="AL204" s="6" t="n">
        <v>21625784.48818301</v>
      </c>
      <c r="AM204" s="6" t="n">
        <v>13304978.93239411</v>
      </c>
      <c r="AN204" s="6" t="n">
        <v>13392665.79525139</v>
      </c>
      <c r="AO204" s="6" t="n">
        <v>13545631.55843647</v>
      </c>
      <c r="AP204" s="6" t="n">
        <v>13537958.39166017</v>
      </c>
      <c r="AQ204" s="6" t="n">
        <v>13547182.12814644</v>
      </c>
      <c r="AR204" s="6" t="n">
        <v>13387348.67862309</v>
      </c>
    </row>
    <row r="205">
      <c r="A205" t="inlineStr">
        <is>
          <t>CAT</t>
        </is>
      </c>
      <c r="B205" s="8" t="n">
        <v>202507</v>
      </c>
      <c r="C205" s="8" t="n">
        <v>2025</v>
      </c>
      <c r="D205" s="9" t="n">
        <v>29876502.00309984</v>
      </c>
      <c r="E205" s="10" t="n">
        <v>0.3757447365184676</v>
      </c>
      <c r="F205" s="22">
        <f>D205*(1-E205)</f>
        <v/>
      </c>
      <c r="G205" s="10" t="n">
        <v>0.1784551296143878</v>
      </c>
      <c r="H205" s="10" t="n">
        <v>0</v>
      </c>
      <c r="I205" s="10" t="n">
        <v>0</v>
      </c>
      <c r="J205" s="10" t="n">
        <v>0.3847116406780738</v>
      </c>
      <c r="K205" s="9" t="n">
        <v>22857278.79849481</v>
      </c>
      <c r="L205" s="18" t="n">
        <v>128084179.1877075</v>
      </c>
      <c r="M205" s="18" t="n">
        <v>137136006.5429222</v>
      </c>
      <c r="N205" s="23">
        <f>IF(L205=0,"",M205/L205)</f>
        <v/>
      </c>
      <c r="O205" s="9" t="n">
        <v>22857278.79849481</v>
      </c>
      <c r="P205" s="22">
        <f>M205*G205*(1+H205+I205)</f>
        <v/>
      </c>
      <c r="Q205" s="9" t="n">
        <v>14063817.57048972</v>
      </c>
      <c r="R205" s="22">
        <f>P205-M205*G205*J205</f>
        <v/>
      </c>
      <c r="S205" s="22">
        <f>IF(A205=A204,O205-O204,"")</f>
        <v/>
      </c>
      <c r="T205" s="22">
        <f>IF(A205=A204,P205-P204,"")</f>
        <v/>
      </c>
      <c r="U205" s="22">
        <f>IF(A205=A204,Q205-Q204,"")</f>
        <v/>
      </c>
      <c r="V205" s="22">
        <f>IF(A205=A204,R205-R204,"")</f>
        <v/>
      </c>
      <c r="W205" s="22">
        <f>IF(S205="","",D205-S205)</f>
        <v/>
      </c>
      <c r="X205" s="22">
        <f>IF(T205="","",D205-T205)</f>
        <v/>
      </c>
      <c r="Y205" s="22">
        <f>IF(U205="","",F205-U205)</f>
        <v/>
      </c>
      <c r="Z205" s="22">
        <f>IF(V205="","",F205-V205)</f>
        <v/>
      </c>
      <c r="AA205" s="9" t="n">
        <v>130094453.6668851</v>
      </c>
      <c r="AB205" s="9" t="n">
        <v>115774392.687976</v>
      </c>
      <c r="AC205" s="9" t="n">
        <v>40876757.80142593</v>
      </c>
      <c r="AD205" s="9" t="n">
        <v>40883434.0434088</v>
      </c>
      <c r="AE205" s="9" t="n">
        <v>36704390.17491513</v>
      </c>
      <c r="AF205" s="9" t="n">
        <v>132305980.5940645</v>
      </c>
      <c r="AG205" s="9" t="n">
        <v>26704868.28784068</v>
      </c>
      <c r="AH205" s="9" t="n">
        <v>26895547.75332083</v>
      </c>
      <c r="AI205" s="9" t="n">
        <v>28233667.33058987</v>
      </c>
      <c r="AJ205" s="9" t="n">
        <v>28324762.52500277</v>
      </c>
      <c r="AK205" s="9" t="n">
        <v>28386188.18555978</v>
      </c>
      <c r="AL205" s="9" t="n">
        <v>26668001.40265426</v>
      </c>
      <c r="AM205" s="9" t="n">
        <v>17050079.26560177</v>
      </c>
      <c r="AN205" s="9" t="n">
        <v>17125993.41027436</v>
      </c>
      <c r="AO205" s="9" t="n">
        <v>17738712.33433349</v>
      </c>
      <c r="AP205" s="9" t="n">
        <v>17796378.1208955</v>
      </c>
      <c r="AQ205" s="9" t="n">
        <v>17822189.45103003</v>
      </c>
      <c r="AR205" s="9" t="n">
        <v>17033660.56569742</v>
      </c>
    </row>
    <row r="206">
      <c r="A206" s="4" t="inlineStr">
        <is>
          <t>CAT</t>
        </is>
      </c>
      <c r="B206" s="5" t="n">
        <v>202508</v>
      </c>
      <c r="C206" s="5" t="n">
        <v>2025</v>
      </c>
      <c r="D206" s="6" t="n">
        <v>22590165.22449232</v>
      </c>
      <c r="E206" s="11" t="n">
        <v>0.3757447365184676</v>
      </c>
      <c r="F206" s="22">
        <f>D206*(1-E206)</f>
        <v/>
      </c>
      <c r="G206" s="11" t="n">
        <v>0.1805077326281979</v>
      </c>
      <c r="H206" s="11" t="n">
        <v>0</v>
      </c>
      <c r="I206" s="11" t="n">
        <v>0</v>
      </c>
      <c r="J206" s="11" t="n">
        <v>0.3836122966629663</v>
      </c>
      <c r="K206" s="6" t="n">
        <v>23315015.89636417</v>
      </c>
      <c r="L206" s="18" t="n">
        <v>129163529.7662701</v>
      </c>
      <c r="M206" s="18" t="n">
        <v>138399102.4182144</v>
      </c>
      <c r="N206" s="23">
        <f>IF(L206=0,"",M206/L206)</f>
        <v/>
      </c>
      <c r="O206" s="6" t="n">
        <v>23315015.89636417</v>
      </c>
      <c r="P206" s="22">
        <f>M206*G206*(1+H206+I206)</f>
        <v/>
      </c>
      <c r="Q206" s="6" t="n">
        <v>14371089.10162634</v>
      </c>
      <c r="R206" s="22">
        <f>P206-M206*G206*J206</f>
        <v/>
      </c>
      <c r="S206" s="22">
        <f>IF(A206=A205,O206-O205,"")</f>
        <v/>
      </c>
      <c r="T206" s="22">
        <f>IF(A206=A205,P206-P205,"")</f>
        <v/>
      </c>
      <c r="U206" s="22">
        <f>IF(A206=A205,Q206-Q205,"")</f>
        <v/>
      </c>
      <c r="V206" s="22">
        <f>IF(A206=A205,R206-R205,"")</f>
        <v/>
      </c>
      <c r="W206" s="22">
        <f>IF(S206="","",D206-S206)</f>
        <v/>
      </c>
      <c r="X206" s="22">
        <f>IF(T206="","",D206-T206)</f>
        <v/>
      </c>
      <c r="Y206" s="22">
        <f>IF(U206="","",F206-U206)</f>
        <v/>
      </c>
      <c r="Z206" s="22">
        <f>IF(V206="","",F206-V206)</f>
        <v/>
      </c>
      <c r="AA206" s="6" t="n">
        <v>131256551.0877918</v>
      </c>
      <c r="AB206" s="6" t="n">
        <v>116499397.6728922</v>
      </c>
      <c r="AC206" s="6" t="n">
        <v>42866819.46290854</v>
      </c>
      <c r="AD206" s="6" t="n">
        <v>38645621.69785438</v>
      </c>
      <c r="AE206" s="6" t="n">
        <v>34389403.77317175</v>
      </c>
      <c r="AF206" s="6" t="n">
        <v>133973919.3141021</v>
      </c>
      <c r="AG206" s="6" t="n">
        <v>22113365.38627475</v>
      </c>
      <c r="AH206" s="6" t="n">
        <v>22221657.35116758</v>
      </c>
      <c r="AI206" s="6" t="n">
        <v>22147039.9499298</v>
      </c>
      <c r="AJ206" s="6" t="n">
        <v>22910190.19710333</v>
      </c>
      <c r="AK206" s="6" t="n">
        <v>22932698.62904304</v>
      </c>
      <c r="AL206" s="6" t="n">
        <v>22017517.73346306</v>
      </c>
      <c r="AM206" s="6" t="n">
        <v>13782613.59158613</v>
      </c>
      <c r="AN206" s="6" t="n">
        <v>13852172.78792642</v>
      </c>
      <c r="AO206" s="6" t="n">
        <v>13820873.2253972</v>
      </c>
      <c r="AP206" s="6" t="n">
        <v>14291268.34378454</v>
      </c>
      <c r="AQ206" s="6" t="n">
        <v>14305962.12423526</v>
      </c>
      <c r="AR206" s="6" t="n">
        <v>13723100.41173231</v>
      </c>
    </row>
    <row r="207">
      <c r="A207" t="inlineStr">
        <is>
          <t>CAT</t>
        </is>
      </c>
      <c r="B207" s="8" t="n">
        <v>202509</v>
      </c>
      <c r="C207" s="8" t="n">
        <v>2025</v>
      </c>
      <c r="D207" s="9" t="n">
        <v>33669349.75163265</v>
      </c>
      <c r="E207" s="10" t="n">
        <v>0.3757447365184676</v>
      </c>
      <c r="F207" s="22">
        <f>D207*(1-E207)</f>
        <v/>
      </c>
      <c r="G207" s="10" t="n">
        <v>0.1802572704989673</v>
      </c>
      <c r="H207" s="10" t="n">
        <v>0</v>
      </c>
      <c r="I207" s="10" t="n">
        <v>0</v>
      </c>
      <c r="J207" s="10" t="n">
        <v>0.3334365339840035</v>
      </c>
      <c r="K207" s="9" t="n">
        <v>25629174.66133761</v>
      </c>
      <c r="L207" s="18" t="n">
        <v>142181087.0118797</v>
      </c>
      <c r="M207" s="18" t="n">
        <v>151204874.3871137</v>
      </c>
      <c r="N207" s="23">
        <f>IF(L207=0,"",M207/L207)</f>
        <v/>
      </c>
      <c r="O207" s="9" t="n">
        <v>25629174.66133761</v>
      </c>
      <c r="P207" s="22">
        <f>M207*G207*(1+H207+I207)</f>
        <v/>
      </c>
      <c r="Q207" s="9" t="n">
        <v>17083471.49339055</v>
      </c>
      <c r="R207" s="22">
        <f>P207-M207*G207*J207</f>
        <v/>
      </c>
      <c r="S207" s="22">
        <f>IF(A207=A206,O207-O206,"")</f>
        <v/>
      </c>
      <c r="T207" s="22">
        <f>IF(A207=A206,P207-P206,"")</f>
        <v/>
      </c>
      <c r="U207" s="22">
        <f>IF(A207=A206,Q207-Q206,"")</f>
        <v/>
      </c>
      <c r="V207" s="22">
        <f>IF(A207=A206,R207-R206,"")</f>
        <v/>
      </c>
      <c r="W207" s="22">
        <f>IF(S207="","",D207-S207)</f>
        <v/>
      </c>
      <c r="X207" s="22">
        <f>IF(T207="","",D207-T207)</f>
        <v/>
      </c>
      <c r="Y207" s="22">
        <f>IF(U207="","",F207-U207)</f>
        <v/>
      </c>
      <c r="Z207" s="22">
        <f>IF(V207="","",F207-V207)</f>
        <v/>
      </c>
      <c r="AA207" s="9" t="n">
        <v>143275363.0564111</v>
      </c>
      <c r="AB207" s="9" t="n">
        <v>126911786.0054829</v>
      </c>
      <c r="AC207" s="9" t="n">
        <v>39632039.46728144</v>
      </c>
      <c r="AD207" s="9" t="n">
        <v>35529223.46924126</v>
      </c>
      <c r="AE207" s="9" t="n">
        <v>31018242.55899528</v>
      </c>
      <c r="AF207" s="9" t="n">
        <v>145159160.0357559</v>
      </c>
      <c r="AG207" s="9" t="n">
        <v>31535746.30678993</v>
      </c>
      <c r="AH207" s="9" t="n">
        <v>31821619.7386198</v>
      </c>
      <c r="AI207" s="9" t="n">
        <v>34263178.87918508</v>
      </c>
      <c r="AJ207" s="9" t="n">
        <v>34240782.45480616</v>
      </c>
      <c r="AK207" s="9" t="n">
        <v>34285639.31380409</v>
      </c>
      <c r="AL207" s="9" t="n">
        <v>31686684.18236623</v>
      </c>
      <c r="AM207" s="9" t="n">
        <v>18407281.25774416</v>
      </c>
      <c r="AN207" s="9" t="n">
        <v>18731491.25161728</v>
      </c>
      <c r="AO207" s="9" t="n">
        <v>21025843.96750925</v>
      </c>
      <c r="AP207" s="9" t="n">
        <v>21049147.19505268</v>
      </c>
      <c r="AQ207" s="9" t="n">
        <v>21117596.18581316</v>
      </c>
      <c r="AR207" s="9" t="n">
        <v>18483279.41973442</v>
      </c>
    </row>
    <row r="208">
      <c r="A208" s="4" t="inlineStr">
        <is>
          <t>CAT</t>
        </is>
      </c>
      <c r="B208" s="5" t="n">
        <v>202510</v>
      </c>
      <c r="C208" s="5" t="n">
        <v>2025</v>
      </c>
      <c r="D208" s="6" t="n">
        <v>30532206.20629387</v>
      </c>
      <c r="E208" s="11" t="n">
        <v>0.3757447365184676</v>
      </c>
      <c r="F208" s="22">
        <f>D208*(1-E208)</f>
        <v/>
      </c>
      <c r="G208" s="11" t="n">
        <v>0.1804532350852658</v>
      </c>
      <c r="H208" s="11" t="n">
        <v>0</v>
      </c>
      <c r="I208" s="11" t="n">
        <v>0</v>
      </c>
      <c r="J208" s="11" t="n">
        <v>0.380883101447823</v>
      </c>
      <c r="K208" s="6" t="n">
        <v>27860199.45262546</v>
      </c>
      <c r="L208" s="18" t="n">
        <v>154390135.7017027</v>
      </c>
      <c r="M208" s="18" t="n">
        <v>158664701.4698276</v>
      </c>
      <c r="N208" s="23">
        <f>IF(L208=0,"",M208/L208)</f>
        <v/>
      </c>
      <c r="O208" s="6" t="n">
        <v>27860199.45262546</v>
      </c>
      <c r="P208" s="22">
        <f>M208*G208*(1+H208+I208)</f>
        <v/>
      </c>
      <c r="Q208" s="6" t="n">
        <v>17248720.27815453</v>
      </c>
      <c r="R208" s="22">
        <f>P208-M208*G208*J208</f>
        <v/>
      </c>
      <c r="S208" s="22">
        <f>IF(A208=A207,O208-O207,"")</f>
        <v/>
      </c>
      <c r="T208" s="22">
        <f>IF(A208=A207,P208-P207,"")</f>
        <v/>
      </c>
      <c r="U208" s="22">
        <f>IF(A208=A207,Q208-Q207,"")</f>
        <v/>
      </c>
      <c r="V208" s="22">
        <f>IF(A208=A207,R208-R207,"")</f>
        <v/>
      </c>
      <c r="W208" s="22">
        <f>IF(S208="","",D208-S208)</f>
        <v/>
      </c>
      <c r="X208" s="22">
        <f>IF(T208="","",D208-T208)</f>
        <v/>
      </c>
      <c r="Y208" s="22">
        <f>IF(U208="","",F208-U208)</f>
        <v/>
      </c>
      <c r="Z208" s="22">
        <f>IF(V208="","",F208-V208)</f>
        <v/>
      </c>
      <c r="AA208" s="6" t="n">
        <v>150386392.9364475</v>
      </c>
      <c r="AB208" s="6" t="n">
        <v>133881110.9664835</v>
      </c>
      <c r="AC208" s="6" t="n">
        <v>50903052.71458261</v>
      </c>
      <c r="AD208" s="6" t="n">
        <v>38727408.50074359</v>
      </c>
      <c r="AE208" s="6" t="n">
        <v>34116277.61188348</v>
      </c>
      <c r="AF208" s="6" t="n">
        <v>152171011.3360757</v>
      </c>
      <c r="AG208" s="6" t="n">
        <v>29220920.9624052</v>
      </c>
      <c r="AH208" s="6" t="n">
        <v>29249698.75507984</v>
      </c>
      <c r="AI208" s="6" t="n">
        <v>28490548.92691112</v>
      </c>
      <c r="AJ208" s="6" t="n">
        <v>29948120.90137934</v>
      </c>
      <c r="AK208" s="6" t="n">
        <v>29967077.28152186</v>
      </c>
      <c r="AL208" s="6" t="n">
        <v>29238448.90047048</v>
      </c>
      <c r="AM208" s="6" t="n">
        <v>19473426.83426305</v>
      </c>
      <c r="AN208" s="6" t="n">
        <v>19351292.70708786</v>
      </c>
      <c r="AO208" s="6" t="n">
        <v>18134822.44197651</v>
      </c>
      <c r="AP208" s="6" t="n">
        <v>19002140.18429586</v>
      </c>
      <c r="AQ208" s="6" t="n">
        <v>18975295.83501301</v>
      </c>
      <c r="AR208" s="6" t="n">
        <v>19500390.01776052</v>
      </c>
    </row>
    <row r="209">
      <c r="A209" t="inlineStr">
        <is>
          <t>CAT</t>
        </is>
      </c>
      <c r="B209" s="8" t="n">
        <v>202511</v>
      </c>
      <c r="C209" s="8" t="n">
        <v>2025</v>
      </c>
      <c r="D209" s="9" t="n">
        <v>30688674.45361438</v>
      </c>
      <c r="E209" s="10" t="n">
        <v>0.3757447365184676</v>
      </c>
      <c r="F209" s="22">
        <f>D209*(1-E209)</f>
        <v/>
      </c>
      <c r="G209" s="10" t="n">
        <v>0.1800152675151561</v>
      </c>
      <c r="H209" s="10" t="n">
        <v>0</v>
      </c>
      <c r="I209" s="10" t="n">
        <v>0</v>
      </c>
      <c r="J209" s="10" t="n">
        <v>0.3905236708755659</v>
      </c>
      <c r="K209" s="9" t="n">
        <v>29616499.34300065</v>
      </c>
      <c r="L209" s="18" t="n">
        <v>164522152.7696652</v>
      </c>
      <c r="M209" s="18" t="n">
        <v>165790081.486727</v>
      </c>
      <c r="N209" s="23">
        <f>IF(L209=0,"",M209/L209)</f>
        <v/>
      </c>
      <c r="O209" s="9" t="n">
        <v>29616499.34300065</v>
      </c>
      <c r="P209" s="22">
        <f>M209*G209*(1+H209+I209)</f>
        <v/>
      </c>
      <c r="Q209" s="9" t="n">
        <v>18050555.30108825</v>
      </c>
      <c r="R209" s="22">
        <f>P209-M209*G209*J209</f>
        <v/>
      </c>
      <c r="S209" s="22">
        <f>IF(A209=A208,O209-O208,"")</f>
        <v/>
      </c>
      <c r="T209" s="22">
        <f>IF(A209=A208,P209-P208,"")</f>
        <v/>
      </c>
      <c r="U209" s="22">
        <f>IF(A209=A208,Q209-Q208,"")</f>
        <v/>
      </c>
      <c r="V209" s="22">
        <f>IF(A209=A208,R209-R208,"")</f>
        <v/>
      </c>
      <c r="W209" s="22">
        <f>IF(S209="","",D209-S209)</f>
        <v/>
      </c>
      <c r="X209" s="22">
        <f>IF(T209="","",D209-T209)</f>
        <v/>
      </c>
      <c r="Y209" s="22">
        <f>IF(U209="","",F209-U209)</f>
        <v/>
      </c>
      <c r="Z209" s="22">
        <f>IF(V209="","",F209-V209)</f>
        <v/>
      </c>
      <c r="AA209" s="9" t="n">
        <v>157206728.6179003</v>
      </c>
      <c r="AB209" s="9" t="n">
        <v>139887383.2374859</v>
      </c>
      <c r="AC209" s="9" t="n">
        <v>56002008.30421553</v>
      </c>
      <c r="AD209" s="9" t="n">
        <v>35009545.78425073</v>
      </c>
      <c r="AE209" s="9" t="n">
        <v>30216340.99606214</v>
      </c>
      <c r="AF209" s="9" t="n">
        <v>158606919.0218757</v>
      </c>
      <c r="AG209" s="9" t="n">
        <v>29526774.26446642</v>
      </c>
      <c r="AH209" s="9" t="n">
        <v>29666089.3288346</v>
      </c>
      <c r="AI209" s="9" t="n">
        <v>29793078.48540729</v>
      </c>
      <c r="AJ209" s="9" t="n">
        <v>31374907.85410618</v>
      </c>
      <c r="AK209" s="9" t="n">
        <v>31405664.41001048</v>
      </c>
      <c r="AL209" s="9" t="n">
        <v>29596758.77792824</v>
      </c>
      <c r="AM209" s="9" t="n">
        <v>18711038.88299404</v>
      </c>
      <c r="AN209" s="9" t="n">
        <v>18767234.34109049</v>
      </c>
      <c r="AO209" s="9" t="n">
        <v>18700276.6263926</v>
      </c>
      <c r="AP209" s="9" t="n">
        <v>19643182.55672236</v>
      </c>
      <c r="AQ209" s="9" t="n">
        <v>19653906.0944864</v>
      </c>
      <c r="AR209" s="9" t="n">
        <v>18756797.43791007</v>
      </c>
    </row>
    <row r="210">
      <c r="A210" s="4" t="inlineStr">
        <is>
          <t>CAT</t>
        </is>
      </c>
      <c r="B210" s="5" t="n">
        <v>202512</v>
      </c>
      <c r="C210" s="5" t="n">
        <v>2025</v>
      </c>
      <c r="D210" s="6" t="n">
        <v>15587023.95091377</v>
      </c>
      <c r="E210" s="11" t="n">
        <v>0.3757447365184676</v>
      </c>
      <c r="F210" s="22">
        <f>D210*(1-E210)</f>
        <v/>
      </c>
      <c r="G210" s="11" t="n">
        <v>0.179926329696267</v>
      </c>
      <c r="H210" s="11" t="n">
        <v>0</v>
      </c>
      <c r="I210" s="11" t="n">
        <v>0</v>
      </c>
      <c r="J210" s="11" t="n">
        <v>0.3855144214842288</v>
      </c>
      <c r="K210" s="6" t="n">
        <v>28431177.40059973</v>
      </c>
      <c r="L210" s="18" t="n">
        <v>158015658.1229346</v>
      </c>
      <c r="M210" s="18" t="n">
        <v>156806485.3435481</v>
      </c>
      <c r="N210" s="23">
        <f>IF(L210=0,"",M210/L210)</f>
        <v/>
      </c>
      <c r="O210" s="6" t="n">
        <v>28431177.40059973</v>
      </c>
      <c r="P210" s="22">
        <f>M210*G210*(1+H210+I210)</f>
        <v/>
      </c>
      <c r="Q210" s="6" t="n">
        <v>17470548.49289205</v>
      </c>
      <c r="R210" s="22">
        <f>P210-M210*G210*J210</f>
        <v/>
      </c>
      <c r="S210" s="22">
        <f>IF(A210=A209,O210-O209,"")</f>
        <v/>
      </c>
      <c r="T210" s="22">
        <f>IF(A210=A209,P210-P209,"")</f>
        <v/>
      </c>
      <c r="U210" s="22">
        <f>IF(A210=A209,Q210-Q209,"")</f>
        <v/>
      </c>
      <c r="V210" s="22">
        <f>IF(A210=A209,R210-R209,"")</f>
        <v/>
      </c>
      <c r="W210" s="22">
        <f>IF(S210="","",D210-S210)</f>
        <v/>
      </c>
      <c r="X210" s="22">
        <f>IF(T210="","",D210-T210)</f>
        <v/>
      </c>
      <c r="Y210" s="22">
        <f>IF(U210="","",F210-U210)</f>
        <v/>
      </c>
      <c r="Z210" s="22">
        <f>IF(V210="","",F210-V210)</f>
        <v/>
      </c>
      <c r="AA210" s="6" t="n">
        <v>148353194.7917822</v>
      </c>
      <c r="AB210" s="6" t="n">
        <v>131192731.4101956</v>
      </c>
      <c r="AC210" s="6" t="n">
        <v>58218236.60780476</v>
      </c>
      <c r="AD210" s="6" t="n">
        <v>30284121.58109376</v>
      </c>
      <c r="AE210" s="6" t="n">
        <v>25458306.41741326</v>
      </c>
      <c r="AF210" s="6" t="n">
        <v>150058199.432838</v>
      </c>
      <c r="AG210" s="6" t="n">
        <v>17193989.42064694</v>
      </c>
      <c r="AH210" s="6" t="n">
        <v>17163862.0209403</v>
      </c>
      <c r="AI210" s="6" t="n">
        <v>15193246.82295197</v>
      </c>
      <c r="AJ210" s="6" t="n">
        <v>16440365.85668806</v>
      </c>
      <c r="AK210" s="6" t="n">
        <v>16445807.02468099</v>
      </c>
      <c r="AL210" s="6" t="n">
        <v>17139269.84361044</v>
      </c>
      <c r="AM210" s="6" t="n">
        <v>10575979.03897814</v>
      </c>
      <c r="AN210" s="6" t="n">
        <v>10573083.75655777</v>
      </c>
      <c r="AO210" s="6" t="n">
        <v>9437812.049440775</v>
      </c>
      <c r="AP210" s="6" t="n">
        <v>10223078.48226043</v>
      </c>
      <c r="AQ210" s="6" t="n">
        <v>10230744.23257107</v>
      </c>
      <c r="AR210" s="6" t="n">
        <v>10541092.03841467</v>
      </c>
    </row>
    <row r="211">
      <c r="A211" t="inlineStr">
        <is>
          <t>CAT</t>
        </is>
      </c>
      <c r="B211" s="8" t="n">
        <v>202601</v>
      </c>
      <c r="C211" s="8" t="n">
        <v>2026</v>
      </c>
      <c r="D211" s="9" t="n">
        <v>30765867.71832097</v>
      </c>
      <c r="E211" s="10" t="n">
        <v>0.3757447365184676</v>
      </c>
      <c r="F211" s="22">
        <f>D211*(1-E211)</f>
        <v/>
      </c>
      <c r="G211" s="10" t="n">
        <v>0.1778336599054189</v>
      </c>
      <c r="H211" s="10" t="n">
        <v>0</v>
      </c>
      <c r="I211" s="10" t="n">
        <v>0</v>
      </c>
      <c r="J211" s="10" t="n">
        <v>0.3953777124544816</v>
      </c>
      <c r="K211" s="9" t="n">
        <v>30432067.6419768</v>
      </c>
      <c r="L211" s="18" t="n">
        <v>171126589.0729693</v>
      </c>
      <c r="M211" s="18" t="n">
        <v>163458515.3876252</v>
      </c>
      <c r="N211" s="23">
        <f>IF(L211=0,"",M211/L211)</f>
        <v/>
      </c>
      <c r="O211" s="9" t="n">
        <v>30432067.6419768</v>
      </c>
      <c r="P211" s="22">
        <f>M211*G211*(1+H211+I211)</f>
        <v/>
      </c>
      <c r="Q211" s="9" t="n">
        <v>18399906.35243196</v>
      </c>
      <c r="R211" s="22">
        <f>P211-M211*G211*J211</f>
        <v/>
      </c>
      <c r="S211" s="22">
        <f>IF(A211=A210,O211-O210,"")</f>
        <v/>
      </c>
      <c r="T211" s="22">
        <f>IF(A211=A210,P211-P210,"")</f>
        <v/>
      </c>
      <c r="U211" s="22">
        <f>IF(A211=A210,Q211-Q210,"")</f>
        <v/>
      </c>
      <c r="V211" s="22">
        <f>IF(A211=A210,R211-R210,"")</f>
        <v/>
      </c>
      <c r="W211" s="22">
        <f>IF(S211="","",D211-S211)</f>
        <v/>
      </c>
      <c r="X211" s="22">
        <f>IF(T211="","",D211-T211)</f>
        <v/>
      </c>
      <c r="Y211" s="22">
        <f>IF(U211="","",F211-U211)</f>
        <v/>
      </c>
      <c r="Z211" s="22">
        <f>IF(V211="","",F211-V211)</f>
        <v/>
      </c>
      <c r="AA211" s="9" t="n">
        <v>154799390.4568876</v>
      </c>
      <c r="AB211" s="9" t="n">
        <v>137276202.876675</v>
      </c>
      <c r="AC211" s="9" t="n">
        <v>59505787.95243941</v>
      </c>
      <c r="AD211" s="9" t="n">
        <v>37293136.64331182</v>
      </c>
      <c r="AE211" s="9" t="n">
        <v>32400243.285514</v>
      </c>
      <c r="AF211" s="9" t="n">
        <v>156283676.2683437</v>
      </c>
      <c r="AG211" s="9" t="n">
        <v>29929971.39984538</v>
      </c>
      <c r="AH211" s="9" t="n">
        <v>29958564.78830772</v>
      </c>
      <c r="AI211" s="9" t="n">
        <v>30658729.29541404</v>
      </c>
      <c r="AJ211" s="9" t="n">
        <v>29582803.58384965</v>
      </c>
      <c r="AK211" s="9" t="n">
        <v>29584633.50700013</v>
      </c>
      <c r="AL211" s="9" t="n">
        <v>29972790.64882874</v>
      </c>
      <c r="AM211" s="9" t="n">
        <v>18963630.64717301</v>
      </c>
      <c r="AN211" s="9" t="n">
        <v>18950464.76061641</v>
      </c>
      <c r="AO211" s="9" t="n">
        <v>19244294.49052239</v>
      </c>
      <c r="AP211" s="9" t="n">
        <v>18544192.10856825</v>
      </c>
      <c r="AQ211" s="9" t="n">
        <v>18536734.31203647</v>
      </c>
      <c r="AR211" s="9" t="n">
        <v>18992545.93277245</v>
      </c>
    </row>
    <row r="212">
      <c r="A212" s="4" t="inlineStr">
        <is>
          <t>CAT</t>
        </is>
      </c>
      <c r="B212" s="5" t="n">
        <v>202602</v>
      </c>
      <c r="C212" s="5" t="n">
        <v>2026</v>
      </c>
      <c r="D212" s="6" t="n">
        <v>21696165.13019793</v>
      </c>
      <c r="E212" s="11" t="n">
        <v>0.3757447365184676</v>
      </c>
      <c r="F212" s="22">
        <f>D212*(1-E212)</f>
        <v/>
      </c>
      <c r="G212" s="11" t="n">
        <v>0.177833659905419</v>
      </c>
      <c r="H212" s="11" t="n">
        <v>0</v>
      </c>
      <c r="I212" s="11" t="n">
        <v>0</v>
      </c>
      <c r="J212" s="11" t="n">
        <v>0.3953777124544815</v>
      </c>
      <c r="K212" s="6" t="n">
        <v>30764613.18782716</v>
      </c>
      <c r="L212" s="18" t="n">
        <v>172996569.964254</v>
      </c>
      <c r="M212" s="18" t="n">
        <v>160476989.084571</v>
      </c>
      <c r="N212" s="23">
        <f>IF(L212=0,"",M212/L212)</f>
        <v/>
      </c>
      <c r="O212" s="6" t="n">
        <v>30764613.18782716</v>
      </c>
      <c r="P212" s="22">
        <f>M212*G212*(1+H212+I212)</f>
        <v/>
      </c>
      <c r="Q212" s="6" t="n">
        <v>18600970.80107708</v>
      </c>
      <c r="R212" s="22">
        <f>P212-M212*G212*J212</f>
        <v/>
      </c>
      <c r="S212" s="22">
        <f>IF(A212=A211,O212-O211,"")</f>
        <v/>
      </c>
      <c r="T212" s="22">
        <f>IF(A212=A211,P212-P211,"")</f>
        <v/>
      </c>
      <c r="U212" s="22">
        <f>IF(A212=A211,Q212-Q211,"")</f>
        <v/>
      </c>
      <c r="V212" s="22">
        <f>IF(A212=A211,R212-R211,"")</f>
        <v/>
      </c>
      <c r="W212" s="22">
        <f>IF(S212="","",D212-S212)</f>
        <v/>
      </c>
      <c r="X212" s="22">
        <f>IF(T212="","",D212-T212)</f>
        <v/>
      </c>
      <c r="Y212" s="22">
        <f>IF(U212="","",F212-U212)</f>
        <v/>
      </c>
      <c r="Z212" s="22">
        <f>IF(V212="","",F212-V212)</f>
        <v/>
      </c>
      <c r="AA212" s="6" t="n">
        <v>151697501.547029</v>
      </c>
      <c r="AB212" s="6" t="n">
        <v>133938642.791564</v>
      </c>
      <c r="AC212" s="6" t="n">
        <v>51161620.01636688</v>
      </c>
      <c r="AD212" s="6" t="n">
        <v>33915045.28706962</v>
      </c>
      <c r="AE212" s="6" t="n">
        <v>28955616.77092465</v>
      </c>
      <c r="AF212" s="6" t="n">
        <v>153223451.9954911</v>
      </c>
      <c r="AG212" s="6" t="n">
        <v>22247785.38765811</v>
      </c>
      <c r="AH212" s="6" t="n">
        <v>22289695.65528744</v>
      </c>
      <c r="AI212" s="6" t="n">
        <v>23180039.05313515</v>
      </c>
      <c r="AJ212" s="6" t="n">
        <v>22296903.47957334</v>
      </c>
      <c r="AK212" s="6" t="n">
        <v>22308735.6702946</v>
      </c>
      <c r="AL212" s="6" t="n">
        <v>22240376.0127707</v>
      </c>
      <c r="AM212" s="6" t="n">
        <v>13877467.18181256</v>
      </c>
      <c r="AN212" s="6" t="n">
        <v>13902807.06369826</v>
      </c>
      <c r="AO212" s="6" t="n">
        <v>14441128.52560599</v>
      </c>
      <c r="AP212" s="6" t="n">
        <v>13907165.07490622</v>
      </c>
      <c r="AQ212" s="6" t="n">
        <v>13914319.08112679</v>
      </c>
      <c r="AR212" s="6" t="n">
        <v>13872987.30861885</v>
      </c>
    </row>
    <row r="213">
      <c r="A213" t="inlineStr">
        <is>
          <t>CAT</t>
        </is>
      </c>
      <c r="B213" s="8" t="n">
        <v>202603</v>
      </c>
      <c r="C213" s="8" t="n">
        <v>2026</v>
      </c>
      <c r="D213" s="9" t="n">
        <v>18529622.98501097</v>
      </c>
      <c r="E213" s="10" t="n">
        <v>0.3757447365184676</v>
      </c>
      <c r="F213" s="22">
        <f>D213*(1-E213)</f>
        <v/>
      </c>
      <c r="G213" s="10" t="n">
        <v>0.1776563879357864</v>
      </c>
      <c r="H213" s="10" t="n">
        <v>0</v>
      </c>
      <c r="I213" s="10" t="n">
        <v>0</v>
      </c>
      <c r="J213" s="10" t="n">
        <v>0.3921276615479636</v>
      </c>
      <c r="K213" s="9" t="n">
        <v>29310569.81065762</v>
      </c>
      <c r="L213" s="18" t="n">
        <v>164984609.6232232</v>
      </c>
      <c r="M213" s="18" t="n">
        <v>154599212.9321797</v>
      </c>
      <c r="N213" s="23">
        <f>IF(L213=0,"",M213/L213)</f>
        <v/>
      </c>
      <c r="O213" s="9" t="n">
        <v>29310569.81065762</v>
      </c>
      <c r="P213" s="22">
        <f>M213*G213*(1+H213+I213)</f>
        <v/>
      </c>
      <c r="Q213" s="9" t="n">
        <v>17817084.61216611</v>
      </c>
      <c r="R213" s="22">
        <f>P213-M213*G213*J213</f>
        <v/>
      </c>
      <c r="S213" s="22">
        <f>IF(A213=A212,O213-O212,"")</f>
        <v/>
      </c>
      <c r="T213" s="22">
        <f>IF(A213=A212,P213-P212,"")</f>
        <v/>
      </c>
      <c r="U213" s="22">
        <f>IF(A213=A212,Q213-Q212,"")</f>
        <v/>
      </c>
      <c r="V213" s="22">
        <f>IF(A213=A212,R213-R212,"")</f>
        <v/>
      </c>
      <c r="W213" s="22">
        <f>IF(S213="","",D213-S213)</f>
        <v/>
      </c>
      <c r="X213" s="22">
        <f>IF(T213="","",D213-T213)</f>
        <v/>
      </c>
      <c r="Y213" s="22">
        <f>IF(U213="","",F213-U213)</f>
        <v/>
      </c>
      <c r="Z213" s="22">
        <f>IF(V213="","",F213-V213)</f>
        <v/>
      </c>
      <c r="AA213" s="9" t="n">
        <v>145770144.2039982</v>
      </c>
      <c r="AB213" s="9" t="n">
        <v>127814511.3248344</v>
      </c>
      <c r="AC213" s="9" t="n">
        <v>43091101.04640456</v>
      </c>
      <c r="AD213" s="9" t="n">
        <v>29796333.87770843</v>
      </c>
      <c r="AE213" s="9" t="n">
        <v>24841954.21731161</v>
      </c>
      <c r="AF213" s="9" t="n">
        <v>146922818.0531441</v>
      </c>
      <c r="AG213" s="9" t="n">
        <v>19609547.59546607</v>
      </c>
      <c r="AH213" s="9" t="n">
        <v>19641357.62765162</v>
      </c>
      <c r="AI213" s="9" t="n">
        <v>19972471.75513162</v>
      </c>
      <c r="AJ213" s="9" t="n">
        <v>19267350.56382621</v>
      </c>
      <c r="AK213" s="9" t="n">
        <v>19265574.43468948</v>
      </c>
      <c r="AL213" s="9" t="n">
        <v>19676133.0760431</v>
      </c>
      <c r="AM213" s="9" t="n">
        <v>12135994.60755907</v>
      </c>
      <c r="AN213" s="9" t="n">
        <v>12165595.10623571</v>
      </c>
      <c r="AO213" s="9" t="n">
        <v>12414712.73255057</v>
      </c>
      <c r="AP213" s="9" t="n">
        <v>11996057.04112212</v>
      </c>
      <c r="AQ213" s="9" t="n">
        <v>11997843.77455076</v>
      </c>
      <c r="AR213" s="9" t="n">
        <v>12175588.12813259</v>
      </c>
    </row>
    <row r="214">
      <c r="A214" s="4" t="inlineStr">
        <is>
          <t>CAT</t>
        </is>
      </c>
      <c r="B214" s="5" t="n">
        <v>202604</v>
      </c>
      <c r="C214" s="5" t="n">
        <v>2026</v>
      </c>
      <c r="D214" s="6" t="n">
        <v>33069675.85638045</v>
      </c>
      <c r="E214" s="11" t="n">
        <v>0.3757447365184676</v>
      </c>
      <c r="F214" s="22">
        <f>D214*(1-E214)</f>
        <v/>
      </c>
      <c r="G214" s="11" t="n">
        <v>0.1770594686030434</v>
      </c>
      <c r="H214" s="11" t="n">
        <v>0</v>
      </c>
      <c r="I214" s="11" t="n">
        <v>0</v>
      </c>
      <c r="J214" s="11" t="n">
        <v>0.4348552026140801</v>
      </c>
      <c r="K214" s="6" t="n">
        <v>30207144.90348507</v>
      </c>
      <c r="L214" s="18" t="n">
        <v>170604515.7698268</v>
      </c>
      <c r="M214" s="18" t="n">
        <v>162494583.1612968</v>
      </c>
      <c r="N214" s="23">
        <f>IF(L214=0,"",M214/L214)</f>
        <v/>
      </c>
      <c r="O214" s="6" t="n">
        <v>30207144.90348507</v>
      </c>
      <c r="P214" s="22">
        <f>M214*G214*(1+H214+I214)</f>
        <v/>
      </c>
      <c r="Q214" s="6" t="n">
        <v>17071410.78608719</v>
      </c>
      <c r="R214" s="22">
        <f>P214-M214*G214*J214</f>
        <v/>
      </c>
      <c r="S214" s="22">
        <f>IF(A214=A213,O214-O213,"")</f>
        <v/>
      </c>
      <c r="T214" s="22">
        <f>IF(A214=A213,P214-P213,"")</f>
        <v/>
      </c>
      <c r="U214" s="22">
        <f>IF(A214=A213,Q214-Q213,"")</f>
        <v/>
      </c>
      <c r="V214" s="22">
        <f>IF(A214=A213,R214-R213,"")</f>
        <v/>
      </c>
      <c r="W214" s="22">
        <f>IF(S214="","",D214-S214)</f>
        <v/>
      </c>
      <c r="X214" s="22">
        <f>IF(T214="","",D214-T214)</f>
        <v/>
      </c>
      <c r="Y214" s="22">
        <f>IF(U214="","",F214-U214)</f>
        <v/>
      </c>
      <c r="Z214" s="22">
        <f>IF(V214="","",F214-V214)</f>
        <v/>
      </c>
      <c r="AA214" s="6" t="n">
        <v>153406598.8447836</v>
      </c>
      <c r="AB214" s="6" t="n">
        <v>135495564.0616644</v>
      </c>
      <c r="AC214" s="6" t="n">
        <v>45164684.27319699</v>
      </c>
      <c r="AD214" s="6" t="n">
        <v>36878806.83446412</v>
      </c>
      <c r="AE214" s="6" t="n">
        <v>31860395.257455</v>
      </c>
      <c r="AF214" s="6" t="n">
        <v>154490265.7213544</v>
      </c>
      <c r="AG214" s="6" t="n">
        <v>31804582.27288384</v>
      </c>
      <c r="AH214" s="6" t="n">
        <v>31785967.69330025</v>
      </c>
      <c r="AI214" s="6" t="n">
        <v>32728250.22342417</v>
      </c>
      <c r="AJ214" s="6" t="n">
        <v>31833442.96599833</v>
      </c>
      <c r="AK214" s="6" t="n">
        <v>31841823.05812629</v>
      </c>
      <c r="AL214" s="6" t="n">
        <v>31817488.66408279</v>
      </c>
      <c r="AM214" s="6" t="n">
        <v>21035473.17317324</v>
      </c>
      <c r="AN214" s="6" t="n">
        <v>20888655.25222003</v>
      </c>
      <c r="AO214" s="6" t="n">
        <v>20778061.11279589</v>
      </c>
      <c r="AP214" s="6" t="n">
        <v>20171447.25395347</v>
      </c>
      <c r="AQ214" s="6" t="n">
        <v>20138575.41217943</v>
      </c>
      <c r="AR214" s="6" t="n">
        <v>21051516.89342442</v>
      </c>
    </row>
    <row r="215">
      <c r="A215" t="inlineStr">
        <is>
          <t>CAT</t>
        </is>
      </c>
      <c r="B215" s="8" t="n">
        <v>202605</v>
      </c>
      <c r="C215" s="8" t="n">
        <v>2026</v>
      </c>
      <c r="D215" s="9" t="n">
        <v>20657721.95246437</v>
      </c>
      <c r="E215" s="10" t="n">
        <v>0.3757447365184676</v>
      </c>
      <c r="F215" s="22">
        <f>D215*(1-E215)</f>
        <v/>
      </c>
      <c r="G215" s="10" t="n">
        <v>0.1763120417821522</v>
      </c>
      <c r="H215" s="10" t="n">
        <v>0</v>
      </c>
      <c r="I215" s="10" t="n">
        <v>0</v>
      </c>
      <c r="J215" s="10" t="n">
        <v>0.4472330780501916</v>
      </c>
      <c r="K215" s="9" t="n">
        <v>28831791.13442253</v>
      </c>
      <c r="L215" s="18" t="n">
        <v>163527067.368697</v>
      </c>
      <c r="M215" s="18" t="n">
        <v>157055909.7979301</v>
      </c>
      <c r="N215" s="23">
        <f>IF(L215=0,"",M215/L215)</f>
        <v/>
      </c>
      <c r="O215" s="9" t="n">
        <v>28831791.13442253</v>
      </c>
      <c r="P215" s="22">
        <f>M215*G215*(1+H215+I215)</f>
        <v/>
      </c>
      <c r="Q215" s="9" t="n">
        <v>15937260.43967451</v>
      </c>
      <c r="R215" s="22">
        <f>P215-M215*G215*J215</f>
        <v/>
      </c>
      <c r="S215" s="22">
        <f>IF(A215=A214,O215-O214,"")</f>
        <v/>
      </c>
      <c r="T215" s="22">
        <f>IF(A215=A214,P215-P214,"")</f>
        <v/>
      </c>
      <c r="U215" s="22">
        <f>IF(A215=A214,Q215-Q214,"")</f>
        <v/>
      </c>
      <c r="V215" s="22">
        <f>IF(A215=A214,R215-R214,"")</f>
        <v/>
      </c>
      <c r="W215" s="22">
        <f>IF(S215="","",D215-S215)</f>
        <v/>
      </c>
      <c r="X215" s="22">
        <f>IF(T215="","",D215-T215)</f>
        <v/>
      </c>
      <c r="Y215" s="22">
        <f>IF(U215="","",F215-U215)</f>
        <v/>
      </c>
      <c r="Z215" s="22">
        <f>IF(V215="","",F215-V215)</f>
        <v/>
      </c>
      <c r="AA215" s="9" t="n">
        <v>147969188.0974819</v>
      </c>
      <c r="AB215" s="9" t="n">
        <v>130262852.2707757</v>
      </c>
      <c r="AC215" s="9" t="n">
        <v>43094842.29715858</v>
      </c>
      <c r="AD215" s="9" t="n">
        <v>37780664.40797342</v>
      </c>
      <c r="AE215" s="9" t="n">
        <v>32775140.08255597</v>
      </c>
      <c r="AF215" s="9" t="n">
        <v>149618871.6666882</v>
      </c>
      <c r="AG215" s="9" t="n">
        <v>21731063.14980763</v>
      </c>
      <c r="AH215" s="9" t="n">
        <v>21681585.07106497</v>
      </c>
      <c r="AI215" s="9" t="n">
        <v>21056417.31380897</v>
      </c>
      <c r="AJ215" s="9" t="n">
        <v>20526277.81163279</v>
      </c>
      <c r="AK215" s="9" t="n">
        <v>20520254.73858077</v>
      </c>
      <c r="AL215" s="9" t="n">
        <v>21632077.55273475</v>
      </c>
      <c r="AM215" s="9" t="n">
        <v>13825208.14761496</v>
      </c>
      <c r="AN215" s="9" t="n">
        <v>13758604.11942845</v>
      </c>
      <c r="AO215" s="9" t="n">
        <v>13215061.09552646</v>
      </c>
      <c r="AP215" s="9" t="n">
        <v>12903858.01960155</v>
      </c>
      <c r="AQ215" s="9" t="n">
        <v>12889530.21263287</v>
      </c>
      <c r="AR215" s="9" t="n">
        <v>13772867.16985475</v>
      </c>
    </row>
    <row r="216">
      <c r="A216" s="4" t="inlineStr">
        <is>
          <t>Credito</t>
        </is>
      </c>
      <c r="B216" s="5" t="n">
        <v>202201</v>
      </c>
      <c r="C216" s="5" t="n">
        <v>2022</v>
      </c>
      <c r="D216" s="6" t="n">
        <v>67570.33587860325</v>
      </c>
      <c r="E216" s="11" t="n">
        <v>0.3739756482660824</v>
      </c>
      <c r="F216" s="22">
        <f>D216*(1-E216)</f>
        <v/>
      </c>
      <c r="G216" s="11" t="n">
        <v>0.6875999999999999</v>
      </c>
      <c r="H216" s="11" t="n">
        <v>0.2705061081919663</v>
      </c>
      <c r="I216" s="11" t="n">
        <v>0.05231666049142629</v>
      </c>
      <c r="J216" s="11" t="n">
        <v>0.1674823848254219</v>
      </c>
      <c r="K216" s="6" t="n">
        <v>888901.4602152001</v>
      </c>
      <c r="L216" s="18" t="n">
        <v>1292759.540743456</v>
      </c>
      <c r="M216" s="18" t="n">
        <v>1384171.526923275</v>
      </c>
      <c r="N216" s="23">
        <f>IF(L216=0,"",M216/L216)</f>
        <v/>
      </c>
      <c r="O216" s="6" t="n">
        <v>1175859.090688582</v>
      </c>
      <c r="P216" s="22">
        <f>M216*G216*(1+H216+I216)</f>
        <v/>
      </c>
      <c r="Q216" s="6" t="n">
        <v>1026983.75425694</v>
      </c>
      <c r="R216" s="22">
        <f>P216-M216*G216*J216</f>
        <v/>
      </c>
      <c r="S216" s="22">
        <f>IF(A216=A215,O216-O215,"")</f>
        <v/>
      </c>
      <c r="T216" s="22">
        <f>IF(A216=A215,P216-P215,"")</f>
        <v/>
      </c>
      <c r="U216" s="22">
        <f>IF(A216=A215,Q216-Q215,"")</f>
        <v/>
      </c>
      <c r="V216" s="22">
        <f>IF(A216=A215,R216-R215,"")</f>
        <v/>
      </c>
      <c r="W216" s="22">
        <f>IF(S216="","",D216-S216)</f>
        <v/>
      </c>
      <c r="X216" s="22">
        <f>IF(T216="","",D216-T216)</f>
        <v/>
      </c>
      <c r="Y216" s="22">
        <f>IF(U216="","",F216-U216)</f>
        <v/>
      </c>
      <c r="Z216" s="22">
        <f>IF(V216="","",F216-V216)</f>
        <v/>
      </c>
      <c r="AA216" s="6" t="n">
        <v>1218149.290055742</v>
      </c>
      <c r="AB216" s="6" t="n">
        <v>1056158.909066345</v>
      </c>
      <c r="AC216" s="6" t="n">
        <v>326745.8437977954</v>
      </c>
      <c r="AD216" s="6" t="n">
        <v>255918.8488531305</v>
      </c>
      <c r="AE216" s="6" t="n">
        <v>224304.3623758876</v>
      </c>
      <c r="AF216" s="6" t="n">
        <v>1198890.228746288</v>
      </c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</row>
    <row r="217">
      <c r="A217" t="inlineStr">
        <is>
          <t>Credito</t>
        </is>
      </c>
      <c r="B217" s="8" t="n">
        <v>202202</v>
      </c>
      <c r="C217" s="8" t="n">
        <v>2022</v>
      </c>
      <c r="D217" s="9" t="n">
        <v>356023.4282303179</v>
      </c>
      <c r="E217" s="10" t="n">
        <v>0.3739756482660824</v>
      </c>
      <c r="F217" s="22">
        <f>D217*(1-E217)</f>
        <v/>
      </c>
      <c r="G217" s="10" t="n">
        <v>0.6876</v>
      </c>
      <c r="H217" s="10" t="n">
        <v>0.2705061082342686</v>
      </c>
      <c r="I217" s="10" t="n">
        <v>0.04491753583445081</v>
      </c>
      <c r="J217" s="10" t="n">
        <v>0.2345833990645247</v>
      </c>
      <c r="K217" s="9" t="n">
        <v>1015439.004541645</v>
      </c>
      <c r="L217" s="18" t="n">
        <v>1476787.382986685</v>
      </c>
      <c r="M217" s="18" t="n">
        <v>1573044.241606946</v>
      </c>
      <c r="N217" s="23">
        <f>IF(L217=0,"",M217/L217)</f>
        <v/>
      </c>
      <c r="O217" s="9" t="n">
        <v>1335732.475683684</v>
      </c>
      <c r="P217" s="22">
        <f>M217*G217*(1+H217+I217)</f>
        <v/>
      </c>
      <c r="Q217" s="9" t="n">
        <v>1097527.342455607</v>
      </c>
      <c r="R217" s="22">
        <f>P217-M217*G217*J217</f>
        <v/>
      </c>
      <c r="S217" s="22">
        <f>IF(A217=A216,O217-O216,"")</f>
        <v/>
      </c>
      <c r="T217" s="22">
        <f>IF(A217=A216,P217-P216,"")</f>
        <v/>
      </c>
      <c r="U217" s="22">
        <f>IF(A217=A216,Q217-Q216,"")</f>
        <v/>
      </c>
      <c r="V217" s="22">
        <f>IF(A217=A216,R217-R216,"")</f>
        <v/>
      </c>
      <c r="W217" s="22">
        <f>IF(S217="","",D217-S217)</f>
        <v/>
      </c>
      <c r="X217" s="22">
        <f>IF(T217="","",D217-T217)</f>
        <v/>
      </c>
      <c r="Y217" s="22">
        <f>IF(U217="","",F217-U217)</f>
        <v/>
      </c>
      <c r="Z217" s="22">
        <f>IF(V217="","",F217-V217)</f>
        <v/>
      </c>
      <c r="AA217" s="9" t="n">
        <v>1390888.089623103</v>
      </c>
      <c r="AB217" s="9" t="n">
        <v>1208447.5644775</v>
      </c>
      <c r="AC217" s="9" t="n">
        <v>293901.4972203227</v>
      </c>
      <c r="AD217" s="9" t="n">
        <v>221521.1603823306</v>
      </c>
      <c r="AE217" s="9" t="n">
        <v>185489.2045799104</v>
      </c>
      <c r="AF217" s="9" t="n">
        <v>1359522.292227836</v>
      </c>
      <c r="AG217" s="9" t="n">
        <v>205981.2264072803</v>
      </c>
      <c r="AH217" s="9" t="n">
        <v>223653.9326998971</v>
      </c>
      <c r="AI217" s="9" t="n">
        <v>387393.0214199829</v>
      </c>
      <c r="AJ217" s="9" t="n">
        <v>388437.6542078092</v>
      </c>
      <c r="AK217" s="9" t="n">
        <v>392272.3471998625</v>
      </c>
      <c r="AL217" s="9" t="n">
        <v>216833.6080657673</v>
      </c>
      <c r="AM217" s="9" t="n">
        <v>156903.5965897218</v>
      </c>
      <c r="AN217" s="9" t="n">
        <v>163803.685241658</v>
      </c>
      <c r="AO217" s="9" t="n">
        <v>264026.765425262</v>
      </c>
      <c r="AP217" s="9" t="n">
        <v>261552.9824183872</v>
      </c>
      <c r="AQ217" s="9" t="n">
        <v>263216.489657209</v>
      </c>
      <c r="AR217" s="9" t="n">
        <v>164914.5799923244</v>
      </c>
    </row>
    <row r="218">
      <c r="A218" s="4" t="inlineStr">
        <is>
          <t>Credito</t>
        </is>
      </c>
      <c r="B218" s="5" t="n">
        <v>202203</v>
      </c>
      <c r="C218" s="5" t="n">
        <v>2022</v>
      </c>
      <c r="D218" s="6" t="n">
        <v>48674.5436903942</v>
      </c>
      <c r="E218" s="11" t="n">
        <v>0.3739756482660824</v>
      </c>
      <c r="F218" s="22">
        <f>D218*(1-E218)</f>
        <v/>
      </c>
      <c r="G218" s="11" t="n">
        <v>0.6876</v>
      </c>
      <c r="H218" s="11" t="n">
        <v>0.2705061083396847</v>
      </c>
      <c r="I218" s="11" t="n">
        <v>0.05695706264681787</v>
      </c>
      <c r="J218" s="11" t="n">
        <v>0.22883335496949</v>
      </c>
      <c r="K218" s="6" t="n">
        <v>907798.943245974</v>
      </c>
      <c r="L218" s="18" t="n">
        <v>1320242.791224511</v>
      </c>
      <c r="M218" s="18" t="n">
        <v>1427570.263944976</v>
      </c>
      <c r="N218" s="23">
        <f>IF(L218=0,"",M218/L218)</f>
        <v/>
      </c>
      <c r="O218" s="6" t="n">
        <v>1205069.663819497</v>
      </c>
      <c r="P218" s="22">
        <f>M218*G218*(1+H218+I218)</f>
        <v/>
      </c>
      <c r="Q218" s="6" t="n">
        <v>997334.9859987632</v>
      </c>
      <c r="R218" s="22">
        <f>P218-M218*G218*J218</f>
        <v/>
      </c>
      <c r="S218" s="22">
        <f>IF(A218=A217,O218-O217,"")</f>
        <v/>
      </c>
      <c r="T218" s="22">
        <f>IF(A218=A217,P218-P217,"")</f>
        <v/>
      </c>
      <c r="U218" s="22">
        <f>IF(A218=A217,Q218-Q217,"")</f>
        <v/>
      </c>
      <c r="V218" s="22">
        <f>IF(A218=A217,R218-R217,"")</f>
        <v/>
      </c>
      <c r="W218" s="22">
        <f>IF(S218="","",D218-S218)</f>
        <v/>
      </c>
      <c r="X218" s="22">
        <f>IF(T218="","",D218-T218)</f>
        <v/>
      </c>
      <c r="Y218" s="22">
        <f>IF(U218="","",F218-U218)</f>
        <v/>
      </c>
      <c r="Z218" s="22">
        <f>IF(V218="","",F218-V218)</f>
        <v/>
      </c>
      <c r="AA218" s="6" t="n">
        <v>1247311.04054198</v>
      </c>
      <c r="AB218" s="6" t="n">
        <v>1070789.85058075</v>
      </c>
      <c r="AC218" s="6" t="n">
        <v>262395.1562748502</v>
      </c>
      <c r="AD218" s="6" t="n">
        <v>183275.2043048156</v>
      </c>
      <c r="AE218" s="6" t="n">
        <v>149336.1598813113</v>
      </c>
      <c r="AF218" s="6" t="n">
        <v>1221573.342029155</v>
      </c>
      <c r="AG218" s="6" t="n">
        <v>168212.1605048059</v>
      </c>
      <c r="AH218" s="6" t="n">
        <v>164319.5181192135</v>
      </c>
      <c r="AI218" s="6" t="n">
        <v>74999.35938372609</v>
      </c>
      <c r="AJ218" s="6" t="n">
        <v>81750.22710837607</v>
      </c>
      <c r="AK218" s="6" t="n">
        <v>80138.17979958595</v>
      </c>
      <c r="AL218" s="6" t="n">
        <v>163334.6942272296</v>
      </c>
      <c r="AM218" s="6" t="n">
        <v>121918.6222775114</v>
      </c>
      <c r="AN218" s="6" t="n">
        <v>119678.6831458528</v>
      </c>
      <c r="AO218" s="6" t="n">
        <v>50676.86720261782</v>
      </c>
      <c r="AP218" s="6" t="n">
        <v>56653.45702466888</v>
      </c>
      <c r="AQ218" s="6" t="n">
        <v>55513.18119839544</v>
      </c>
      <c r="AR218" s="6" t="n">
        <v>118050.7257089661</v>
      </c>
    </row>
    <row r="219">
      <c r="A219" t="inlineStr">
        <is>
          <t>Credito</t>
        </is>
      </c>
      <c r="B219" s="8" t="n">
        <v>202204</v>
      </c>
      <c r="C219" s="8" t="n">
        <v>2022</v>
      </c>
      <c r="D219" s="9" t="n">
        <v>0</v>
      </c>
      <c r="E219" s="10" t="n">
        <v>0.3739756482660824</v>
      </c>
      <c r="F219" s="22">
        <f>D219*(1-E219)</f>
        <v/>
      </c>
      <c r="G219" s="10" t="n">
        <v>0.6876</v>
      </c>
      <c r="H219" s="10" t="n">
        <v>0.2705061078381122</v>
      </c>
      <c r="I219" s="10" t="n">
        <v>0.02911627795214334</v>
      </c>
      <c r="J219" s="10" t="n">
        <v>0.2281176904560779</v>
      </c>
      <c r="K219" s="9" t="n">
        <v>760479.842027397</v>
      </c>
      <c r="L219" s="18" t="n">
        <v>1105991.625985161</v>
      </c>
      <c r="M219" s="18" t="n">
        <v>1244445.997706264</v>
      </c>
      <c r="N219" s="23">
        <f>IF(L219=0,"",M219/L219)</f>
        <v/>
      </c>
      <c r="O219" s="9" t="n">
        <v>988336.6266410424</v>
      </c>
      <c r="P219" s="22">
        <f>M219*G219*(1+H219+I219)</f>
        <v/>
      </c>
      <c r="Q219" s="9" t="n">
        <v>814857.7214393497</v>
      </c>
      <c r="R219" s="22">
        <f>P219-M219*G219*J219</f>
        <v/>
      </c>
      <c r="S219" s="22">
        <f>IF(A219=A218,O219-O218,"")</f>
        <v/>
      </c>
      <c r="T219" s="22">
        <f>IF(A219=A218,P219-P218,"")</f>
        <v/>
      </c>
      <c r="U219" s="22">
        <f>IF(A219=A218,Q219-Q218,"")</f>
        <v/>
      </c>
      <c r="V219" s="22">
        <f>IF(A219=A218,R219-R218,"")</f>
        <v/>
      </c>
      <c r="W219" s="22">
        <f>IF(S219="","",D219-S219)</f>
        <v/>
      </c>
      <c r="X219" s="22">
        <f>IF(T219="","",D219-T219)</f>
        <v/>
      </c>
      <c r="Y219" s="22">
        <f>IF(U219="","",F219-U219)</f>
        <v/>
      </c>
      <c r="Z219" s="22">
        <f>IF(V219="","",F219-V219)</f>
        <v/>
      </c>
      <c r="AA219" s="9" t="n">
        <v>1061715.273154864</v>
      </c>
      <c r="AB219" s="9" t="n">
        <v>885021.5830165227</v>
      </c>
      <c r="AC219" s="9" t="n">
        <v>229001.9786203454</v>
      </c>
      <c r="AD219" s="9" t="n">
        <v>142376.3043517733</v>
      </c>
      <c r="AE219" s="9" t="n">
        <v>109056.7157775777</v>
      </c>
      <c r="AF219" s="9" t="n">
        <v>1039880.8583392</v>
      </c>
      <c r="AG219" s="9" t="n">
        <v>189729.834323613</v>
      </c>
      <c r="AH219" s="9" t="n">
        <v>186504.7816778761</v>
      </c>
      <c r="AI219" s="9" t="n">
        <v>34863.93865229824</v>
      </c>
      <c r="AJ219" s="9" t="n">
        <v>40056.58599066551</v>
      </c>
      <c r="AK219" s="9" t="n">
        <v>38853.32151597949</v>
      </c>
      <c r="AL219" s="9" t="n">
        <v>185749.0754712716</v>
      </c>
      <c r="AM219" s="9" t="n">
        <v>160004.6566214297</v>
      </c>
      <c r="AN219" s="9" t="n">
        <v>156839.4111551953</v>
      </c>
      <c r="AO219" s="9" t="n">
        <v>29496.97210870826</v>
      </c>
      <c r="AP219" s="9" t="n">
        <v>33551.25316346789</v>
      </c>
      <c r="AQ219" s="9" t="n">
        <v>32461.85374114795</v>
      </c>
      <c r="AR219" s="9" t="n">
        <v>156648.8076403763</v>
      </c>
    </row>
    <row r="220">
      <c r="A220" s="4" t="inlineStr">
        <is>
          <t>Credito</t>
        </is>
      </c>
      <c r="B220" s="5" t="n">
        <v>202205</v>
      </c>
      <c r="C220" s="5" t="n">
        <v>2022</v>
      </c>
      <c r="D220" s="6" t="n">
        <v>511465.7309771152</v>
      </c>
      <c r="E220" s="11" t="n">
        <v>0.3739756482660824</v>
      </c>
      <c r="F220" s="22">
        <f>D220*(1-E220)</f>
        <v/>
      </c>
      <c r="G220" s="11" t="n">
        <v>0.6876</v>
      </c>
      <c r="H220" s="11" t="n">
        <v>0.2705061083225604</v>
      </c>
      <c r="I220" s="11" t="n">
        <v>0.02908872973391086</v>
      </c>
      <c r="J220" s="11" t="n">
        <v>0.2516070688868152</v>
      </c>
      <c r="K220" s="6" t="n">
        <v>966863.2704274722</v>
      </c>
      <c r="L220" s="18" t="n">
        <v>1406142.045415172</v>
      </c>
      <c r="M220" s="18" t="n">
        <v>1571255.875882198</v>
      </c>
      <c r="N220" s="23">
        <f>IF(L220=0,"",M220/L220)</f>
        <v/>
      </c>
      <c r="O220" s="6" t="n">
        <v>1256530.515353941</v>
      </c>
      <c r="P220" s="22">
        <f>M220*G220*(1+H220+I220)</f>
        <v/>
      </c>
      <c r="Q220" s="6" t="n">
        <v>1013260.881867364</v>
      </c>
      <c r="R220" s="22">
        <f>P220-M220*G220*J220</f>
        <v/>
      </c>
      <c r="S220" s="22">
        <f>IF(A220=A219,O220-O219,"")</f>
        <v/>
      </c>
      <c r="T220" s="22">
        <f>IF(A220=A219,P220-P219,"")</f>
        <v/>
      </c>
      <c r="U220" s="22">
        <f>IF(A220=A219,Q220-Q219,"")</f>
        <v/>
      </c>
      <c r="V220" s="22">
        <f>IF(A220=A219,R220-R219,"")</f>
        <v/>
      </c>
      <c r="W220" s="22">
        <f>IF(S220="","",D220-S220)</f>
        <v/>
      </c>
      <c r="X220" s="22">
        <f>IF(T220="","",D220-T220)</f>
        <v/>
      </c>
      <c r="Y220" s="22">
        <f>IF(U220="","",F220-U220)</f>
        <v/>
      </c>
      <c r="Z220" s="22">
        <f>IF(V220="","",F220-V220)</f>
        <v/>
      </c>
      <c r="AA220" s="6" t="n">
        <v>1367506.011911792</v>
      </c>
      <c r="AB220" s="6" t="n">
        <v>1164034.682606303</v>
      </c>
      <c r="AC220" s="6" t="n">
        <v>193196.7144213156</v>
      </c>
      <c r="AD220" s="6" t="n">
        <v>122018.3245756271</v>
      </c>
      <c r="AE220" s="6" t="n">
        <v>81451.27967519221</v>
      </c>
      <c r="AF220" s="6" t="n">
        <v>1334771.842311686</v>
      </c>
      <c r="AG220" s="6" t="n">
        <v>238230.8062823968</v>
      </c>
      <c r="AH220" s="6" t="n">
        <v>262155.9955155905</v>
      </c>
      <c r="AI220" s="6" t="n">
        <v>543465.7032886387</v>
      </c>
      <c r="AJ220" s="6" t="n">
        <v>529660.3472895938</v>
      </c>
      <c r="AK220" s="6" t="n">
        <v>536136.0533526207</v>
      </c>
      <c r="AL220" s="6" t="n">
        <v>247970.4289498944</v>
      </c>
      <c r="AM220" s="6" t="n">
        <v>117006.4893130577</v>
      </c>
      <c r="AN220" s="6" t="n">
        <v>133445.180333056</v>
      </c>
      <c r="AO220" s="6" t="n">
        <v>349694.163392181</v>
      </c>
      <c r="AP220" s="6" t="n">
        <v>337162.1481933505</v>
      </c>
      <c r="AQ220" s="6" t="n">
        <v>341845.8533676503</v>
      </c>
      <c r="AR220" s="6" t="n">
        <v>124507.7455699311</v>
      </c>
    </row>
    <row r="221">
      <c r="A221" t="inlineStr">
        <is>
          <t>Credito</t>
        </is>
      </c>
      <c r="B221" s="8" t="n">
        <v>202206</v>
      </c>
      <c r="C221" s="8" t="n">
        <v>2022</v>
      </c>
      <c r="D221" s="9" t="n">
        <v>389386.3850282836</v>
      </c>
      <c r="E221" s="10" t="n">
        <v>0.3739756482660824</v>
      </c>
      <c r="F221" s="22">
        <f>D221*(1-E221)</f>
        <v/>
      </c>
      <c r="G221" s="10" t="n">
        <v>0.6876</v>
      </c>
      <c r="H221" s="10" t="n">
        <v>0.2705061084378879</v>
      </c>
      <c r="I221" s="10" t="n">
        <v>0.02410271488185776</v>
      </c>
      <c r="J221" s="10" t="n">
        <v>0.1905816126868563</v>
      </c>
      <c r="K221" s="9" t="n">
        <v>1045482.907133243</v>
      </c>
      <c r="L221" s="18" t="n">
        <v>1520481.249466613</v>
      </c>
      <c r="M221" s="18" t="n">
        <v>1736799.772055676</v>
      </c>
      <c r="N221" s="23">
        <f>IF(L221=0,"",M221/L221)</f>
        <v/>
      </c>
      <c r="O221" s="9" t="n">
        <v>1353491.396204675</v>
      </c>
      <c r="P221" s="22">
        <f>M221*G221*(1+H221+I221)</f>
        <v/>
      </c>
      <c r="Q221" s="9" t="n">
        <v>1154241.577726679</v>
      </c>
      <c r="R221" s="22">
        <f>P221-M221*G221*J221</f>
        <v/>
      </c>
      <c r="S221" s="22">
        <f>IF(A221=A220,O221-O220,"")</f>
        <v/>
      </c>
      <c r="T221" s="22">
        <f>IF(A221=A220,P221-P220,"")</f>
        <v/>
      </c>
      <c r="U221" s="22">
        <f>IF(A221=A220,Q221-Q220,"")</f>
        <v/>
      </c>
      <c r="V221" s="22">
        <f>IF(A221=A220,R221-R220,"")</f>
        <v/>
      </c>
      <c r="W221" s="22">
        <f>IF(S221="","",D221-S221)</f>
        <v/>
      </c>
      <c r="X221" s="22">
        <f>IF(T221="","",D221-T221)</f>
        <v/>
      </c>
      <c r="Y221" s="22">
        <f>IF(U221="","",F221-U221)</f>
        <v/>
      </c>
      <c r="Z221" s="22">
        <f>IF(V221="","",F221-V221)</f>
        <v/>
      </c>
      <c r="AA221" s="9" t="n">
        <v>1528410.948426022</v>
      </c>
      <c r="AB221" s="9" t="n">
        <v>1312869.623378389</v>
      </c>
      <c r="AC221" s="9" t="n">
        <v>160745.7724318258</v>
      </c>
      <c r="AD221" s="9" t="n">
        <v>93708.48684259882</v>
      </c>
      <c r="AE221" s="9" t="n">
        <v>42590.736781104</v>
      </c>
      <c r="AF221" s="9" t="n">
        <v>1499799.649369825</v>
      </c>
      <c r="AG221" s="9" t="n">
        <v>250841.4860118812</v>
      </c>
      <c r="AH221" s="9" t="n">
        <v>260888.2928609953</v>
      </c>
      <c r="AI221" s="9" t="n">
        <v>418935.6907582854</v>
      </c>
      <c r="AJ221" s="9" t="n">
        <v>415005.3646136558</v>
      </c>
      <c r="AK221" s="9" t="n">
        <v>424258.2383661292</v>
      </c>
      <c r="AL221" s="9" t="n">
        <v>247059.1925656633</v>
      </c>
      <c r="AM221" s="9" t="n">
        <v>68924.01181857334</v>
      </c>
      <c r="AN221" s="9" t="n">
        <v>85927.000694394</v>
      </c>
      <c r="AO221" s="9" t="n">
        <v>260955.4190814198</v>
      </c>
      <c r="AP221" s="9" t="n">
        <v>260554.4832550902</v>
      </c>
      <c r="AQ221" s="9" t="n">
        <v>270126.9892545593</v>
      </c>
      <c r="AR221" s="9" t="n">
        <v>67055.55736180267</v>
      </c>
    </row>
    <row r="222">
      <c r="A222" s="4" t="inlineStr">
        <is>
          <t>Credito</t>
        </is>
      </c>
      <c r="B222" s="5" t="n">
        <v>202207</v>
      </c>
      <c r="C222" s="5" t="n">
        <v>2022</v>
      </c>
      <c r="D222" s="6" t="n">
        <v>600413.597097129</v>
      </c>
      <c r="E222" s="11" t="n">
        <v>0.3739756482660824</v>
      </c>
      <c r="F222" s="22">
        <f>D222*(1-E222)</f>
        <v/>
      </c>
      <c r="G222" s="11" t="n">
        <v>0.6876</v>
      </c>
      <c r="H222" s="11" t="n">
        <v>0.2705061080443182</v>
      </c>
      <c r="I222" s="11" t="n">
        <v>0.03824459386332354</v>
      </c>
      <c r="J222" s="11" t="n">
        <v>0.2246220253353949</v>
      </c>
      <c r="K222" s="6" t="n">
        <v>1289994.76933201</v>
      </c>
      <c r="L222" s="18" t="n">
        <v>1876083.143298444</v>
      </c>
      <c r="M222" s="18" t="n">
        <v>2129796.293471301</v>
      </c>
      <c r="N222" s="23">
        <f>IF(L222=0,"",M222/L222)</f>
        <v/>
      </c>
      <c r="O222" s="6" t="n">
        <v>1688281.559820455</v>
      </c>
      <c r="P222" s="22">
        <f>M222*G222*(1+H222+I222)</f>
        <v/>
      </c>
      <c r="Q222" s="6" t="n">
        <v>1398520.322061034</v>
      </c>
      <c r="R222" s="22">
        <f>P222-M222*G222*J222</f>
        <v/>
      </c>
      <c r="S222" s="22">
        <f>IF(A222=A221,O222-O221,"")</f>
        <v/>
      </c>
      <c r="T222" s="22">
        <f>IF(A222=A221,P222-P221,"")</f>
        <v/>
      </c>
      <c r="U222" s="22">
        <f>IF(A222=A221,Q222-Q221,"")</f>
        <v/>
      </c>
      <c r="V222" s="22">
        <f>IF(A222=A221,R222-R221,"")</f>
        <v/>
      </c>
      <c r="W222" s="22">
        <f>IF(S222="","",D222-S222)</f>
        <v/>
      </c>
      <c r="X222" s="22">
        <f>IF(T222="","",D222-T222)</f>
        <v/>
      </c>
      <c r="Y222" s="22">
        <f>IF(U222="","",F222-U222)</f>
        <v/>
      </c>
      <c r="Z222" s="22">
        <f>IF(V222="","",F222-V222)</f>
        <v/>
      </c>
      <c r="AA222" s="6" t="n">
        <v>1885720.278106121</v>
      </c>
      <c r="AB222" s="6" t="n">
        <v>1635377.703538579</v>
      </c>
      <c r="AC222" s="6" t="n">
        <v>143989.4290206208</v>
      </c>
      <c r="AD222" s="6" t="n">
        <v>108055.9937903867</v>
      </c>
      <c r="AE222" s="6" t="n">
        <v>48539.44188082483</v>
      </c>
      <c r="AF222" s="6" t="n">
        <v>1837315.597138857</v>
      </c>
      <c r="AG222" s="6" t="n">
        <v>264009.8090719251</v>
      </c>
      <c r="AH222" s="6" t="n">
        <v>297423.2628066587</v>
      </c>
      <c r="AI222" s="6" t="n">
        <v>613929.4951999849</v>
      </c>
      <c r="AJ222" s="6" t="n">
        <v>586591.1017101594</v>
      </c>
      <c r="AK222" s="6" t="n">
        <v>594646.224888909</v>
      </c>
      <c r="AL222" s="6" t="n">
        <v>282100.0287348005</v>
      </c>
      <c r="AM222" s="6" t="n">
        <v>130430.4818191219</v>
      </c>
      <c r="AN222" s="6" t="n">
        <v>153423.8782054019</v>
      </c>
      <c r="AO222" s="6" t="n">
        <v>390563.8577323861</v>
      </c>
      <c r="AP222" s="6" t="n">
        <v>366460.3698927218</v>
      </c>
      <c r="AQ222" s="6" t="n">
        <v>372021.8255927102</v>
      </c>
      <c r="AR222" s="6" t="n">
        <v>144793.9301379247</v>
      </c>
    </row>
    <row r="223">
      <c r="A223" t="inlineStr">
        <is>
          <t>Credito</t>
        </is>
      </c>
      <c r="B223" s="8" t="n">
        <v>202208</v>
      </c>
      <c r="C223" s="8" t="n">
        <v>2022</v>
      </c>
      <c r="D223" s="9" t="n">
        <v>473500.9280834227</v>
      </c>
      <c r="E223" s="10" t="n">
        <v>0.3739756482660824</v>
      </c>
      <c r="F223" s="22">
        <f>D223*(1-E223)</f>
        <v/>
      </c>
      <c r="G223" s="10" t="n">
        <v>0.6876</v>
      </c>
      <c r="H223" s="10" t="n">
        <v>0.2705061081514702</v>
      </c>
      <c r="I223" s="10" t="n">
        <v>0.0341207973642355</v>
      </c>
      <c r="J223" s="10" t="n">
        <v>0.2225654892509758</v>
      </c>
      <c r="K223" s="9" t="n">
        <v>1427763.654235673</v>
      </c>
      <c r="L223" s="18" t="n">
        <v>2076445.105054789</v>
      </c>
      <c r="M223" s="18" t="n">
        <v>2345191.016600151</v>
      </c>
      <c r="N223" s="23">
        <f>IF(L223=0,"",M223/L223)</f>
        <v/>
      </c>
      <c r="O223" s="9" t="n">
        <v>1862698.878033281</v>
      </c>
      <c r="P223" s="22">
        <f>M223*G223*(1+H223+I223)</f>
        <v/>
      </c>
      <c r="Q223" s="9" t="n">
        <v>1544927.961793558</v>
      </c>
      <c r="R223" s="22">
        <f>P223-M223*G223*J223</f>
        <v/>
      </c>
      <c r="S223" s="22">
        <f>IF(A223=A222,O223-O222,"")</f>
        <v/>
      </c>
      <c r="T223" s="22">
        <f>IF(A223=A222,P223-P222,"")</f>
        <v/>
      </c>
      <c r="U223" s="22">
        <f>IF(A223=A222,Q223-Q222,"")</f>
        <v/>
      </c>
      <c r="V223" s="22">
        <f>IF(A223=A222,R223-R222,"")</f>
        <v/>
      </c>
      <c r="W223" s="22">
        <f>IF(S223="","",D223-S223)</f>
        <v/>
      </c>
      <c r="X223" s="22">
        <f>IF(T223="","",D223-T223)</f>
        <v/>
      </c>
      <c r="Y223" s="22">
        <f>IF(U223="","",F223-U223)</f>
        <v/>
      </c>
      <c r="Z223" s="22">
        <f>IF(V223="","",F223-V223)</f>
        <v/>
      </c>
      <c r="AA223" s="9" t="n">
        <v>2079345.505439209</v>
      </c>
      <c r="AB223" s="9" t="n">
        <v>1802437.677397158</v>
      </c>
      <c r="AC223" s="9" t="n">
        <v>108327.9003145507</v>
      </c>
      <c r="AD223" s="9" t="n">
        <v>108267.5914915546</v>
      </c>
      <c r="AE223" s="9" t="n">
        <v>46710.94402634915</v>
      </c>
      <c r="AF223" s="9" t="n">
        <v>2026719.362550506</v>
      </c>
      <c r="AG223" s="9" t="n">
        <v>305154.2010011323</v>
      </c>
      <c r="AH223" s="9" t="n">
        <v>328275.0140967901</v>
      </c>
      <c r="AI223" s="9" t="n">
        <v>505899.7963498376</v>
      </c>
      <c r="AJ223" s="9" t="n">
        <v>473617.5071313803</v>
      </c>
      <c r="AK223" s="9" t="n">
        <v>475278.8377134835</v>
      </c>
      <c r="AL223" s="9" t="n">
        <v>308803.8592395907</v>
      </c>
      <c r="AM223" s="9" t="n">
        <v>155041.4722289843</v>
      </c>
      <c r="AN223" s="9" t="n">
        <v>174450.8473648682</v>
      </c>
      <c r="AO223" s="9" t="n">
        <v>323160.8692854276</v>
      </c>
      <c r="AP223" s="9" t="n">
        <v>296419.2734747882</v>
      </c>
      <c r="AQ223" s="9" t="n">
        <v>297852.5567526221</v>
      </c>
      <c r="AR223" s="9" t="n">
        <v>158113.5425035417</v>
      </c>
    </row>
    <row r="224">
      <c r="A224" s="4" t="inlineStr">
        <is>
          <t>Credito</t>
        </is>
      </c>
      <c r="B224" s="5" t="n">
        <v>202209</v>
      </c>
      <c r="C224" s="5" t="n">
        <v>2022</v>
      </c>
      <c r="D224" s="6" t="n">
        <v>4065.132171052959</v>
      </c>
      <c r="E224" s="11" t="n">
        <v>0.3739756482660824</v>
      </c>
      <c r="F224" s="22">
        <f>D224*(1-E224)</f>
        <v/>
      </c>
      <c r="G224" s="11" t="n">
        <v>0.6876</v>
      </c>
      <c r="H224" s="11" t="n">
        <v>0.2705061082670779</v>
      </c>
      <c r="I224" s="11" t="n">
        <v>0.0308031800285586</v>
      </c>
      <c r="J224" s="11" t="n">
        <v>0.2242751680190565</v>
      </c>
      <c r="K224" s="6" t="n">
        <v>1207373.024926592</v>
      </c>
      <c r="L224" s="18" t="n">
        <v>1755923.538287655</v>
      </c>
      <c r="M224" s="18" t="n">
        <v>2080970.616057345</v>
      </c>
      <c r="N224" s="23">
        <f>IF(L224=0,"",M224/L224)</f>
        <v/>
      </c>
      <c r="O224" s="6" t="n">
        <v>1571165.731774573</v>
      </c>
      <c r="P224" s="22">
        <f>M224*G224*(1+H224+I224)</f>
        <v/>
      </c>
      <c r="Q224" s="6" t="n">
        <v>1300381.943747485</v>
      </c>
      <c r="R224" s="22">
        <f>P224-M224*G224*J224</f>
        <v/>
      </c>
      <c r="S224" s="22">
        <f>IF(A224=A223,O224-O223,"")</f>
        <v/>
      </c>
      <c r="T224" s="22">
        <f>IF(A224=A223,P224-P223,"")</f>
        <v/>
      </c>
      <c r="U224" s="22">
        <f>IF(A224=A223,Q224-Q223,"")</f>
        <v/>
      </c>
      <c r="V224" s="22">
        <f>IF(A224=A223,R224-R223,"")</f>
        <v/>
      </c>
      <c r="W224" s="22">
        <f>IF(S224="","",D224-S224)</f>
        <v/>
      </c>
      <c r="X224" s="22">
        <f>IF(T224="","",D224-T224)</f>
        <v/>
      </c>
      <c r="Y224" s="22">
        <f>IF(U224="","",F224-U224)</f>
        <v/>
      </c>
      <c r="Z224" s="22">
        <f>IF(V224="","",F224-V224)</f>
        <v/>
      </c>
      <c r="AA224" s="6" t="n">
        <v>1794737.913174689</v>
      </c>
      <c r="AB224" s="6" t="n">
        <v>1517789.150345364</v>
      </c>
      <c r="AC224" s="6" t="n">
        <v>69078.79551662414</v>
      </c>
      <c r="AD224" s="6" t="n">
        <v>79387.28359156124</v>
      </c>
      <c r="AE224" s="6" t="n">
        <v>23070.48927292831</v>
      </c>
      <c r="AF224" s="6" t="n">
        <v>1748000.939871471</v>
      </c>
      <c r="AG224" s="6" t="n">
        <v>263469.7791232909</v>
      </c>
      <c r="AH224" s="6" t="n">
        <v>262874.7263978999</v>
      </c>
      <c r="AI224" s="6" t="n">
        <v>39431.57354016742</v>
      </c>
      <c r="AJ224" s="6" t="n">
        <v>30153.64111107982</v>
      </c>
      <c r="AK224" s="6" t="n">
        <v>25324.7012852096</v>
      </c>
      <c r="AL224" s="6" t="n">
        <v>258080.2159709712</v>
      </c>
      <c r="AM224" s="6" t="n">
        <v>220504.151779239</v>
      </c>
      <c r="AN224" s="6" t="n">
        <v>219577.2604811428</v>
      </c>
      <c r="AO224" s="6" t="n">
        <v>31985.99321922352</v>
      </c>
      <c r="AP224" s="6" t="n">
        <v>24306.97870962778</v>
      </c>
      <c r="AQ224" s="6" t="n">
        <v>20213.72058694335</v>
      </c>
      <c r="AR224" s="6" t="n">
        <v>215960.9009396443</v>
      </c>
    </row>
    <row r="225">
      <c r="A225" t="inlineStr">
        <is>
          <t>Credito</t>
        </is>
      </c>
      <c r="B225" s="8" t="n">
        <v>202210</v>
      </c>
      <c r="C225" s="8" t="n">
        <v>2022</v>
      </c>
      <c r="D225" s="9" t="n">
        <v>289248.8632100472</v>
      </c>
      <c r="E225" s="10" t="n">
        <v>0.3739756482660824</v>
      </c>
      <c r="F225" s="22">
        <f>D225*(1-E225)</f>
        <v/>
      </c>
      <c r="G225" s="10" t="n">
        <v>0.6876</v>
      </c>
      <c r="H225" s="10" t="n">
        <v>0.2705061083020533</v>
      </c>
      <c r="I225" s="10" t="n">
        <v>0.04534935654770096</v>
      </c>
      <c r="J225" s="10" t="n">
        <v>0.2061713263412146</v>
      </c>
      <c r="K225" s="9" t="n">
        <v>1202791.233348309</v>
      </c>
      <c r="L225" s="18" t="n">
        <v>1749260.08340359</v>
      </c>
      <c r="M225" s="18" t="n">
        <v>2086199.209864951</v>
      </c>
      <c r="N225" s="23">
        <f>IF(L225=0,"",M225/L225)</f>
        <v/>
      </c>
      <c r="O225" s="9" t="n">
        <v>1582699.417474748</v>
      </c>
      <c r="P225" s="22">
        <f>M225*G225*(1+H225+I225)</f>
        <v/>
      </c>
      <c r="Q225" s="9" t="n">
        <v>1334718.353583742</v>
      </c>
      <c r="R225" s="22">
        <f>P225-M225*G225*J225</f>
        <v/>
      </c>
      <c r="S225" s="22">
        <f>IF(A225=A224,O225-O224,"")</f>
        <v/>
      </c>
      <c r="T225" s="22">
        <f>IF(A225=A224,P225-P224,"")</f>
        <v/>
      </c>
      <c r="U225" s="22">
        <f>IF(A225=A224,Q225-Q224,"")</f>
        <v/>
      </c>
      <c r="V225" s="22">
        <f>IF(A225=A224,R225-R224,"")</f>
        <v/>
      </c>
      <c r="W225" s="22">
        <f>IF(S225="","",D225-S225)</f>
        <v/>
      </c>
      <c r="X225" s="22">
        <f>IF(T225="","",D225-T225)</f>
        <v/>
      </c>
      <c r="Y225" s="22">
        <f>IF(U225="","",F225-U225)</f>
        <v/>
      </c>
      <c r="Z225" s="22">
        <f>IF(V225="","",F225-V225)</f>
        <v/>
      </c>
      <c r="AA225" s="9" t="n">
        <v>1788034.495583253</v>
      </c>
      <c r="AB225" s="9" t="n">
        <v>1521081.459386227</v>
      </c>
      <c r="AC225" s="9" t="n">
        <v>35262.32196908702</v>
      </c>
      <c r="AD225" s="9" t="n">
        <v>73297.96337503313</v>
      </c>
      <c r="AE225" s="9" t="n">
        <v>18258.43924384664</v>
      </c>
      <c r="AF225" s="9" t="n">
        <v>1736903.644599559</v>
      </c>
      <c r="AG225" s="9" t="n">
        <v>277363.1155812085</v>
      </c>
      <c r="AH225" s="9" t="n">
        <v>271089.1878269512</v>
      </c>
      <c r="AI225" s="9" t="n">
        <v>319154.4844110371</v>
      </c>
      <c r="AJ225" s="9" t="n">
        <v>293964.3441390253</v>
      </c>
      <c r="AK225" s="9" t="n">
        <v>293371.9706034878</v>
      </c>
      <c r="AL225" s="9" t="n">
        <v>281806.0788897494</v>
      </c>
      <c r="AM225" s="9" t="n">
        <v>145899.5259053393</v>
      </c>
      <c r="AN225" s="9" t="n">
        <v>144490.1403991638</v>
      </c>
      <c r="AO225" s="9" t="n">
        <v>205328.6081121492</v>
      </c>
      <c r="AP225" s="9" t="n">
        <v>183940.8413422498</v>
      </c>
      <c r="AQ225" s="9" t="n">
        <v>184230.5807819371</v>
      </c>
      <c r="AR225" s="9" t="n">
        <v>150301.3894201102</v>
      </c>
    </row>
    <row r="226">
      <c r="A226" s="4" t="inlineStr">
        <is>
          <t>Credito</t>
        </is>
      </c>
      <c r="B226" s="5" t="n">
        <v>202211</v>
      </c>
      <c r="C226" s="5" t="n">
        <v>2022</v>
      </c>
      <c r="D226" s="6" t="n">
        <v>646817.6185771775</v>
      </c>
      <c r="E226" s="11" t="n">
        <v>0.3739756482660824</v>
      </c>
      <c r="F226" s="22">
        <f>D226*(1-E226)</f>
        <v/>
      </c>
      <c r="G226" s="11" t="n">
        <v>0.6876</v>
      </c>
      <c r="H226" s="11" t="n">
        <v>0.2705061083612675</v>
      </c>
      <c r="I226" s="11" t="n">
        <v>0.04229066439656348</v>
      </c>
      <c r="J226" s="11" t="n">
        <v>0.3178089779743185</v>
      </c>
      <c r="K226" s="6" t="n">
        <v>1451206.895033691</v>
      </c>
      <c r="L226" s="18" t="n">
        <v>2110539.405226426</v>
      </c>
      <c r="M226" s="18" t="n">
        <v>2391891.424419337</v>
      </c>
      <c r="N226" s="23">
        <f>IF(L226=0,"",M226/L226)</f>
        <v/>
      </c>
      <c r="O226" s="6" t="n">
        <v>1905139.728404141</v>
      </c>
      <c r="P226" s="22">
        <f>M226*G226*(1+H226+I226)</f>
        <v/>
      </c>
      <c r="Q226" s="6" t="n">
        <v>1443933.1482642</v>
      </c>
      <c r="R226" s="22">
        <f>P226-M226*G226*J226</f>
        <v/>
      </c>
      <c r="S226" s="22">
        <f>IF(A226=A225,O226-O225,"")</f>
        <v/>
      </c>
      <c r="T226" s="22">
        <f>IF(A226=A225,P226-P225,"")</f>
        <v/>
      </c>
      <c r="U226" s="22">
        <f>IF(A226=A225,Q226-Q225,"")</f>
        <v/>
      </c>
      <c r="V226" s="22">
        <f>IF(A226=A225,R226-R225,"")</f>
        <v/>
      </c>
      <c r="W226" s="22">
        <f>IF(S226="","",D226-S226)</f>
        <v/>
      </c>
      <c r="X226" s="22">
        <f>IF(T226="","",D226-T226)</f>
        <v/>
      </c>
      <c r="Y226" s="22">
        <f>IF(U226="","",F226-U226)</f>
        <v/>
      </c>
      <c r="Z226" s="22">
        <f>IF(V226="","",F226-V226)</f>
        <v/>
      </c>
      <c r="AA226" s="6" t="n">
        <v>2130198.670147212</v>
      </c>
      <c r="AB226" s="6" t="n">
        <v>1854626.459729942</v>
      </c>
      <c r="AC226" s="6" t="n">
        <v>58535.2790147991</v>
      </c>
      <c r="AD226" s="6" t="n">
        <v>115776.4841999488</v>
      </c>
      <c r="AE226" s="6" t="n">
        <v>52402.27731504472</v>
      </c>
      <c r="AF226" s="6" t="n">
        <v>2090622.791574979</v>
      </c>
      <c r="AG226" s="6" t="n">
        <v>341713.6994893966</v>
      </c>
      <c r="AH226" s="6" t="n">
        <v>348932.6035187111</v>
      </c>
      <c r="AI226" s="6" t="n">
        <v>625883.7697537509</v>
      </c>
      <c r="AJ226" s="6" t="n">
        <v>608627.3043899494</v>
      </c>
      <c r="AK226" s="6" t="n">
        <v>616035.0912484041</v>
      </c>
      <c r="AL226" s="6" t="n">
        <v>331175.7316528127</v>
      </c>
      <c r="AM226" s="6" t="n">
        <v>311844.4346400996</v>
      </c>
      <c r="AN226" s="6" t="n">
        <v>296687.9676008072</v>
      </c>
      <c r="AO226" s="6" t="n">
        <v>391782.273119545</v>
      </c>
      <c r="AP226" s="6" t="n">
        <v>381642.4060649647</v>
      </c>
      <c r="AQ226" s="6" t="n">
        <v>383003.9059341595</v>
      </c>
      <c r="AR226" s="6" t="n">
        <v>299906.6134850153</v>
      </c>
    </row>
    <row r="227">
      <c r="A227" t="inlineStr">
        <is>
          <t>Credito</t>
        </is>
      </c>
      <c r="B227" s="8" t="n">
        <v>202212</v>
      </c>
      <c r="C227" s="8" t="n">
        <v>2022</v>
      </c>
      <c r="D227" s="9" t="n">
        <v>55047.93748904346</v>
      </c>
      <c r="E227" s="10" t="n">
        <v>0.3739756482660824</v>
      </c>
      <c r="F227" s="22">
        <f>D227*(1-E227)</f>
        <v/>
      </c>
      <c r="G227" s="10" t="n">
        <v>0.6876</v>
      </c>
      <c r="H227" s="10" t="n">
        <v>0.2705061083030375</v>
      </c>
      <c r="I227" s="10" t="n">
        <v>0.04181651724278222</v>
      </c>
      <c r="J227" s="10" t="n">
        <v>0.3218955925656758</v>
      </c>
      <c r="K227" s="9" t="n">
        <v>1316139.045768854</v>
      </c>
      <c r="L227" s="18" t="n">
        <v>1914105.651205431</v>
      </c>
      <c r="M227" s="18" t="n">
        <v>2174923.017761818</v>
      </c>
      <c r="N227" s="23">
        <f>IF(L227=0,"",M227/L227)</f>
        <v/>
      </c>
      <c r="O227" s="9" t="n">
        <v>1727199.048126752</v>
      </c>
      <c r="P227" s="22">
        <f>M227*G227*(1+H227+I227)</f>
        <v/>
      </c>
      <c r="Q227" s="9" t="n">
        <v>1303539.690090164</v>
      </c>
      <c r="R227" s="22">
        <f>P227-M227*G227*J227</f>
        <v/>
      </c>
      <c r="S227" s="22">
        <f>IF(A227=A226,O227-O226,"")</f>
        <v/>
      </c>
      <c r="T227" s="22">
        <f>IF(A227=A226,P227-P226,"")</f>
        <v/>
      </c>
      <c r="U227" s="22">
        <f>IF(A227=A226,Q227-Q226,"")</f>
        <v/>
      </c>
      <c r="V227" s="22">
        <f>IF(A227=A226,R227-R226,"")</f>
        <v/>
      </c>
      <c r="W227" s="22">
        <f>IF(S227="","",D227-S227)</f>
        <v/>
      </c>
      <c r="X227" s="22">
        <f>IF(T227="","",D227-T227)</f>
        <v/>
      </c>
      <c r="Y227" s="22">
        <f>IF(U227="","",F227-U227)</f>
        <v/>
      </c>
      <c r="Z227" s="22">
        <f>IF(V227="","",F227-V227)</f>
        <v/>
      </c>
      <c r="AA227" s="9" t="n">
        <v>1892469.51377467</v>
      </c>
      <c r="AB227" s="9" t="n">
        <v>1618976.014721443</v>
      </c>
      <c r="AC227" s="9" t="n">
        <v>62268.53195105918</v>
      </c>
      <c r="AD227" s="9" t="n">
        <v>112705.0629270614</v>
      </c>
      <c r="AE227" s="9" t="n">
        <v>55630.06202904687</v>
      </c>
      <c r="AF227" s="9" t="n">
        <v>1859530.739464137</v>
      </c>
      <c r="AG227" s="9" t="n">
        <v>270258.0588906957</v>
      </c>
      <c r="AH227" s="9" t="n">
        <v>268292.4843271954</v>
      </c>
      <c r="AI227" s="9" t="n">
        <v>51698.30924664203</v>
      </c>
      <c r="AJ227" s="9" t="n">
        <v>57857.18967237358</v>
      </c>
      <c r="AK227" s="9" t="n">
        <v>52152.42052883402</v>
      </c>
      <c r="AL227" s="9" t="n">
        <v>264256.1450297912</v>
      </c>
      <c r="AM227" s="9" t="n">
        <v>203039.3555645753</v>
      </c>
      <c r="AN227" s="9" t="n">
        <v>200759.5275926749</v>
      </c>
      <c r="AO227" s="9" t="n">
        <v>32102.50377546453</v>
      </c>
      <c r="AP227" s="9" t="n">
        <v>36916.11412795888</v>
      </c>
      <c r="AQ227" s="9" t="n">
        <v>32427.50357561201</v>
      </c>
      <c r="AR227" s="9" t="n">
        <v>198395.261407896</v>
      </c>
    </row>
    <row r="228">
      <c r="A228" s="4" t="inlineStr">
        <is>
          <t>Credito</t>
        </is>
      </c>
      <c r="B228" s="5" t="n">
        <v>202301</v>
      </c>
      <c r="C228" s="5" t="n">
        <v>2023</v>
      </c>
      <c r="D228" s="6" t="n">
        <v>574612.2984595785</v>
      </c>
      <c r="E228" s="11" t="n">
        <v>0.3739756482660824</v>
      </c>
      <c r="F228" s="22">
        <f>D228*(1-E228)</f>
        <v/>
      </c>
      <c r="G228" s="11" t="n">
        <v>0.6876</v>
      </c>
      <c r="H228" s="11" t="n">
        <v>0.2705061082521688</v>
      </c>
      <c r="I228" s="11" t="n">
        <v>0.04509238175539685</v>
      </c>
      <c r="J228" s="11" t="n">
        <v>0.2658148051907174</v>
      </c>
      <c r="K228" s="6" t="n">
        <v>1509012.868517437</v>
      </c>
      <c r="L228" s="18" t="n">
        <v>2194608.592957297</v>
      </c>
      <c r="M228" s="18" t="n">
        <v>2466643.596867824</v>
      </c>
      <c r="N228" s="23">
        <f>IF(L228=0,"",M228/L228)</f>
        <v/>
      </c>
      <c r="O228" s="6" t="n">
        <v>1985255.051223525</v>
      </c>
      <c r="P228" s="22">
        <f>M228*G228*(1+H228+I228)</f>
        <v/>
      </c>
      <c r="Q228" s="6" t="n">
        <v>1584137.089548278</v>
      </c>
      <c r="R228" s="22">
        <f>P228-M228*G228*J228</f>
        <v/>
      </c>
      <c r="S228" s="22">
        <f>IF(A228=A227,O228-O227,"")</f>
        <v/>
      </c>
      <c r="T228" s="22">
        <f>IF(A228=A227,P228-P227,"")</f>
        <v/>
      </c>
      <c r="U228" s="22">
        <f>IF(A228=A227,Q228-Q227,"")</f>
        <v/>
      </c>
      <c r="V228" s="22">
        <f>IF(A228=A227,R228-R227,"")</f>
        <v/>
      </c>
      <c r="W228" s="22">
        <f>IF(S228="","",D228-S228)</f>
        <v/>
      </c>
      <c r="X228" s="22">
        <f>IF(T228="","",D228-T228)</f>
        <v/>
      </c>
      <c r="Y228" s="22">
        <f>IF(U228="","",F228-U228)</f>
        <v/>
      </c>
      <c r="Z228" s="22">
        <f>IF(V228="","",F228-V228)</f>
        <v/>
      </c>
      <c r="AA228" s="6" t="n">
        <v>2161743.269835215</v>
      </c>
      <c r="AB228" s="6" t="n">
        <v>1856177.526940454</v>
      </c>
      <c r="AC228" s="6" t="n">
        <v>54669.40016026804</v>
      </c>
      <c r="AD228" s="6" t="n">
        <v>110622.1091992788</v>
      </c>
      <c r="AE228" s="6" t="n">
        <v>49590.39142431642</v>
      </c>
      <c r="AF228" s="6" t="n">
        <v>2113280.845892495</v>
      </c>
      <c r="AG228" s="6" t="n">
        <v>326763.0138058208</v>
      </c>
      <c r="AH228" s="6" t="n">
        <v>356391.7825203021</v>
      </c>
      <c r="AI228" s="6" t="n">
        <v>581346.2561408029</v>
      </c>
      <c r="AJ228" s="6" t="n">
        <v>576242.6835067538</v>
      </c>
      <c r="AK228" s="6" t="n">
        <v>579950.5119909351</v>
      </c>
      <c r="AL228" s="6" t="n">
        <v>340879.9870559047</v>
      </c>
      <c r="AM228" s="6" t="n">
        <v>88112.51884859568</v>
      </c>
      <c r="AN228" s="6" t="n">
        <v>122425.5306034777</v>
      </c>
      <c r="AO228" s="6" t="n">
        <v>362665.177469218</v>
      </c>
      <c r="AP228" s="6" t="n">
        <v>356624.9295928007</v>
      </c>
      <c r="AQ228" s="6" t="n">
        <v>361810.4497141514</v>
      </c>
      <c r="AR228" s="6" t="n">
        <v>100662.3255211036</v>
      </c>
    </row>
    <row r="229">
      <c r="A229" t="inlineStr">
        <is>
          <t>Credito</t>
        </is>
      </c>
      <c r="B229" s="8" t="n">
        <v>202302</v>
      </c>
      <c r="C229" s="8" t="n">
        <v>2023</v>
      </c>
      <c r="D229" s="9" t="n">
        <v>348704.2338586545</v>
      </c>
      <c r="E229" s="10" t="n">
        <v>0.3739756482660824</v>
      </c>
      <c r="F229" s="22">
        <f>D229*(1-E229)</f>
        <v/>
      </c>
      <c r="G229" s="10" t="n">
        <v>0.6876</v>
      </c>
      <c r="H229" s="10" t="n">
        <v>0.2705061080909347</v>
      </c>
      <c r="I229" s="10" t="n">
        <v>0.04232062282139983</v>
      </c>
      <c r="J229" s="10" t="n">
        <v>0.2727991926525083</v>
      </c>
      <c r="K229" s="9" t="n">
        <v>1494596.004976726</v>
      </c>
      <c r="L229" s="18" t="n">
        <v>2173641.659361149</v>
      </c>
      <c r="M229" s="18" t="n">
        <v>2458331.35433235</v>
      </c>
      <c r="N229" s="23">
        <f>IF(L229=0,"",M229/L229)</f>
        <v/>
      </c>
      <c r="O229" s="9" t="n">
        <v>1962145.58724823</v>
      </c>
      <c r="P229" s="22">
        <f>M229*G229*(1+H229+I229)</f>
        <v/>
      </c>
      <c r="Q229" s="9" t="n">
        <v>1554421.003748915</v>
      </c>
      <c r="R229" s="22">
        <f>P229-M229*G229*J229</f>
        <v/>
      </c>
      <c r="S229" s="22">
        <f>IF(A229=A228,O229-O228,"")</f>
        <v/>
      </c>
      <c r="T229" s="22">
        <f>IF(A229=A228,P229-P228,"")</f>
        <v/>
      </c>
      <c r="U229" s="22">
        <f>IF(A229=A228,Q229-Q228,"")</f>
        <v/>
      </c>
      <c r="V229" s="22">
        <f>IF(A229=A228,R229-R228,"")</f>
        <v/>
      </c>
      <c r="W229" s="22">
        <f>IF(S229="","",D229-S229)</f>
        <v/>
      </c>
      <c r="X229" s="22">
        <f>IF(T229="","",D229-T229)</f>
        <v/>
      </c>
      <c r="Y229" s="22">
        <f>IF(U229="","",F229-U229)</f>
        <v/>
      </c>
      <c r="Z229" s="22">
        <f>IF(V229="","",F229-V229)</f>
        <v/>
      </c>
      <c r="AA229" s="9" t="n">
        <v>2146980.558213187</v>
      </c>
      <c r="AB229" s="9" t="n">
        <v>1835919.052341646</v>
      </c>
      <c r="AC229" s="9" t="n">
        <v>78978.19272814153</v>
      </c>
      <c r="AD229" s="9" t="n">
        <v>155678.3185550592</v>
      </c>
      <c r="AE229" s="9" t="n">
        <v>98228.12322574107</v>
      </c>
      <c r="AF229" s="9" t="n">
        <v>2135089.773475952</v>
      </c>
      <c r="AG229" s="9" t="n">
        <v>366150.5120104642</v>
      </c>
      <c r="AH229" s="9" t="n">
        <v>370529.1693804419</v>
      </c>
      <c r="AI229" s="9" t="n">
        <v>326864.8873763019</v>
      </c>
      <c r="AJ229" s="9" t="n">
        <v>308242.8394093355</v>
      </c>
      <c r="AK229" s="9" t="n">
        <v>304893.4823102675</v>
      </c>
      <c r="AL229" s="9" t="n">
        <v>333044.9430570185</v>
      </c>
      <c r="AM229" s="9" t="n">
        <v>243356.1750043221</v>
      </c>
      <c r="AN229" s="9" t="n">
        <v>245236.4864244051</v>
      </c>
      <c r="AO229" s="9" t="n">
        <v>201280.3070321886</v>
      </c>
      <c r="AP229" s="9" t="n">
        <v>186818.7024724386</v>
      </c>
      <c r="AQ229" s="9" t="n">
        <v>183848.0529463246</v>
      </c>
      <c r="AR229" s="9" t="n">
        <v>216877.8552700753</v>
      </c>
    </row>
    <row r="230">
      <c r="A230" s="4" t="inlineStr">
        <is>
          <t>Credito</t>
        </is>
      </c>
      <c r="B230" s="5" t="n">
        <v>202303</v>
      </c>
      <c r="C230" s="5" t="n">
        <v>2023</v>
      </c>
      <c r="D230" s="6" t="n">
        <v>554784.5894256969</v>
      </c>
      <c r="E230" s="11" t="n">
        <v>0.3739756482660824</v>
      </c>
      <c r="F230" s="22">
        <f>D230*(1-E230)</f>
        <v/>
      </c>
      <c r="G230" s="11" t="n">
        <v>0.6876</v>
      </c>
      <c r="H230" s="11" t="n">
        <v>0.2705061083512335</v>
      </c>
      <c r="I230" s="11" t="n">
        <v>0.04643976813895687</v>
      </c>
      <c r="J230" s="11" t="n">
        <v>0.2219302017810488</v>
      </c>
      <c r="K230" s="6" t="n">
        <v>1659792.673181614</v>
      </c>
      <c r="L230" s="18" t="n">
        <v>2413892.776587571</v>
      </c>
      <c r="M230" s="18" t="n">
        <v>2698549.547222215</v>
      </c>
      <c r="N230" s="23">
        <f>IF(L230=0,"",M230/L230)</f>
        <v/>
      </c>
      <c r="O230" s="6" t="n">
        <v>2185857.116775156</v>
      </c>
      <c r="P230" s="22">
        <f>M230*G230*(1+H230+I230)</f>
        <v/>
      </c>
      <c r="Q230" s="6" t="n">
        <v>1817498.993901254</v>
      </c>
      <c r="R230" s="22">
        <f>P230-M230*G230*J230</f>
        <v/>
      </c>
      <c r="S230" s="22">
        <f>IF(A230=A229,O230-O229,"")</f>
        <v/>
      </c>
      <c r="T230" s="22">
        <f>IF(A230=A229,P230-P229,"")</f>
        <v/>
      </c>
      <c r="U230" s="22">
        <f>IF(A230=A229,Q230-Q229,"")</f>
        <v/>
      </c>
      <c r="V230" s="22">
        <f>IF(A230=A229,R230-R229,"")</f>
        <v/>
      </c>
      <c r="W230" s="22">
        <f>IF(S230="","",D230-S230)</f>
        <v/>
      </c>
      <c r="X230" s="22">
        <f>IF(T230="","",D230-T230)</f>
        <v/>
      </c>
      <c r="Y230" s="22">
        <f>IF(U230="","",F230-U230)</f>
        <v/>
      </c>
      <c r="Z230" s="22">
        <f>IF(V230="","",F230-V230)</f>
        <v/>
      </c>
      <c r="AA230" s="6" t="n">
        <v>2356267.319397894</v>
      </c>
      <c r="AB230" s="6" t="n">
        <v>2001740.758755085</v>
      </c>
      <c r="AC230" s="6" t="n">
        <v>66968.22848610088</v>
      </c>
      <c r="AD230" s="6" t="n">
        <v>144623.073340019</v>
      </c>
      <c r="AE230" s="6" t="n">
        <v>84891.81175546009</v>
      </c>
      <c r="AF230" s="6" t="n">
        <v>2330059.047560579</v>
      </c>
      <c r="AG230" s="6" t="n">
        <v>359187.7875693593</v>
      </c>
      <c r="AH230" s="6" t="n">
        <v>399427.8120042576</v>
      </c>
      <c r="AI230" s="6" t="n">
        <v>565436.3043114865</v>
      </c>
      <c r="AJ230" s="6" t="n">
        <v>564354.5360506787</v>
      </c>
      <c r="AK230" s="6" t="n">
        <v>566582.8320996839</v>
      </c>
      <c r="AL230" s="6" t="n">
        <v>372186.4086395759</v>
      </c>
      <c r="AM230" s="6" t="n">
        <v>108552.8034447017</v>
      </c>
      <c r="AN230" s="6" t="n">
        <v>153040.2544594482</v>
      </c>
      <c r="AO230" s="6" t="n">
        <v>353365.2056491248</v>
      </c>
      <c r="AP230" s="6" t="n">
        <v>349746.3467133373</v>
      </c>
      <c r="AQ230" s="6" t="n">
        <v>353636.0191095744</v>
      </c>
      <c r="AR230" s="6" t="n">
        <v>119782.4974795154</v>
      </c>
    </row>
    <row r="231">
      <c r="A231" t="inlineStr">
        <is>
          <t>Credito</t>
        </is>
      </c>
      <c r="B231" s="8" t="n">
        <v>202304</v>
      </c>
      <c r="C231" s="8" t="n">
        <v>2023</v>
      </c>
      <c r="D231" s="9" t="n">
        <v>347639.4070779734</v>
      </c>
      <c r="E231" s="10" t="n">
        <v>0.3739756482660824</v>
      </c>
      <c r="F231" s="22">
        <f>D231*(1-E231)</f>
        <v/>
      </c>
      <c r="G231" s="10" t="n">
        <v>0.6876</v>
      </c>
      <c r="H231" s="10" t="n">
        <v>0.2705061079964518</v>
      </c>
      <c r="I231" s="10" t="n">
        <v>0.04540196587917898</v>
      </c>
      <c r="J231" s="10" t="n">
        <v>0.248150340994594</v>
      </c>
      <c r="K231" s="9" t="n">
        <v>1624903.110928275</v>
      </c>
      <c r="L231" s="18" t="n">
        <v>2363151.702920703</v>
      </c>
      <c r="M231" s="18" t="n">
        <v>2703402.634882767</v>
      </c>
      <c r="N231" s="23">
        <f>IF(L231=0,"",M231/L231)</f>
        <v/>
      </c>
      <c r="O231" s="9" t="n">
        <v>2138223.122936148</v>
      </c>
      <c r="P231" s="22">
        <f>M231*G231*(1+H231+I231)</f>
        <v/>
      </c>
      <c r="Q231" s="9" t="n">
        <v>1735002.861876119</v>
      </c>
      <c r="R231" s="22">
        <f>P231-M231*G231*J231</f>
        <v/>
      </c>
      <c r="S231" s="22">
        <f>IF(A231=A230,O231-O230,"")</f>
        <v/>
      </c>
      <c r="T231" s="22">
        <f>IF(A231=A230,P231-P230,"")</f>
        <v/>
      </c>
      <c r="U231" s="22">
        <f>IF(A231=A230,Q231-Q230,"")</f>
        <v/>
      </c>
      <c r="V231" s="22">
        <f>IF(A231=A230,R231-R230,"")</f>
        <v/>
      </c>
      <c r="W231" s="22">
        <f>IF(S231="","",D231-S231)</f>
        <v/>
      </c>
      <c r="X231" s="22">
        <f>IF(T231="","",D231-T231)</f>
        <v/>
      </c>
      <c r="Y231" s="22">
        <f>IF(U231="","",F231-U231)</f>
        <v/>
      </c>
      <c r="Z231" s="22">
        <f>IF(V231="","",F231-V231)</f>
        <v/>
      </c>
      <c r="AA231" s="9" t="n">
        <v>2322476.532585054</v>
      </c>
      <c r="AB231" s="9" t="n">
        <v>1958994.733868752</v>
      </c>
      <c r="AC231" s="9" t="n">
        <v>57693.7854805821</v>
      </c>
      <c r="AD231" s="9" t="n">
        <v>144069.8783614975</v>
      </c>
      <c r="AE231" s="9" t="n">
        <v>86168.48582275154</v>
      </c>
      <c r="AF231" s="9" t="n">
        <v>2291467.271781935</v>
      </c>
      <c r="AG231" s="9" t="n">
        <v>379895.3485012605</v>
      </c>
      <c r="AH231" s="9" t="n">
        <v>387745.2249117253</v>
      </c>
      <c r="AI231" s="9" t="n">
        <v>356078.8817454621</v>
      </c>
      <c r="AJ231" s="9" t="n">
        <v>348243.1500927</v>
      </c>
      <c r="AK231" s="9" t="n">
        <v>346544.8271110414</v>
      </c>
      <c r="AL231" s="9" t="n">
        <v>384220.6695740103</v>
      </c>
      <c r="AM231" s="9" t="n">
        <v>286602.0830574658</v>
      </c>
      <c r="AN231" s="9" t="n">
        <v>286532.1956246668</v>
      </c>
      <c r="AO231" s="9" t="n">
        <v>225695.0958712605</v>
      </c>
      <c r="AP231" s="9" t="n">
        <v>220747.4915398506</v>
      </c>
      <c r="AQ231" s="9" t="n">
        <v>218284.5027858183</v>
      </c>
      <c r="AR231" s="9" t="n">
        <v>289635.7120603033</v>
      </c>
    </row>
    <row r="232">
      <c r="A232" s="4" t="inlineStr">
        <is>
          <t>Credito</t>
        </is>
      </c>
      <c r="B232" s="5" t="n">
        <v>202305</v>
      </c>
      <c r="C232" s="5" t="n">
        <v>2023</v>
      </c>
      <c r="D232" s="6" t="n">
        <v>42592.50241624549</v>
      </c>
      <c r="E232" s="11" t="n">
        <v>0.3739756482660824</v>
      </c>
      <c r="F232" s="22">
        <f>D232*(1-E232)</f>
        <v/>
      </c>
      <c r="G232" s="11" t="n">
        <v>0.6876</v>
      </c>
      <c r="H232" s="11" t="n">
        <v>0.2705061080864838</v>
      </c>
      <c r="I232" s="11" t="n">
        <v>0.04652618640592231</v>
      </c>
      <c r="J232" s="11" t="n">
        <v>0.2431333553899583</v>
      </c>
      <c r="K232" s="6" t="n">
        <v>1386861.976640322</v>
      </c>
      <c r="L232" s="18" t="n">
        <v>2016960.408144738</v>
      </c>
      <c r="M232" s="18" t="n">
        <v>2339908.612010948</v>
      </c>
      <c r="N232" s="23">
        <f>IF(L232=0,"",M232/L232)</f>
        <v/>
      </c>
      <c r="O232" s="6" t="n">
        <v>1826542.011238877</v>
      </c>
      <c r="P232" s="22">
        <f>M232*G232*(1+H232+I232)</f>
        <v/>
      </c>
      <c r="Q232" s="6" t="n">
        <v>1489349.605395566</v>
      </c>
      <c r="R232" s="22">
        <f>P232-M232*G232*J232</f>
        <v/>
      </c>
      <c r="S232" s="22">
        <f>IF(A232=A231,O232-O231,"")</f>
        <v/>
      </c>
      <c r="T232" s="22">
        <f>IF(A232=A231,P232-P231,"")</f>
        <v/>
      </c>
      <c r="U232" s="22">
        <f>IF(A232=A231,Q232-Q231,"")</f>
        <v/>
      </c>
      <c r="V232" s="22">
        <f>IF(A232=A231,R232-R231,"")</f>
        <v/>
      </c>
      <c r="W232" s="22">
        <f>IF(S232="","",D232-S232)</f>
        <v/>
      </c>
      <c r="X232" s="22">
        <f>IF(T232="","",D232-T232)</f>
        <v/>
      </c>
      <c r="Y232" s="22">
        <f>IF(U232="","",F232-U232)</f>
        <v/>
      </c>
      <c r="Z232" s="22">
        <f>IF(V232="","",F232-V232)</f>
        <v/>
      </c>
      <c r="AA232" s="6" t="n">
        <v>1985443.921283481</v>
      </c>
      <c r="AB232" s="6" t="n">
        <v>1655817.152687753</v>
      </c>
      <c r="AC232" s="6" t="n">
        <v>48441.24681753304</v>
      </c>
      <c r="AD232" s="6" t="n">
        <v>116193.9228992198</v>
      </c>
      <c r="AE232" s="6" t="n">
        <v>61725.81758317478</v>
      </c>
      <c r="AF232" s="6" t="n">
        <v>1975220.240375259</v>
      </c>
      <c r="AG232" s="6" t="n">
        <v>346011.0315516748</v>
      </c>
      <c r="AH232" s="6" t="n">
        <v>315633.1837890873</v>
      </c>
      <c r="AI232" s="6" t="n">
        <v>50926.92380091114</v>
      </c>
      <c r="AJ232" s="6" t="n">
        <v>67725.36006156827</v>
      </c>
      <c r="AK232" s="6" t="n">
        <v>64660.96325203077</v>
      </c>
      <c r="AL232" s="6" t="n">
        <v>327211.7596322215</v>
      </c>
      <c r="AM232" s="6" t="n">
        <v>265726.0688467216</v>
      </c>
      <c r="AN232" s="6" t="n">
        <v>242261.9497110897</v>
      </c>
      <c r="AO232" s="6" t="n">
        <v>33252.5145507542</v>
      </c>
      <c r="AP232" s="6" t="n">
        <v>46639.54619628746</v>
      </c>
      <c r="AQ232" s="6" t="n">
        <v>44348.86241349747</v>
      </c>
      <c r="AR232" s="6" t="n">
        <v>250508.6709004077</v>
      </c>
    </row>
    <row r="233">
      <c r="A233" t="inlineStr">
        <is>
          <t>Credito</t>
        </is>
      </c>
      <c r="B233" s="8" t="n">
        <v>202306</v>
      </c>
      <c r="C233" s="8" t="n">
        <v>2023</v>
      </c>
      <c r="D233" s="9" t="n">
        <v>708953.2134573138</v>
      </c>
      <c r="E233" s="10" t="n">
        <v>0.3739756482660824</v>
      </c>
      <c r="F233" s="22">
        <f>D233*(1-E233)</f>
        <v/>
      </c>
      <c r="G233" s="10" t="n">
        <v>0.6876</v>
      </c>
      <c r="H233" s="10" t="n">
        <v>0.2705061083482131</v>
      </c>
      <c r="I233" s="10" t="n">
        <v>0.04375613182767953</v>
      </c>
      <c r="J233" s="10" t="n">
        <v>0.1830424725139442</v>
      </c>
      <c r="K233" s="9" t="n">
        <v>1608841.901540115</v>
      </c>
      <c r="L233" s="18" t="n">
        <v>2339793.341390511</v>
      </c>
      <c r="M233" s="18" t="n">
        <v>2671740.328092843</v>
      </c>
      <c r="N233" s="23">
        <f>IF(L233=0,"",M233/L233)</f>
        <v/>
      </c>
      <c r="O233" s="9" t="n">
        <v>2114440.161606955</v>
      </c>
      <c r="P233" s="22">
        <f>M233*G233*(1+H233+I233)</f>
        <v/>
      </c>
      <c r="Q233" s="9" t="n">
        <v>1819953.762065017</v>
      </c>
      <c r="R233" s="22">
        <f>P233-M233*G233*J233</f>
        <v/>
      </c>
      <c r="S233" s="22">
        <f>IF(A233=A232,O233-O232,"")</f>
        <v/>
      </c>
      <c r="T233" s="22">
        <f>IF(A233=A232,P233-P232,"")</f>
        <v/>
      </c>
      <c r="U233" s="22">
        <f>IF(A233=A232,Q233-Q232,"")</f>
        <v/>
      </c>
      <c r="V233" s="22">
        <f>IF(A233=A232,R233-R232,"")</f>
        <v/>
      </c>
      <c r="W233" s="22">
        <f>IF(S233="","",D233-S233)</f>
        <v/>
      </c>
      <c r="X233" s="22">
        <f>IF(T233="","",D233-T233)</f>
        <v/>
      </c>
      <c r="Y233" s="22">
        <f>IF(U233="","",F233-U233)</f>
        <v/>
      </c>
      <c r="Z233" s="22">
        <f>IF(V233="","",F233-V233)</f>
        <v/>
      </c>
      <c r="AA233" s="9" t="n">
        <v>2319512.919655639</v>
      </c>
      <c r="AB233" s="9" t="n">
        <v>1971483.752999916</v>
      </c>
      <c r="AC233" s="9" t="n">
        <v>32622.22386610576</v>
      </c>
      <c r="AD233" s="9" t="n">
        <v>123266.2387565319</v>
      </c>
      <c r="AE233" s="9" t="n">
        <v>65186.16497777456</v>
      </c>
      <c r="AF233" s="9" t="n">
        <v>2307854.642472167</v>
      </c>
      <c r="AG233" s="9" t="n">
        <v>410841.1511737225</v>
      </c>
      <c r="AH233" s="9" t="n">
        <v>426843.3172544606</v>
      </c>
      <c r="AI233" s="9" t="n">
        <v>723340.9198908933</v>
      </c>
      <c r="AJ233" s="9" t="n">
        <v>702783.3688905177</v>
      </c>
      <c r="AK233" s="9" t="n">
        <v>705943.7119901245</v>
      </c>
      <c r="AL233" s="9" t="n">
        <v>412118.1038348607</v>
      </c>
      <c r="AM233" s="9" t="n">
        <v>105720.2921630037</v>
      </c>
      <c r="AN233" s="9" t="n">
        <v>133026.0130416381</v>
      </c>
      <c r="AO233" s="9" t="n">
        <v>454217.180780504</v>
      </c>
      <c r="AP233" s="9" t="n">
        <v>433741.2954351161</v>
      </c>
      <c r="AQ233" s="9" t="n">
        <v>438697.5760920531</v>
      </c>
      <c r="AR233" s="9" t="n">
        <v>107239.1135993197</v>
      </c>
    </row>
    <row r="234">
      <c r="A234" s="4" t="inlineStr">
        <is>
          <t>Credito</t>
        </is>
      </c>
      <c r="B234" s="5" t="n">
        <v>202307</v>
      </c>
      <c r="C234" s="5" t="n">
        <v>2023</v>
      </c>
      <c r="D234" s="6" t="n">
        <v>644423.3658807229</v>
      </c>
      <c r="E234" s="11" t="n">
        <v>0.3739756482660824</v>
      </c>
      <c r="F234" s="22">
        <f>D234*(1-E234)</f>
        <v/>
      </c>
      <c r="G234" s="11" t="n">
        <v>0.6876</v>
      </c>
      <c r="H234" s="11" t="n">
        <v>0.2705061082253201</v>
      </c>
      <c r="I234" s="11" t="n">
        <v>0.0398718408352462</v>
      </c>
      <c r="J234" s="11" t="n">
        <v>0.1622875706785687</v>
      </c>
      <c r="K234" s="6" t="n">
        <v>1731284.553457317</v>
      </c>
      <c r="L234" s="18" t="n">
        <v>2517865.842724428</v>
      </c>
      <c r="M234" s="18" t="n">
        <v>2940991.116396396</v>
      </c>
      <c r="N234" s="23">
        <f>IF(L234=0,"",M234/L234)</f>
        <v/>
      </c>
      <c r="O234" s="6" t="n">
        <v>2268637.102399637</v>
      </c>
      <c r="P234" s="22">
        <f>M234*G234*(1+H234+I234)</f>
        <v/>
      </c>
      <c r="Q234" s="6" t="n">
        <v>1987671.138065718</v>
      </c>
      <c r="R234" s="22">
        <f>P234-M234*G234*J234</f>
        <v/>
      </c>
      <c r="S234" s="22">
        <f>IF(A234=A233,O234-O233,"")</f>
        <v/>
      </c>
      <c r="T234" s="22">
        <f>IF(A234=A233,P234-P233,"")</f>
        <v/>
      </c>
      <c r="U234" s="22">
        <f>IF(A234=A233,Q234-Q233,"")</f>
        <v/>
      </c>
      <c r="V234" s="22">
        <f>IF(A234=A233,R234-R233,"")</f>
        <v/>
      </c>
      <c r="W234" s="22">
        <f>IF(S234="","",D234-S234)</f>
        <v/>
      </c>
      <c r="X234" s="22">
        <f>IF(T234="","",D234-T234)</f>
        <v/>
      </c>
      <c r="Y234" s="22">
        <f>IF(U234="","",F234-U234)</f>
        <v/>
      </c>
      <c r="Z234" s="22">
        <f>IF(V234="","",F234-V234)</f>
        <v/>
      </c>
      <c r="AA234" s="6" t="n">
        <v>2581939.00095008</v>
      </c>
      <c r="AB234" s="6" t="n">
        <v>2226324.265000203</v>
      </c>
      <c r="AC234" s="6" t="n">
        <v>37364.47222529447</v>
      </c>
      <c r="AD234" s="6" t="n">
        <v>166187.4312604007</v>
      </c>
      <c r="AE234" s="6" t="n">
        <v>103476.7421044469</v>
      </c>
      <c r="AF234" s="6" t="n">
        <v>2564073.199651148</v>
      </c>
      <c r="AG234" s="6" t="n">
        <v>414168.3444639228</v>
      </c>
      <c r="AH234" s="6" t="n">
        <v>420073.5331178093</v>
      </c>
      <c r="AI234" s="6" t="n">
        <v>640237.653506516</v>
      </c>
      <c r="AJ234" s="6" t="n">
        <v>606079.9141667013</v>
      </c>
      <c r="AK234" s="6" t="n">
        <v>610097.049644171</v>
      </c>
      <c r="AL234" s="6" t="n">
        <v>419730.2848772455</v>
      </c>
      <c r="AM234" s="6" t="n">
        <v>169351.6126042554</v>
      </c>
      <c r="AN234" s="6" t="n">
        <v>179377.0844439665</v>
      </c>
      <c r="AO234" s="6" t="n">
        <v>399302.635873998</v>
      </c>
      <c r="AP234" s="6" t="n">
        <v>368111.6570701219</v>
      </c>
      <c r="AQ234" s="6" t="n">
        <v>372440.9319434034</v>
      </c>
      <c r="AR234" s="6" t="n">
        <v>174387.2381168638</v>
      </c>
    </row>
    <row r="235">
      <c r="A235" t="inlineStr">
        <is>
          <t>Credito</t>
        </is>
      </c>
      <c r="B235" s="8" t="n">
        <v>202308</v>
      </c>
      <c r="C235" s="8" t="n">
        <v>2023</v>
      </c>
      <c r="D235" s="9" t="n">
        <v>32006.79027041605</v>
      </c>
      <c r="E235" s="10" t="n">
        <v>0.3739756482660824</v>
      </c>
      <c r="F235" s="22">
        <f>D235*(1-E235)</f>
        <v/>
      </c>
      <c r="G235" s="10" t="n">
        <v>0.6876</v>
      </c>
      <c r="H235" s="10" t="n">
        <v>0.270506108121956</v>
      </c>
      <c r="I235" s="10" t="n">
        <v>0.03459749961183487</v>
      </c>
      <c r="J235" s="10" t="n">
        <v>0.3261084578739981</v>
      </c>
      <c r="K235" s="9" t="n">
        <v>2135849.762535767</v>
      </c>
      <c r="L235" s="18" t="n">
        <v>3106238.747143349</v>
      </c>
      <c r="M235" s="18" t="n">
        <v>2588492.319160784</v>
      </c>
      <c r="N235" s="23">
        <f>IF(L235=0,"",M235/L235)</f>
        <v/>
      </c>
      <c r="O235" s="9" t="n">
        <v>2787505.23066279</v>
      </c>
      <c r="P235" s="22">
        <f>M235*G235*(1+H235+I235)</f>
        <v/>
      </c>
      <c r="Q235" s="9" t="n">
        <v>2090986.558351705</v>
      </c>
      <c r="R235" s="22">
        <f>P235-M235*G235*J235</f>
        <v/>
      </c>
      <c r="S235" s="22">
        <f>IF(A235=A234,O235-O234,"")</f>
        <v/>
      </c>
      <c r="T235" s="22">
        <f>IF(A235=A234,P235-P234,"")</f>
        <v/>
      </c>
      <c r="U235" s="22">
        <f>IF(A235=A234,Q235-Q234,"")</f>
        <v/>
      </c>
      <c r="V235" s="22">
        <f>IF(A235=A234,R235-R234,"")</f>
        <v/>
      </c>
      <c r="W235" s="22">
        <f>IF(S235="","",D235-S235)</f>
        <v/>
      </c>
      <c r="X235" s="22">
        <f>IF(T235="","",D235-T235)</f>
        <v/>
      </c>
      <c r="Y235" s="22">
        <f>IF(U235="","",F235-U235)</f>
        <v/>
      </c>
      <c r="Z235" s="22">
        <f>IF(V235="","",F235-V235)</f>
        <v/>
      </c>
      <c r="AA235" s="9" t="n">
        <v>2240877.440725541</v>
      </c>
      <c r="AB235" s="9" t="n">
        <v>1903544.13742363</v>
      </c>
      <c r="AC235" s="9" t="n">
        <v>24201.65558785194</v>
      </c>
      <c r="AD235" s="9" t="n">
        <v>127885.137611341</v>
      </c>
      <c r="AE235" s="9" t="n">
        <v>67207.63916913643</v>
      </c>
      <c r="AF235" s="9" t="n">
        <v>2236583.149433451</v>
      </c>
      <c r="AG235" s="9" t="n">
        <v>347435.5205858911</v>
      </c>
      <c r="AH235" s="9" t="n">
        <v>329740.2740300475</v>
      </c>
      <c r="AI235" s="9" t="n">
        <v>43954.4676789267</v>
      </c>
      <c r="AJ235" s="9" t="n">
        <v>66981.55798750847</v>
      </c>
      <c r="AK235" s="9" t="n">
        <v>64929.56560511694</v>
      </c>
      <c r="AL235" s="9" t="n">
        <v>335191.8007482546</v>
      </c>
      <c r="AM235" s="9" t="n">
        <v>549826.7645763822</v>
      </c>
      <c r="AN235" s="9" t="n">
        <v>496173.2066638817</v>
      </c>
      <c r="AO235" s="9" t="n">
        <v>33242.0358149495</v>
      </c>
      <c r="AP235" s="9" t="n">
        <v>65143.08225324209</v>
      </c>
      <c r="AQ235" s="9" t="n">
        <v>56483.06131126176</v>
      </c>
      <c r="AR235" s="9" t="n">
        <v>538613.7521743455</v>
      </c>
    </row>
    <row r="236">
      <c r="A236" s="4" t="inlineStr">
        <is>
          <t>Credito</t>
        </is>
      </c>
      <c r="B236" s="5" t="n">
        <v>202309</v>
      </c>
      <c r="C236" s="5" t="n">
        <v>2023</v>
      </c>
      <c r="D236" s="6" t="n">
        <v>112260.0662236988</v>
      </c>
      <c r="E236" s="11" t="n">
        <v>0.3739756482660824</v>
      </c>
      <c r="F236" s="22">
        <f>D236*(1-E236)</f>
        <v/>
      </c>
      <c r="G236" s="11" t="n">
        <v>0.6876</v>
      </c>
      <c r="H236" s="11" t="n">
        <v>0.2705061081997859</v>
      </c>
      <c r="I236" s="11" t="n">
        <v>0.03847233314185689</v>
      </c>
      <c r="J236" s="11" t="n">
        <v>0.3297448974596265</v>
      </c>
      <c r="K236" s="6" t="n">
        <v>1884118.211029441</v>
      </c>
      <c r="L236" s="18" t="n">
        <v>2740137.01429529</v>
      </c>
      <c r="M236" s="18" t="n">
        <v>2342272.988882402</v>
      </c>
      <c r="N236" s="23">
        <f>IF(L236=0,"",M236/L236)</f>
        <v/>
      </c>
      <c r="O236" s="6" t="n">
        <v>2466270.119176722</v>
      </c>
      <c r="P236" s="22">
        <f>M236*G236*(1+H236+I236)</f>
        <v/>
      </c>
      <c r="Q236" s="6" t="n">
        <v>1844991.752879004</v>
      </c>
      <c r="R236" s="22">
        <f>P236-M236*G236*J236</f>
        <v/>
      </c>
      <c r="S236" s="22">
        <f>IF(A236=A235,O236-O235,"")</f>
        <v/>
      </c>
      <c r="T236" s="22">
        <f>IF(A236=A235,P236-P235,"")</f>
        <v/>
      </c>
      <c r="U236" s="22">
        <f>IF(A236=A235,Q236-Q235,"")</f>
        <v/>
      </c>
      <c r="V236" s="22">
        <f>IF(A236=A235,R236-R235,"")</f>
        <v/>
      </c>
      <c r="W236" s="22">
        <f>IF(S236="","",D236-S236)</f>
        <v/>
      </c>
      <c r="X236" s="22">
        <f>IF(T236="","",D236-T236)</f>
        <v/>
      </c>
      <c r="Y236" s="22">
        <f>IF(U236="","",F236-U236)</f>
        <v/>
      </c>
      <c r="Z236" s="22">
        <f>IF(V236="","",F236-V236)</f>
        <v/>
      </c>
      <c r="AA236" s="6" t="n">
        <v>1989373.164617793</v>
      </c>
      <c r="AB236" s="6" t="n">
        <v>1654737.520556138</v>
      </c>
      <c r="AC236" s="6" t="n">
        <v>14932.3792467488</v>
      </c>
      <c r="AD236" s="6" t="n">
        <v>89686.58624719421</v>
      </c>
      <c r="AE236" s="6" t="n">
        <v>30959.50808171464</v>
      </c>
      <c r="AF236" s="6" t="n">
        <v>1990513.126136961</v>
      </c>
      <c r="AG236" s="6" t="n">
        <v>332656.9398654258</v>
      </c>
      <c r="AH236" s="6" t="n">
        <v>331127.6711439461</v>
      </c>
      <c r="AI236" s="6" t="n">
        <v>120538.4302116216</v>
      </c>
      <c r="AJ236" s="6" t="n">
        <v>146300.0800637879</v>
      </c>
      <c r="AK236" s="6" t="n">
        <v>144706.2625370353</v>
      </c>
      <c r="AL236" s="6" t="n">
        <v>327777.262621435</v>
      </c>
      <c r="AM236" s="6" t="n">
        <v>239253.3180225242</v>
      </c>
      <c r="AN236" s="6" t="n">
        <v>237492.2230301821</v>
      </c>
      <c r="AO236" s="6" t="n">
        <v>76514.76632858308</v>
      </c>
      <c r="AP236" s="6" t="n">
        <v>95976.45850753003</v>
      </c>
      <c r="AQ236" s="6" t="n">
        <v>94673.14584522616</v>
      </c>
      <c r="AR236" s="6" t="n">
        <v>235595.0254872092</v>
      </c>
    </row>
    <row r="237">
      <c r="A237" t="inlineStr">
        <is>
          <t>Credito</t>
        </is>
      </c>
      <c r="B237" s="8" t="n">
        <v>202310</v>
      </c>
      <c r="C237" s="8" t="n">
        <v>2023</v>
      </c>
      <c r="D237" s="9" t="n">
        <v>462059.300147014</v>
      </c>
      <c r="E237" s="10" t="n">
        <v>0.3739756482660824</v>
      </c>
      <c r="F237" s="22">
        <f>D237*(1-E237)</f>
        <v/>
      </c>
      <c r="G237" s="10" t="n">
        <v>0.6876</v>
      </c>
      <c r="H237" s="10" t="n">
        <v>0.2705061080769129</v>
      </c>
      <c r="I237" s="10" t="n">
        <v>0.04560683888901929</v>
      </c>
      <c r="J237" s="10" t="n">
        <v>0.3198855232607544</v>
      </c>
      <c r="K237" s="9" t="n">
        <v>1905047.888269396</v>
      </c>
      <c r="L237" s="18" t="n">
        <v>2770575.75373676</v>
      </c>
      <c r="M237" s="18" t="n">
        <v>2439699.894467477</v>
      </c>
      <c r="N237" s="23">
        <f>IF(L237=0,"",M237/L237)</f>
        <v/>
      </c>
      <c r="O237" s="9" t="n">
        <v>2507258.190341461</v>
      </c>
      <c r="P237" s="22">
        <f>M237*G237*(1+H237+I237)</f>
        <v/>
      </c>
      <c r="Q237" s="9" t="n">
        <v>1897860.94976561</v>
      </c>
      <c r="R237" s="22">
        <f>P237-M237*G237*J237</f>
        <v/>
      </c>
      <c r="S237" s="22">
        <f>IF(A237=A236,O237-O236,"")</f>
        <v/>
      </c>
      <c r="T237" s="22">
        <f>IF(A237=A236,P237-P236,"")</f>
        <v/>
      </c>
      <c r="U237" s="22">
        <f>IF(A237=A236,Q237-Q236,"")</f>
        <v/>
      </c>
      <c r="V237" s="22">
        <f>IF(A237=A236,R237-R236,"")</f>
        <v/>
      </c>
      <c r="W237" s="22">
        <f>IF(S237="","",D237-S237)</f>
        <v/>
      </c>
      <c r="X237" s="22">
        <f>IF(T237="","",D237-T237)</f>
        <v/>
      </c>
      <c r="Y237" s="22">
        <f>IF(U237="","",F237-U237)</f>
        <v/>
      </c>
      <c r="Z237" s="22">
        <f>IF(V237="","",F237-V237)</f>
        <v/>
      </c>
      <c r="AA237" s="9" t="n">
        <v>2088353.218121344</v>
      </c>
      <c r="AB237" s="9" t="n">
        <v>1753303.347462048</v>
      </c>
      <c r="AC237" s="9" t="n">
        <v>26338.6362988852</v>
      </c>
      <c r="AD237" s="9" t="n">
        <v>100662.5717246636</v>
      </c>
      <c r="AE237" s="9" t="n">
        <v>38228.0230430345</v>
      </c>
      <c r="AF237" s="9" t="n">
        <v>2082691.378315485</v>
      </c>
      <c r="AG237" s="9" t="n">
        <v>362727.1437264334</v>
      </c>
      <c r="AH237" s="9" t="n">
        <v>364743.6193393564</v>
      </c>
      <c r="AI237" s="9" t="n">
        <v>451663.8486143014</v>
      </c>
      <c r="AJ237" s="9" t="n">
        <v>451686.506189364</v>
      </c>
      <c r="AK237" s="9" t="n">
        <v>455329.7125819102</v>
      </c>
      <c r="AL237" s="9" t="n">
        <v>368876.904542729</v>
      </c>
      <c r="AM237" s="9" t="n">
        <v>198212.6365801443</v>
      </c>
      <c r="AN237" s="9" t="n">
        <v>202406.599020777</v>
      </c>
      <c r="AO237" s="9" t="n">
        <v>281272.5348579496</v>
      </c>
      <c r="AP237" s="9" t="n">
        <v>280693.7711648273</v>
      </c>
      <c r="AQ237" s="9" t="n">
        <v>283919.636051063</v>
      </c>
      <c r="AR237" s="9" t="n">
        <v>202858.5906980578</v>
      </c>
    </row>
    <row r="238">
      <c r="A238" s="4" t="inlineStr">
        <is>
          <t>Credito</t>
        </is>
      </c>
      <c r="B238" s="5" t="n">
        <v>202311</v>
      </c>
      <c r="C238" s="5" t="n">
        <v>2023</v>
      </c>
      <c r="D238" s="6" t="n">
        <v>524198.0006472482</v>
      </c>
      <c r="E238" s="11" t="n">
        <v>0.3739756482660824</v>
      </c>
      <c r="F238" s="22">
        <f>D238*(1-E238)</f>
        <v/>
      </c>
      <c r="G238" s="11" t="n">
        <v>0.6876</v>
      </c>
      <c r="H238" s="11" t="n">
        <v>0.2705061080970665</v>
      </c>
      <c r="I238" s="11" t="n">
        <v>0.04093301122435671</v>
      </c>
      <c r="J238" s="11" t="n">
        <v>0.3904742877768588</v>
      </c>
      <c r="K238" s="6" t="n">
        <v>2009791.057265935</v>
      </c>
      <c r="L238" s="18" t="n">
        <v>2922907.296780011</v>
      </c>
      <c r="M238" s="18" t="n">
        <v>2587509.528919675</v>
      </c>
      <c r="N238" s="23">
        <f>IF(L238=0,"",M238/L238)</f>
        <v/>
      </c>
      <c r="O238" s="6" t="n">
        <v>2635718.61416091</v>
      </c>
      <c r="P238" s="22">
        <f>M238*G238*(1+H238+I238)</f>
        <v/>
      </c>
      <c r="Q238" s="6" t="n">
        <v>1850946.882494694</v>
      </c>
      <c r="R238" s="22">
        <f>P238-M238*G238*J238</f>
        <v/>
      </c>
      <c r="S238" s="22">
        <f>IF(A238=A237,O238-O237,"")</f>
        <v/>
      </c>
      <c r="T238" s="22">
        <f>IF(A238=A237,P238-P237,"")</f>
        <v/>
      </c>
      <c r="U238" s="22">
        <f>IF(A238=A237,Q238-Q237,"")</f>
        <v/>
      </c>
      <c r="V238" s="22">
        <f>IF(A238=A237,R238-R237,"")</f>
        <v/>
      </c>
      <c r="W238" s="22">
        <f>IF(S238="","",D238-S238)</f>
        <v/>
      </c>
      <c r="X238" s="22">
        <f>IF(T238="","",D238-T238)</f>
        <v/>
      </c>
      <c r="Y238" s="22">
        <f>IF(U238="","",F238-U238)</f>
        <v/>
      </c>
      <c r="Z238" s="22">
        <f>IF(V238="","",F238-V238)</f>
        <v/>
      </c>
      <c r="AA238" s="6" t="n">
        <v>2247285.718911828</v>
      </c>
      <c r="AB238" s="6" t="n">
        <v>1897570.063857154</v>
      </c>
      <c r="AC238" s="6" t="n">
        <v>10612.98403337534</v>
      </c>
      <c r="AD238" s="6" t="n">
        <v>97565.71207464173</v>
      </c>
      <c r="AE238" s="6" t="n">
        <v>30100.75727840605</v>
      </c>
      <c r="AF238" s="6" t="n">
        <v>2242021.490704305</v>
      </c>
      <c r="AG238" s="6" t="n">
        <v>387592.7177698766</v>
      </c>
      <c r="AH238" s="6" t="n">
        <v>399740.7656430802</v>
      </c>
      <c r="AI238" s="6" t="n">
        <v>538463.1825214764</v>
      </c>
      <c r="AJ238" s="6" t="n">
        <v>527314.0817312628</v>
      </c>
      <c r="AK238" s="6" t="n">
        <v>531649.5806011204</v>
      </c>
      <c r="AL238" s="6" t="n">
        <v>387215.9776952069</v>
      </c>
      <c r="AM238" s="6" t="n">
        <v>335589.2913973302</v>
      </c>
      <c r="AN238" s="6" t="n">
        <v>327537.4609391236</v>
      </c>
      <c r="AO238" s="6" t="n">
        <v>339482.1071719636</v>
      </c>
      <c r="AP238" s="6" t="n">
        <v>335331.1609817729</v>
      </c>
      <c r="AQ238" s="6" t="n">
        <v>335285.6701536126</v>
      </c>
      <c r="AR238" s="6" t="n">
        <v>335044.4983270041</v>
      </c>
    </row>
    <row r="239">
      <c r="A239" t="inlineStr">
        <is>
          <t>Credito</t>
        </is>
      </c>
      <c r="B239" s="8" t="n">
        <v>202312</v>
      </c>
      <c r="C239" s="8" t="n">
        <v>2023</v>
      </c>
      <c r="D239" s="9" t="n">
        <v>325408.8552506454</v>
      </c>
      <c r="E239" s="10" t="n">
        <v>0.3739756482660824</v>
      </c>
      <c r="F239" s="22">
        <f>D239*(1-E239)</f>
        <v/>
      </c>
      <c r="G239" s="10" t="n">
        <v>0.6876</v>
      </c>
      <c r="H239" s="10" t="n">
        <v>0.270506110526583</v>
      </c>
      <c r="I239" s="10" t="n">
        <v>0.04072320617657519</v>
      </c>
      <c r="J239" s="10" t="n">
        <v>0.398175339614682</v>
      </c>
      <c r="K239" s="9" t="n">
        <v>1899095.637900345</v>
      </c>
      <c r="L239" s="18" t="n">
        <v>2761919.19415408</v>
      </c>
      <c r="M239" s="18" t="n">
        <v>2570931.884423189</v>
      </c>
      <c r="N239" s="23">
        <f>IF(L239=0,"",M239/L239)</f>
        <v/>
      </c>
      <c r="O239" s="9" t="n">
        <v>2490149.875638018</v>
      </c>
      <c r="P239" s="22">
        <f>M239*G239*(1+H239+I239)</f>
        <v/>
      </c>
      <c r="Q239" s="9" t="n">
        <v>1733976.825056287</v>
      </c>
      <c r="R239" s="22">
        <f>P239-M239*G239*J239</f>
        <v/>
      </c>
      <c r="S239" s="22">
        <f>IF(A239=A238,O239-O238,"")</f>
        <v/>
      </c>
      <c r="T239" s="22">
        <f>IF(A239=A238,P239-P238,"")</f>
        <v/>
      </c>
      <c r="U239" s="22">
        <f>IF(A239=A238,Q239-Q238,"")</f>
        <v/>
      </c>
      <c r="V239" s="22">
        <f>IF(A239=A238,R239-R238,"")</f>
        <v/>
      </c>
      <c r="W239" s="22">
        <f>IF(S239="","",D239-S239)</f>
        <v/>
      </c>
      <c r="X239" s="22">
        <f>IF(T239="","",D239-T239)</f>
        <v/>
      </c>
      <c r="Y239" s="22">
        <f>IF(U239="","",F239-U239)</f>
        <v/>
      </c>
      <c r="Z239" s="22">
        <f>IF(V239="","",F239-V239)</f>
        <v/>
      </c>
      <c r="AA239" s="9" t="n">
        <v>2198048.399061741</v>
      </c>
      <c r="AB239" s="9" t="n">
        <v>1846075.975647422</v>
      </c>
      <c r="AC239" s="9" t="n">
        <v>37380.18069612232</v>
      </c>
      <c r="AD239" s="9" t="n">
        <v>107838.3678585337</v>
      </c>
      <c r="AE239" s="9" t="n">
        <v>42762.86935893827</v>
      </c>
      <c r="AF239" s="9" t="n">
        <v>2186445.994049973</v>
      </c>
      <c r="AG239" s="9" t="n">
        <v>370125.4798286745</v>
      </c>
      <c r="AH239" s="9" t="n">
        <v>372109.7349878223</v>
      </c>
      <c r="AI239" s="9" t="n">
        <v>301277.047558668</v>
      </c>
      <c r="AJ239" s="9" t="n">
        <v>316161.0905227117</v>
      </c>
      <c r="AK239" s="9" t="n">
        <v>313997.0211582507</v>
      </c>
      <c r="AL239" s="9" t="n">
        <v>375839.2287175811</v>
      </c>
      <c r="AM239" s="9" t="n">
        <v>246849.9592406332</v>
      </c>
      <c r="AN239" s="9" t="n">
        <v>246364.5147944174</v>
      </c>
      <c r="AO239" s="9" t="n">
        <v>186966.7249654784</v>
      </c>
      <c r="AP239" s="9" t="n">
        <v>197795.2399046056</v>
      </c>
      <c r="AQ239" s="9" t="n">
        <v>195928.1253548627</v>
      </c>
      <c r="AR239" s="9" t="n">
        <v>250800.5327202924</v>
      </c>
    </row>
    <row r="240">
      <c r="A240" s="4" t="inlineStr">
        <is>
          <t>Credito</t>
        </is>
      </c>
      <c r="B240" s="5" t="n">
        <v>202401</v>
      </c>
      <c r="C240" s="5" t="n">
        <v>2024</v>
      </c>
      <c r="D240" s="6" t="n">
        <v>158114.5737876745</v>
      </c>
      <c r="E240" s="11" t="n">
        <v>0.5417203655933656</v>
      </c>
      <c r="F240" s="22">
        <f>D240*(1-E240)</f>
        <v/>
      </c>
      <c r="G240" s="11" t="n">
        <v>0.6876000000000001</v>
      </c>
      <c r="H240" s="11" t="n">
        <v>0.2705061081000311</v>
      </c>
      <c r="I240" s="11" t="n">
        <v>0.04542690584858529</v>
      </c>
      <c r="J240" s="11" t="n">
        <v>0.3868203455853831</v>
      </c>
      <c r="K240" s="6" t="n">
        <v>1651023.752743148</v>
      </c>
      <c r="L240" s="18" t="n">
        <v>2401139.838195386</v>
      </c>
      <c r="M240" s="18" t="n">
        <v>2308987.095044685</v>
      </c>
      <c r="N240" s="23">
        <f>IF(L240=0,"",M240/L240)</f>
        <v/>
      </c>
      <c r="O240" s="6" t="n">
        <v>2172636.663048046</v>
      </c>
      <c r="P240" s="22">
        <f>M240*G240*(1+H240+I240)</f>
        <v/>
      </c>
      <c r="Q240" s="6" t="n">
        <v>1533987.084442265</v>
      </c>
      <c r="R240" s="22">
        <f>P240-M240*G240*J240</f>
        <v/>
      </c>
      <c r="S240" s="22">
        <f>IF(A240=A239,O240-O239,"")</f>
        <v/>
      </c>
      <c r="T240" s="22">
        <f>IF(A240=A239,P240-P239,"")</f>
        <v/>
      </c>
      <c r="U240" s="22">
        <f>IF(A240=A239,Q240-Q239,"")</f>
        <v/>
      </c>
      <c r="V240" s="22">
        <f>IF(A240=A239,R240-R239,"")</f>
        <v/>
      </c>
      <c r="W240" s="22">
        <f>IF(S240="","",D240-S240)</f>
        <v/>
      </c>
      <c r="X240" s="22">
        <f>IF(T240="","",D240-T240)</f>
        <v/>
      </c>
      <c r="Y240" s="22">
        <f>IF(U240="","",F240-U240)</f>
        <v/>
      </c>
      <c r="Z240" s="22">
        <f>IF(V240="","",F240-V240)</f>
        <v/>
      </c>
      <c r="AA240" s="6" t="n">
        <v>1967530.129733424</v>
      </c>
      <c r="AB240" s="6" t="n">
        <v>1644449.352141588</v>
      </c>
      <c r="AC240" s="6" t="n">
        <v>84391.57917045185</v>
      </c>
      <c r="AD240" s="6" t="n">
        <v>148645.060086308</v>
      </c>
      <c r="AE240" s="6" t="n">
        <v>88154.5708247954</v>
      </c>
      <c r="AF240" s="6" t="n">
        <v>1987591.176438948</v>
      </c>
      <c r="AG240" s="6" t="n">
        <v>359586.6316774219</v>
      </c>
      <c r="AH240" s="6" t="n">
        <v>334582.8148304819</v>
      </c>
      <c r="AI240" s="6" t="n">
        <v>115456.092338189</v>
      </c>
      <c r="AJ240" s="6" t="n">
        <v>120842.4508145084</v>
      </c>
      <c r="AK240" s="6" t="n">
        <v>116904.2427295036</v>
      </c>
      <c r="AL240" s="6" t="n">
        <v>330973.9404524187</v>
      </c>
      <c r="AM240" s="6" t="n">
        <v>195458.3458124319</v>
      </c>
      <c r="AN240" s="6" t="n">
        <v>180887.1545343138</v>
      </c>
      <c r="AO240" s="6" t="n">
        <v>42014.33682368405</v>
      </c>
      <c r="AP240" s="6" t="n">
        <v>45200.26603411135</v>
      </c>
      <c r="AQ240" s="6" t="n">
        <v>42989.65759377845</v>
      </c>
      <c r="AR240" s="6" t="n">
        <v>175358.013714235</v>
      </c>
    </row>
    <row r="241">
      <c r="A241" t="inlineStr">
        <is>
          <t>Credito</t>
        </is>
      </c>
      <c r="B241" s="8" t="n">
        <v>202402</v>
      </c>
      <c r="C241" s="8" t="n">
        <v>2024</v>
      </c>
      <c r="D241" s="9" t="n">
        <v>404076.5125248177</v>
      </c>
      <c r="E241" s="10" t="n">
        <v>0.5417203655933656</v>
      </c>
      <c r="F241" s="22">
        <f>D241*(1-E241)</f>
        <v/>
      </c>
      <c r="G241" s="10" t="n">
        <v>0.6876</v>
      </c>
      <c r="H241" s="10" t="n">
        <v>0.2705061080958875</v>
      </c>
      <c r="I241" s="10" t="n">
        <v>0.0436721712349664</v>
      </c>
      <c r="J241" s="10" t="n">
        <v>0.4228462213641051</v>
      </c>
      <c r="K241" s="9" t="n">
        <v>1632613.452325806</v>
      </c>
      <c r="L241" s="18" t="n">
        <v>2374365.113911877</v>
      </c>
      <c r="M241" s="18" t="n">
        <v>2359821.055034459</v>
      </c>
      <c r="N241" s="23">
        <f>IF(L241=0,"",M241/L241)</f>
        <v/>
      </c>
      <c r="O241" s="9" t="n">
        <v>2145545.137589933</v>
      </c>
      <c r="P241" s="22">
        <f>M241*G241*(1+H241+I241)</f>
        <v/>
      </c>
      <c r="Q241" s="9" t="n">
        <v>1455200.70832576</v>
      </c>
      <c r="R241" s="22">
        <f>P241-M241*G241*J241</f>
        <v/>
      </c>
      <c r="S241" s="22">
        <f>IF(A241=A240,O241-O240,"")</f>
        <v/>
      </c>
      <c r="T241" s="22">
        <f>IF(A241=A240,P241-P240,"")</f>
        <v/>
      </c>
      <c r="U241" s="22">
        <f>IF(A241=A240,Q241-Q240,"")</f>
        <v/>
      </c>
      <c r="V241" s="22">
        <f>IF(A241=A240,R241-R240,"")</f>
        <v/>
      </c>
      <c r="W241" s="22">
        <f>IF(S241="","",D241-S241)</f>
        <v/>
      </c>
      <c r="X241" s="22">
        <f>IF(T241="","",D241-T241)</f>
        <v/>
      </c>
      <c r="Y241" s="22">
        <f>IF(U241="","",F241-U241)</f>
        <v/>
      </c>
      <c r="Z241" s="22">
        <f>IF(V241="","",F241-V241)</f>
        <v/>
      </c>
      <c r="AA241" s="9" t="n">
        <v>2021764.611043412</v>
      </c>
      <c r="AB241" s="9" t="n">
        <v>1699001.734640546</v>
      </c>
      <c r="AC241" s="9" t="n">
        <v>76222.71136167995</v>
      </c>
      <c r="AD241" s="9" t="n">
        <v>148515.7360210139</v>
      </c>
      <c r="AE241" s="9" t="n">
        <v>89063.85570367784</v>
      </c>
      <c r="AF241" s="9" t="n">
        <v>2035331.022348393</v>
      </c>
      <c r="AG241" s="9" t="n">
        <v>357442.597578877</v>
      </c>
      <c r="AH241" s="9" t="n">
        <v>356765.5179535648</v>
      </c>
      <c r="AI241" s="9" t="n">
        <v>411559.9613763358</v>
      </c>
      <c r="AJ241" s="9" t="n">
        <v>404372.7220168981</v>
      </c>
      <c r="AK241" s="9" t="n">
        <v>403361.2197370791</v>
      </c>
      <c r="AL241" s="9" t="n">
        <v>363335.5431396597</v>
      </c>
      <c r="AM241" s="9" t="n">
        <v>203053.2065251838</v>
      </c>
      <c r="AN241" s="9" t="n">
        <v>194465.3957230055</v>
      </c>
      <c r="AO241" s="9" t="n">
        <v>192378.89153703</v>
      </c>
      <c r="AP241" s="9" t="n">
        <v>189120.7901534356</v>
      </c>
      <c r="AQ241" s="9" t="n">
        <v>186912.8288167367</v>
      </c>
      <c r="AR241" s="9" t="n">
        <v>207554.7829920541</v>
      </c>
    </row>
    <row r="242">
      <c r="A242" s="4" t="inlineStr">
        <is>
          <t>Credito</t>
        </is>
      </c>
      <c r="B242" s="5" t="n">
        <v>202403</v>
      </c>
      <c r="C242" s="5" t="n">
        <v>2024</v>
      </c>
      <c r="D242" s="6" t="n">
        <v>142311.4555650838</v>
      </c>
      <c r="E242" s="11" t="n">
        <v>0.5417203655933656</v>
      </c>
      <c r="F242" s="22">
        <f>D242*(1-E242)</f>
        <v/>
      </c>
      <c r="G242" s="11" t="n">
        <v>0.6876</v>
      </c>
      <c r="H242" s="11" t="n">
        <v>0.2705061081344499</v>
      </c>
      <c r="I242" s="11" t="n">
        <v>0.03878536924792587</v>
      </c>
      <c r="J242" s="11" t="n">
        <v>0.4504797804614407</v>
      </c>
      <c r="K242" s="6" t="n">
        <v>1410244.377358491</v>
      </c>
      <c r="L242" s="18" t="n">
        <v>2050966.226524856</v>
      </c>
      <c r="M242" s="18" t="n">
        <v>2075818.52784876</v>
      </c>
      <c r="N242" s="23">
        <f>IF(L242=0,"",M242/L242)</f>
        <v/>
      </c>
      <c r="O242" s="6" t="n">
        <v>1846420.944301887</v>
      </c>
      <c r="P242" s="22">
        <f>M242*G242*(1+H242+I242)</f>
        <v/>
      </c>
      <c r="Q242" s="6" t="n">
        <v>1211134.366792453</v>
      </c>
      <c r="R242" s="22">
        <f>P242-M242*G242*J242</f>
        <v/>
      </c>
      <c r="S242" s="22">
        <f>IF(A242=A241,O242-O241,"")</f>
        <v/>
      </c>
      <c r="T242" s="22">
        <f>IF(A242=A241,P242-P241,"")</f>
        <v/>
      </c>
      <c r="U242" s="22">
        <f>IF(A242=A241,Q242-Q241,"")</f>
        <v/>
      </c>
      <c r="V242" s="22">
        <f>IF(A242=A241,R242-R241,"")</f>
        <v/>
      </c>
      <c r="W242" s="22">
        <f>IF(S242="","",D242-S242)</f>
        <v/>
      </c>
      <c r="X242" s="22">
        <f>IF(T242="","",D242-T242)</f>
        <v/>
      </c>
      <c r="Y242" s="22">
        <f>IF(U242="","",F242-U242)</f>
        <v/>
      </c>
      <c r="Z242" s="22">
        <f>IF(V242="","",F242-V242)</f>
        <v/>
      </c>
      <c r="AA242" s="6" t="n">
        <v>1767178.154304593</v>
      </c>
      <c r="AB242" s="6" t="n">
        <v>1482068.716522987</v>
      </c>
      <c r="AC242" s="6" t="n">
        <v>67976.81233961732</v>
      </c>
      <c r="AD242" s="6" t="n">
        <v>207596.637659649</v>
      </c>
      <c r="AE242" s="6" t="n">
        <v>153349.6829135045</v>
      </c>
      <c r="AF242" s="6" t="n">
        <v>1847632.068760077</v>
      </c>
      <c r="AG242" s="6" t="n">
        <v>378301.1672468991</v>
      </c>
      <c r="AH242" s="6" t="n">
        <v>343318.413969144</v>
      </c>
      <c r="AI242" s="6" t="n">
        <v>149991.1022346927</v>
      </c>
      <c r="AJ242" s="6" t="n">
        <v>89621.79935237055</v>
      </c>
      <c r="AK242" s="6" t="n">
        <v>84736.19902239452</v>
      </c>
      <c r="AL242" s="6" t="n">
        <v>318130.0191037201</v>
      </c>
      <c r="AM242" s="6" t="n">
        <v>260765.2410051372</v>
      </c>
      <c r="AN242" s="6" t="n">
        <v>231312.8722291068</v>
      </c>
      <c r="AO242" s="6" t="n">
        <v>71792.21730449502</v>
      </c>
      <c r="AP242" s="6" t="n">
        <v>33651.01184542803</v>
      </c>
      <c r="AQ242" s="6" t="n">
        <v>29248.00129291684</v>
      </c>
      <c r="AR242" s="6" t="n">
        <v>221570.2632223832</v>
      </c>
    </row>
    <row r="243">
      <c r="A243" t="inlineStr">
        <is>
          <t>Credito</t>
        </is>
      </c>
      <c r="B243" s="8" t="n">
        <v>202404</v>
      </c>
      <c r="C243" s="8" t="n">
        <v>2024</v>
      </c>
      <c r="D243" s="9" t="n">
        <v>461004.0746082164</v>
      </c>
      <c r="E243" s="10" t="n">
        <v>0.5417203655933656</v>
      </c>
      <c r="F243" s="22">
        <f>D243*(1-E243)</f>
        <v/>
      </c>
      <c r="G243" s="10" t="n">
        <v>0.6876</v>
      </c>
      <c r="H243" s="10" t="n">
        <v>0.2705061069248116</v>
      </c>
      <c r="I243" s="10" t="n">
        <v>0.04194166676446701</v>
      </c>
      <c r="J243" s="10" t="n">
        <v>0.4028984359531707</v>
      </c>
      <c r="K243" s="9" t="n">
        <v>1439596.193100871</v>
      </c>
      <c r="L243" s="18" t="n">
        <v>2093653.567627794</v>
      </c>
      <c r="M243" s="18" t="n">
        <v>2131914.711099606</v>
      </c>
      <c r="N243" s="23">
        <f>IF(L243=0,"",M243/L243)</f>
        <v/>
      </c>
      <c r="O243" s="9" t="n">
        <v>1889394.818646799</v>
      </c>
      <c r="P243" s="22">
        <f>M243*G243*(1+H243+I243)</f>
        <v/>
      </c>
      <c r="Q243" s="9" t="n">
        <v>1309383.764042319</v>
      </c>
      <c r="R243" s="22">
        <f>P243-M243*G243*J243</f>
        <v/>
      </c>
      <c r="S243" s="22">
        <f>IF(A243=A242,O243-O242,"")</f>
        <v/>
      </c>
      <c r="T243" s="22">
        <f>IF(A243=A242,P243-P242,"")</f>
        <v/>
      </c>
      <c r="U243" s="22">
        <f>IF(A243=A242,Q243-Q242,"")</f>
        <v/>
      </c>
      <c r="V243" s="22">
        <f>IF(A243=A242,R243-R242,"")</f>
        <v/>
      </c>
      <c r="W243" s="22">
        <f>IF(S243="","",D243-S243)</f>
        <v/>
      </c>
      <c r="X243" s="22">
        <f>IF(T243="","",D243-T243)</f>
        <v/>
      </c>
      <c r="Y243" s="22">
        <f>IF(U243="","",F243-U243)</f>
        <v/>
      </c>
      <c r="Z243" s="22">
        <f>IF(V243="","",F243-V243)</f>
        <v/>
      </c>
      <c r="AA243" s="9" t="n">
        <v>1838499.175000275</v>
      </c>
      <c r="AB243" s="9" t="n">
        <v>1541613.385216588</v>
      </c>
      <c r="AC243" s="9" t="n">
        <v>61605.20317455029</v>
      </c>
      <c r="AD243" s="9" t="n">
        <v>354251.7367608735</v>
      </c>
      <c r="AE243" s="9" t="n">
        <v>302590.4176118406</v>
      </c>
      <c r="AF243" s="9" t="n">
        <v>1976467.925512074</v>
      </c>
      <c r="AG243" s="9" t="n">
        <v>392805.9450838809</v>
      </c>
      <c r="AH243" s="9" t="n">
        <v>404052.149730146</v>
      </c>
      <c r="AI243" s="9" t="n">
        <v>466606.535788112</v>
      </c>
      <c r="AJ243" s="9" t="n">
        <v>328206.2399324919</v>
      </c>
      <c r="AK243" s="9" t="n">
        <v>325990.5918019683</v>
      </c>
      <c r="AL243" s="9" t="n">
        <v>340727.7021545042</v>
      </c>
      <c r="AM243" s="9" t="n">
        <v>105012.2746845741</v>
      </c>
      <c r="AN243" s="9" t="n">
        <v>122323.9478504036</v>
      </c>
      <c r="AO243" s="9" t="n">
        <v>212882.1013955076</v>
      </c>
      <c r="AP243" s="9" t="n">
        <v>112307.3157895633</v>
      </c>
      <c r="AQ243" s="9" t="n">
        <v>112582.7679096691</v>
      </c>
      <c r="AR243" s="9" t="n">
        <v>66235.33200683666</v>
      </c>
    </row>
    <row r="244">
      <c r="A244" s="4" t="inlineStr">
        <is>
          <t>Credito</t>
        </is>
      </c>
      <c r="B244" s="5" t="n">
        <v>202405</v>
      </c>
      <c r="C244" s="5" t="n">
        <v>2024</v>
      </c>
      <c r="D244" s="6" t="n">
        <v>602450.4153969485</v>
      </c>
      <c r="E244" s="11" t="n">
        <v>0.5417203655933656</v>
      </c>
      <c r="F244" s="22">
        <f>D244*(1-E244)</f>
        <v/>
      </c>
      <c r="G244" s="11" t="n">
        <v>0.6876</v>
      </c>
      <c r="H244" s="11" t="n">
        <v>0.2705061083214066</v>
      </c>
      <c r="I244" s="11" t="n">
        <v>0.04068256087481837</v>
      </c>
      <c r="J244" s="11" t="n">
        <v>0.4121878268590459</v>
      </c>
      <c r="K244" s="6" t="n">
        <v>1556213.143998774</v>
      </c>
      <c r="L244" s="18" t="n">
        <v>2263253.554390306</v>
      </c>
      <c r="M244" s="18" t="n">
        <v>2389770.343450775</v>
      </c>
      <c r="N244" s="23">
        <f>IF(L244=0,"",M244/L244)</f>
        <v/>
      </c>
      <c r="O244" s="6" t="n">
        <v>2040489.041265426</v>
      </c>
      <c r="P244" s="22">
        <f>M244*G244*(1+H244+I244)</f>
        <v/>
      </c>
      <c r="Q244" s="6" t="n">
        <v>1399036.927311088</v>
      </c>
      <c r="R244" s="22">
        <f>P244-M244*G244*J244</f>
        <v/>
      </c>
      <c r="S244" s="22">
        <f>IF(A244=A243,O244-O243,"")</f>
        <v/>
      </c>
      <c r="T244" s="22">
        <f>IF(A244=A243,P244-P243,"")</f>
        <v/>
      </c>
      <c r="U244" s="22">
        <f>IF(A244=A243,Q244-Q243,"")</f>
        <v/>
      </c>
      <c r="V244" s="22">
        <f>IF(A244=A243,R244-R243,"")</f>
        <v/>
      </c>
      <c r="W244" s="22">
        <f>IF(S244="","",D244-S244)</f>
        <v/>
      </c>
      <c r="X244" s="22">
        <f>IF(T244="","",D244-T244)</f>
        <v/>
      </c>
      <c r="Y244" s="22">
        <f>IF(U244="","",F244-U244)</f>
        <v/>
      </c>
      <c r="Z244" s="22">
        <f>IF(V244="","",F244-V244)</f>
        <v/>
      </c>
      <c r="AA244" s="6" t="n">
        <v>2060978.997702674</v>
      </c>
      <c r="AB244" s="6" t="n">
        <v>1745632.509688766</v>
      </c>
      <c r="AC244" s="6" t="n">
        <v>48044.93565162562</v>
      </c>
      <c r="AD244" s="6" t="n">
        <v>308655.0519899933</v>
      </c>
      <c r="AE244" s="6" t="n">
        <v>251817.666661682</v>
      </c>
      <c r="AF244" s="6" t="n">
        <v>2208878.401471569</v>
      </c>
      <c r="AG244" s="6" t="n">
        <v>403460.240525629</v>
      </c>
      <c r="AH244" s="6" t="n">
        <v>419846.8817681797</v>
      </c>
      <c r="AI244" s="6" t="n">
        <v>614729.3262649657</v>
      </c>
      <c r="AJ244" s="6" t="n">
        <v>643865.8673464047</v>
      </c>
      <c r="AK244" s="6" t="n">
        <v>648487.7442459151</v>
      </c>
      <c r="AL244" s="6" t="n">
        <v>394626.4762699424</v>
      </c>
      <c r="AM244" s="6" t="n">
        <v>151899.0928036558</v>
      </c>
      <c r="AN244" s="6" t="n">
        <v>161157.2726013408</v>
      </c>
      <c r="AO244" s="6" t="n">
        <v>284919.9073824201</v>
      </c>
      <c r="AP244" s="6" t="n">
        <v>306845.9220163827</v>
      </c>
      <c r="AQ244" s="6" t="n">
        <v>309670.8156843746</v>
      </c>
      <c r="AR244" s="6" t="n">
        <v>146761.1373205957</v>
      </c>
    </row>
    <row r="245">
      <c r="A245" t="inlineStr">
        <is>
          <t>Credito</t>
        </is>
      </c>
      <c r="B245" s="8" t="n">
        <v>202406</v>
      </c>
      <c r="C245" s="8" t="n">
        <v>2024</v>
      </c>
      <c r="D245" s="9" t="n">
        <v>251554.0750971607</v>
      </c>
      <c r="E245" s="10" t="n">
        <v>0.5417203655933656</v>
      </c>
      <c r="F245" s="22">
        <f>D245*(1-E245)</f>
        <v/>
      </c>
      <c r="G245" s="10" t="n">
        <v>0.6876</v>
      </c>
      <c r="H245" s="10" t="n">
        <v>0.2705061081714105</v>
      </c>
      <c r="I245" s="10" t="n">
        <v>0.034212481870677</v>
      </c>
      <c r="J245" s="10" t="n">
        <v>0.3630464747843739</v>
      </c>
      <c r="K245" s="9" t="n">
        <v>1414684.048079973</v>
      </c>
      <c r="L245" s="18" t="n">
        <v>2057422.990226837</v>
      </c>
      <c r="M245" s="18" t="n">
        <v>2261633.730650723</v>
      </c>
      <c r="N245" s="23">
        <f>IF(L245=0,"",M245/L245)</f>
        <v/>
      </c>
      <c r="O245" s="9" t="n">
        <v>1845764.576565935</v>
      </c>
      <c r="P245" s="22">
        <f>M245*G245*(1+H245+I245)</f>
        <v/>
      </c>
      <c r="Q245" s="9" t="n">
        <v>1332168.519976813</v>
      </c>
      <c r="R245" s="22">
        <f>P245-M245*G245*J245</f>
        <v/>
      </c>
      <c r="S245" s="22">
        <f>IF(A245=A244,O245-O244,"")</f>
        <v/>
      </c>
      <c r="T245" s="22">
        <f>IF(A245=A244,P245-P244,"")</f>
        <v/>
      </c>
      <c r="U245" s="22">
        <f>IF(A245=A244,Q245-Q244,"")</f>
        <v/>
      </c>
      <c r="V245" s="22">
        <f>IF(A245=A244,R245-R244,"")</f>
        <v/>
      </c>
      <c r="W245" s="22">
        <f>IF(S245="","",D245-S245)</f>
        <v/>
      </c>
      <c r="X245" s="22">
        <f>IF(T245="","",D245-T245)</f>
        <v/>
      </c>
      <c r="Y245" s="22">
        <f>IF(U245="","",F245-U245)</f>
        <v/>
      </c>
      <c r="Z245" s="22">
        <f>IF(V245="","",F245-V245)</f>
        <v/>
      </c>
      <c r="AA245" s="9" t="n">
        <v>1957154.890574093</v>
      </c>
      <c r="AB245" s="9" t="n">
        <v>1676076.592581162</v>
      </c>
      <c r="AC245" s="9" t="n">
        <v>39869.38902162341</v>
      </c>
      <c r="AD245" s="9" t="n">
        <v>255152.0848627814</v>
      </c>
      <c r="AE245" s="9" t="n">
        <v>198108.267352282</v>
      </c>
      <c r="AF245" s="9" t="n">
        <v>2110343.567295446</v>
      </c>
      <c r="AG245" s="9" t="n">
        <v>353866.1633829438</v>
      </c>
      <c r="AH245" s="9" t="n">
        <v>321720.4086690115</v>
      </c>
      <c r="AI245" s="9" t="n">
        <v>259102.3018797537</v>
      </c>
      <c r="AJ245" s="9" t="n">
        <v>300926.0506160571</v>
      </c>
      <c r="AK245" s="9" t="n">
        <v>300858.3863229501</v>
      </c>
      <c r="AL245" s="9" t="n">
        <v>349779.005792748</v>
      </c>
      <c r="AM245" s="9" t="n">
        <v>122036.8645659915</v>
      </c>
      <c r="AN245" s="9" t="n">
        <v>109100.9337363315</v>
      </c>
      <c r="AO245" s="9" t="n">
        <v>119166.0496107888</v>
      </c>
      <c r="AP245" s="9" t="n">
        <v>140868.7701563691</v>
      </c>
      <c r="AQ245" s="9" t="n">
        <v>142670.0861979961</v>
      </c>
      <c r="AR245" s="9" t="n">
        <v>114272.6114221017</v>
      </c>
    </row>
    <row r="246">
      <c r="A246" s="4" t="inlineStr">
        <is>
          <t>Credito</t>
        </is>
      </c>
      <c r="B246" s="5" t="n">
        <v>202407</v>
      </c>
      <c r="C246" s="5" t="n">
        <v>2024</v>
      </c>
      <c r="D246" s="6" t="n">
        <v>1529320.086764062</v>
      </c>
      <c r="E246" s="11" t="n">
        <v>0.5417203655933656</v>
      </c>
      <c r="F246" s="22">
        <f>D246*(1-E246)</f>
        <v/>
      </c>
      <c r="G246" s="11" t="n">
        <v>0.6876</v>
      </c>
      <c r="H246" s="11" t="n">
        <v>0.2705061082717816</v>
      </c>
      <c r="I246" s="11" t="n">
        <v>0.02325021454730466</v>
      </c>
      <c r="J246" s="11" t="n">
        <v>0.5307327220733138</v>
      </c>
      <c r="K246" s="6" t="n">
        <v>2823312.497316445</v>
      </c>
      <c r="L246" s="18" t="n">
        <v>4106039.11767953</v>
      </c>
      <c r="M246" s="18" t="n">
        <v>3436004.364125382</v>
      </c>
      <c r="N246" s="23">
        <f>IF(L246=0,"",M246/L246)</f>
        <v/>
      </c>
      <c r="O246" s="6" t="n">
        <v>3652678.394697295</v>
      </c>
      <c r="P246" s="22">
        <f>M246*G246*(1+H246+I246)</f>
        <v/>
      </c>
      <c r="Q246" s="6" t="n">
        <v>2154254.067732933</v>
      </c>
      <c r="R246" s="22">
        <f>P246-M246*G246*J246</f>
        <v/>
      </c>
      <c r="S246" s="22">
        <f>IF(A246=A245,O246-O245,"")</f>
        <v/>
      </c>
      <c r="T246" s="22">
        <f>IF(A246=A245,P246-P245,"")</f>
        <v/>
      </c>
      <c r="U246" s="22">
        <f>IF(A246=A245,Q246-Q245,"")</f>
        <v/>
      </c>
      <c r="V246" s="22">
        <f>IF(A246=A245,R246-R245,"")</f>
        <v/>
      </c>
      <c r="W246" s="22">
        <f>IF(S246="","",D246-S246)</f>
        <v/>
      </c>
      <c r="X246" s="22">
        <f>IF(T246="","",D246-T246)</f>
        <v/>
      </c>
      <c r="Y246" s="22">
        <f>IF(U246="","",F246-U246)</f>
        <v/>
      </c>
      <c r="Z246" s="22">
        <f>IF(V246="","",F246-V246)</f>
        <v/>
      </c>
      <c r="AA246" s="6" t="n">
        <v>3111576.637924375</v>
      </c>
      <c r="AB246" s="6" t="n">
        <v>2734906.163626191</v>
      </c>
      <c r="AC246" s="6" t="n">
        <v>44784.62312183956</v>
      </c>
      <c r="AD246" s="6" t="n">
        <v>315741.0208109331</v>
      </c>
      <c r="AE246" s="6" t="n">
        <v>242386.9075047683</v>
      </c>
      <c r="AF246" s="6" t="n">
        <v>3227688.346587404</v>
      </c>
      <c r="AG246" s="6" t="n">
        <v>517114.0420062507</v>
      </c>
      <c r="AH246" s="6" t="n">
        <v>600032.9135559297</v>
      </c>
      <c r="AI246" s="6" t="n">
        <v>1525248.080852995</v>
      </c>
      <c r="AJ246" s="6" t="n">
        <v>1477344.214609865</v>
      </c>
      <c r="AK246" s="6" t="n">
        <v>1491423.662616672</v>
      </c>
      <c r="AL246" s="6" t="n">
        <v>551251.9085249538</v>
      </c>
      <c r="AM246" s="6" t="n">
        <v>335597.4750375273</v>
      </c>
      <c r="AN246" s="6" t="n">
        <v>351223.0930157288</v>
      </c>
      <c r="AO246" s="6" t="n">
        <v>703174.9526270269</v>
      </c>
      <c r="AP246" s="6" t="n">
        <v>700410.5155214503</v>
      </c>
      <c r="AQ246" s="6" t="n">
        <v>701960.6047709282</v>
      </c>
      <c r="AR246" s="6" t="n">
        <v>373867.5934967797</v>
      </c>
    </row>
    <row r="247">
      <c r="A247" t="inlineStr">
        <is>
          <t>Credito</t>
        </is>
      </c>
      <c r="B247" s="8" t="n">
        <v>202408</v>
      </c>
      <c r="C247" s="8" t="n">
        <v>2024</v>
      </c>
      <c r="D247" s="9" t="n">
        <v>347965.8646289087</v>
      </c>
      <c r="E247" s="10" t="n">
        <v>0.5417203655933656</v>
      </c>
      <c r="F247" s="22">
        <f>D247*(1-E247)</f>
        <v/>
      </c>
      <c r="G247" s="10" t="n">
        <v>0.6876</v>
      </c>
      <c r="H247" s="10" t="n">
        <v>0.2705061081357138</v>
      </c>
      <c r="I247" s="10" t="n">
        <v>0.02390665123206378</v>
      </c>
      <c r="J247" s="10" t="n">
        <v>0.5402488618448851</v>
      </c>
      <c r="K247" s="9" t="n">
        <v>2747717.178356266</v>
      </c>
      <c r="L247" s="18" t="n">
        <v>3996098.281495442</v>
      </c>
      <c r="M247" s="18" t="n">
        <v>3443844.594283837</v>
      </c>
      <c r="N247" s="23">
        <f>IF(L247=0,"",M247/L247)</f>
        <v/>
      </c>
      <c r="O247" s="9" t="n">
        <v>3556680.174798378</v>
      </c>
      <c r="P247" s="22">
        <f>M247*G247*(1+H247+I247)</f>
        <v/>
      </c>
      <c r="Q247" s="9" t="n">
        <v>2072229.096519766</v>
      </c>
      <c r="R247" s="22">
        <f>P247-M247*G247*J247</f>
        <v/>
      </c>
      <c r="S247" s="22">
        <f>IF(A247=A246,O247-O246,"")</f>
        <v/>
      </c>
      <c r="T247" s="22">
        <f>IF(A247=A246,P247-P246,"")</f>
        <v/>
      </c>
      <c r="U247" s="22">
        <f>IF(A247=A246,Q247-Q246,"")</f>
        <v/>
      </c>
      <c r="V247" s="22">
        <f>IF(A247=A246,R247-R246,"")</f>
        <v/>
      </c>
      <c r="W247" s="22">
        <f>IF(S247="","",D247-S247)</f>
        <v/>
      </c>
      <c r="X247" s="22">
        <f>IF(T247="","",D247-T247)</f>
        <v/>
      </c>
      <c r="Y247" s="22">
        <f>IF(U247="","",F247-U247)</f>
        <v/>
      </c>
      <c r="Z247" s="22">
        <f>IF(V247="","",F247-V247)</f>
        <v/>
      </c>
      <c r="AA247" s="9" t="n">
        <v>3041288.826930481</v>
      </c>
      <c r="AB247" s="9" t="n">
        <v>2641031.572734603</v>
      </c>
      <c r="AC247" s="9" t="n">
        <v>36813.01737010118</v>
      </c>
      <c r="AD247" s="9" t="n">
        <v>225507.5929496344</v>
      </c>
      <c r="AE247" s="9" t="n">
        <v>143187.9806874825</v>
      </c>
      <c r="AF247" s="9" t="n">
        <v>3133630.064763363</v>
      </c>
      <c r="AG247" s="9" t="n">
        <v>409120.2431577552</v>
      </c>
      <c r="AH247" s="9" t="n">
        <v>430283.3947553719</v>
      </c>
      <c r="AI247" s="9" t="n">
        <v>355040.6841237081</v>
      </c>
      <c r="AJ247" s="9" t="n">
        <v>428134.5488569819</v>
      </c>
      <c r="AK247" s="9" t="n">
        <v>436147.2950653814</v>
      </c>
      <c r="AL247" s="9" t="n">
        <v>430224.4616948106</v>
      </c>
      <c r="AM247" s="9" t="n">
        <v>214869.8471957807</v>
      </c>
      <c r="AN247" s="9" t="n">
        <v>224806.4299109623</v>
      </c>
      <c r="AO247" s="9" t="n">
        <v>163872.2746621733</v>
      </c>
      <c r="AP247" s="9" t="n">
        <v>208180.8677450643</v>
      </c>
      <c r="AQ247" s="9" t="n">
        <v>212383.1763748079</v>
      </c>
      <c r="AR247" s="9" t="n">
        <v>227903.6807674892</v>
      </c>
    </row>
    <row r="248">
      <c r="A248" s="4" t="inlineStr">
        <is>
          <t>Credito</t>
        </is>
      </c>
      <c r="B248" s="5" t="n">
        <v>202409</v>
      </c>
      <c r="C248" s="5" t="n">
        <v>2024</v>
      </c>
      <c r="D248" s="6" t="n">
        <v>77913.89255097223</v>
      </c>
      <c r="E248" s="11" t="n">
        <v>0.5417203655933656</v>
      </c>
      <c r="F248" s="22">
        <f>D248*(1-E248)</f>
        <v/>
      </c>
      <c r="G248" s="11" t="n">
        <v>0.6876</v>
      </c>
      <c r="H248" s="11" t="n">
        <v>0.2705054600299004</v>
      </c>
      <c r="I248" s="11" t="n">
        <v>0.02536155508827985</v>
      </c>
      <c r="J248" s="11" t="n">
        <v>0.5327322990743923</v>
      </c>
      <c r="K248" s="6" t="n">
        <v>2478096.45695482</v>
      </c>
      <c r="L248" s="18" t="n">
        <v>3603979.722156516</v>
      </c>
      <c r="M248" s="18" t="n">
        <v>3091651.160412223</v>
      </c>
      <c r="N248" s="23">
        <f>IF(L248=0,"",M248/L248)</f>
        <v/>
      </c>
      <c r="O248" s="6" t="n">
        <v>3211283.45884898</v>
      </c>
      <c r="P248" s="22">
        <f>M248*G248*(1+H248+I248)</f>
        <v/>
      </c>
      <c r="Q248" s="6" t="n">
        <v>1891121.436007333</v>
      </c>
      <c r="R248" s="22">
        <f>P248-M248*G248*J248</f>
        <v/>
      </c>
      <c r="S248" s="22">
        <f>IF(A248=A247,O248-O247,"")</f>
        <v/>
      </c>
      <c r="T248" s="22">
        <f>IF(A248=A247,P248-P247,"")</f>
        <v/>
      </c>
      <c r="U248" s="22">
        <f>IF(A248=A247,Q248-Q247,"")</f>
        <v/>
      </c>
      <c r="V248" s="22">
        <f>IF(A248=A247,R248-R247,"")</f>
        <v/>
      </c>
      <c r="W248" s="22">
        <f>IF(S248="","",D248-S248)</f>
        <v/>
      </c>
      <c r="X248" s="22">
        <f>IF(T248="","",D248-T248)</f>
        <v/>
      </c>
      <c r="Y248" s="22">
        <f>IF(U248="","",F248-U248)</f>
        <v/>
      </c>
      <c r="Z248" s="22">
        <f>IF(V248="","",F248-V248)</f>
        <v/>
      </c>
      <c r="AA248" s="6" t="n">
        <v>2679177.432168773</v>
      </c>
      <c r="AB248" s="6" t="n">
        <v>2294050.12905365</v>
      </c>
      <c r="AC248" s="6" t="n">
        <v>24818.04419194043</v>
      </c>
      <c r="AD248" s="6" t="n">
        <v>130838.3990596503</v>
      </c>
      <c r="AE248" s="6" t="n">
        <v>46749.03249167177</v>
      </c>
      <c r="AF248" s="6" t="n">
        <v>2770911.171597232</v>
      </c>
      <c r="AG248" s="6" t="n">
        <v>397527.8379381666</v>
      </c>
      <c r="AH248" s="6" t="n">
        <v>384446.7099143641</v>
      </c>
      <c r="AI248" s="6" t="n">
        <v>88565.0603372183</v>
      </c>
      <c r="AJ248" s="6" t="n">
        <v>162042.2613722573</v>
      </c>
      <c r="AK248" s="6" t="n">
        <v>163701.4951797671</v>
      </c>
      <c r="AL248" s="6" t="n">
        <v>397976.8059235424</v>
      </c>
      <c r="AM248" s="6" t="n">
        <v>206957.8927047378</v>
      </c>
      <c r="AN248" s="6" t="n">
        <v>201487.6525829291</v>
      </c>
      <c r="AO248" s="6" t="n">
        <v>41773.41461437401</v>
      </c>
      <c r="AP248" s="6" t="n">
        <v>83991.24541482882</v>
      </c>
      <c r="AQ248" s="6" t="n">
        <v>85427.6660540755</v>
      </c>
      <c r="AR248" s="6" t="n">
        <v>206707.0745394886</v>
      </c>
    </row>
    <row r="249">
      <c r="A249" t="inlineStr">
        <is>
          <t>Credito</t>
        </is>
      </c>
      <c r="B249" s="8" t="n">
        <v>202410</v>
      </c>
      <c r="C249" s="8" t="n">
        <v>2024</v>
      </c>
      <c r="D249" s="9" t="n">
        <v>958570.038794697</v>
      </c>
      <c r="E249" s="10" t="n">
        <v>0.5417203655933656</v>
      </c>
      <c r="F249" s="22">
        <f>D249*(1-E249)</f>
        <v/>
      </c>
      <c r="G249" s="10" t="n">
        <v>0.6876</v>
      </c>
      <c r="H249" s="10" t="n">
        <v>0.2705065022140821</v>
      </c>
      <c r="I249" s="10" t="n">
        <v>0.02362451629587232</v>
      </c>
      <c r="J249" s="10" t="n">
        <v>0.5869398814215186</v>
      </c>
      <c r="K249" s="9" t="n">
        <v>2762401.027440045</v>
      </c>
      <c r="L249" s="18" t="n">
        <v>4017453.501221706</v>
      </c>
      <c r="M249" s="18" t="n">
        <v>3614870.326466278</v>
      </c>
      <c r="N249" s="23">
        <f>IF(L249=0,"",M249/L249)</f>
        <v/>
      </c>
      <c r="O249" s="9" t="n">
        <v>3574908.85517393</v>
      </c>
      <c r="P249" s="22">
        <f>M249*G249*(1+H249+I249)</f>
        <v/>
      </c>
      <c r="Q249" s="9" t="n">
        <v>1953545.523689589</v>
      </c>
      <c r="R249" s="22">
        <f>P249-M249*G249*J249</f>
        <v/>
      </c>
      <c r="S249" s="22">
        <f>IF(A249=A248,O249-O248,"")</f>
        <v/>
      </c>
      <c r="T249" s="22">
        <f>IF(A249=A248,P249-P248,"")</f>
        <v/>
      </c>
      <c r="U249" s="22">
        <f>IF(A249=A248,Q249-Q248,"")</f>
        <v/>
      </c>
      <c r="V249" s="22">
        <f>IF(A249=A248,R249-R248,"")</f>
        <v/>
      </c>
      <c r="W249" s="22">
        <f>IF(S249="","",D249-S249)</f>
        <v/>
      </c>
      <c r="X249" s="22">
        <f>IF(T249="","",D249-T249)</f>
        <v/>
      </c>
      <c r="Y249" s="22">
        <f>IF(U249="","",F249-U249)</f>
        <v/>
      </c>
      <c r="Z249" s="22">
        <f>IF(V249="","",F249-V249)</f>
        <v/>
      </c>
      <c r="AA249" s="9" t="n">
        <v>3197315.388198722</v>
      </c>
      <c r="AB249" s="9" t="n">
        <v>2772967.041610303</v>
      </c>
      <c r="AC249" s="9" t="n">
        <v>-29313.08990654466</v>
      </c>
      <c r="AD249" s="9" t="n">
        <v>129922.9228247644</v>
      </c>
      <c r="AE249" s="9" t="n">
        <v>24896.03592525574</v>
      </c>
      <c r="AF249" s="9" t="n">
        <v>3254622.235635222</v>
      </c>
      <c r="AG249" s="9" t="n">
        <v>500705.8915503595</v>
      </c>
      <c r="AH249" s="9" t="n">
        <v>535146.8055153443</v>
      </c>
      <c r="AI249" s="9" t="n">
        <v>1006767.954705423</v>
      </c>
      <c r="AJ249" s="9" t="n">
        <v>959540.8483141896</v>
      </c>
      <c r="AK249" s="9" t="n">
        <v>978071.6103196444</v>
      </c>
      <c r="AL249" s="9" t="n">
        <v>531449.9715686932</v>
      </c>
      <c r="AM249" s="9" t="n">
        <v>290400.3631463017</v>
      </c>
      <c r="AN249" s="9" t="n">
        <v>294657.5523501368</v>
      </c>
      <c r="AO249" s="9" t="n">
        <v>466569.8534655485</v>
      </c>
      <c r="AP249" s="9" t="n">
        <v>444771.2258095377</v>
      </c>
      <c r="AQ249" s="9" t="n">
        <v>451717.7520429586</v>
      </c>
      <c r="AR249" s="9" t="n">
        <v>310669.6467567602</v>
      </c>
    </row>
    <row r="250">
      <c r="A250" s="4" t="inlineStr">
        <is>
          <t>Credito</t>
        </is>
      </c>
      <c r="B250" s="5" t="n">
        <v>202411</v>
      </c>
      <c r="C250" s="5" t="n">
        <v>2024</v>
      </c>
      <c r="D250" s="6" t="n">
        <v>192437.9509758264</v>
      </c>
      <c r="E250" s="11" t="n">
        <v>0.5417203655933656</v>
      </c>
      <c r="F250" s="22">
        <f>D250*(1-E250)</f>
        <v/>
      </c>
      <c r="G250" s="11" t="n">
        <v>0.6876</v>
      </c>
      <c r="H250" s="11" t="n">
        <v>0.2705060632581706</v>
      </c>
      <c r="I250" s="11" t="n">
        <v>0.02402189975116201</v>
      </c>
      <c r="J250" s="11" t="n">
        <v>0.5609135858756988</v>
      </c>
      <c r="K250" s="6" t="n">
        <v>2478198.222591117</v>
      </c>
      <c r="L250" s="18" t="n">
        <v>3604127.72337277</v>
      </c>
      <c r="M250" s="18" t="n">
        <v>3362291.022299707</v>
      </c>
      <c r="N250" s="23">
        <f>IF(L250=0,"",M250/L250)</f>
        <v/>
      </c>
      <c r="O250" s="6" t="n">
        <v>3208096.897024228</v>
      </c>
      <c r="P250" s="22">
        <f>M250*G250*(1+H250+I250)</f>
        <v/>
      </c>
      <c r="Q250" s="6" t="n">
        <v>1818041.845479861</v>
      </c>
      <c r="R250" s="22">
        <f>P250-M250*G250*J250</f>
        <v/>
      </c>
      <c r="S250" s="22">
        <f>IF(A250=A249,O250-O249,"")</f>
        <v/>
      </c>
      <c r="T250" s="22">
        <f>IF(A250=A249,P250-P249,"")</f>
        <v/>
      </c>
      <c r="U250" s="22">
        <f>IF(A250=A249,Q250-Q249,"")</f>
        <v/>
      </c>
      <c r="V250" s="22">
        <f>IF(A250=A249,R250-R249,"")</f>
        <v/>
      </c>
      <c r="W250" s="22">
        <f>IF(S250="","",D250-S250)</f>
        <v/>
      </c>
      <c r="X250" s="22">
        <f>IF(T250="","",D250-T250)</f>
        <v/>
      </c>
      <c r="Y250" s="22">
        <f>IF(U250="","",F250-U250)</f>
        <v/>
      </c>
      <c r="Z250" s="22">
        <f>IF(V250="","",F250-V250)</f>
        <v/>
      </c>
      <c r="AA250" s="6" t="n">
        <v>2940392.633029536</v>
      </c>
      <c r="AB250" s="6" t="n">
        <v>2537542.775798817</v>
      </c>
      <c r="AC250" s="6" t="n">
        <v>-8331.488602846628</v>
      </c>
      <c r="AD250" s="6" t="n">
        <v>135634.0820386811</v>
      </c>
      <c r="AE250" s="6" t="n">
        <v>37569.27420195912</v>
      </c>
      <c r="AF250" s="6" t="n">
        <v>2988905.754281114</v>
      </c>
      <c r="AG250" s="6" t="n">
        <v>420256.7006530952</v>
      </c>
      <c r="AH250" s="6" t="n">
        <v>401236.3418431794</v>
      </c>
      <c r="AI250" s="6" t="n">
        <v>173769.8626879293</v>
      </c>
      <c r="AJ250" s="6" t="n">
        <v>187318.8875915213</v>
      </c>
      <c r="AK250" s="6" t="n">
        <v>181150.485624491</v>
      </c>
      <c r="AL250" s="6" t="n">
        <v>428068.5083059752</v>
      </c>
      <c r="AM250" s="6" t="n">
        <v>159699.9652627578</v>
      </c>
      <c r="AN250" s="6" t="n">
        <v>156565.236293335</v>
      </c>
      <c r="AO250" s="6" t="n">
        <v>78139.15496048705</v>
      </c>
      <c r="AP250" s="6" t="n">
        <v>82948.97504481669</v>
      </c>
      <c r="AQ250" s="6" t="n">
        <v>81345.26448887572</v>
      </c>
      <c r="AR250" s="6" t="n">
        <v>163094.6267779986</v>
      </c>
    </row>
    <row r="251">
      <c r="A251" t="inlineStr">
        <is>
          <t>Credito</t>
        </is>
      </c>
      <c r="B251" s="8" t="n">
        <v>202412</v>
      </c>
      <c r="C251" s="8" t="n">
        <v>2024</v>
      </c>
      <c r="D251" s="9" t="n">
        <v>178331.9397370097</v>
      </c>
      <c r="E251" s="10" t="n">
        <v>0.5417203655933656</v>
      </c>
      <c r="F251" s="22">
        <f>D251*(1-E251)</f>
        <v/>
      </c>
      <c r="G251" s="10" t="n">
        <v>0.6876</v>
      </c>
      <c r="H251" s="10" t="n">
        <v>0.2705061081615872</v>
      </c>
      <c r="I251" s="10" t="n">
        <v>0.02473927544583759</v>
      </c>
      <c r="J251" s="10" t="n">
        <v>0.5314174728363277</v>
      </c>
      <c r="K251" s="9" t="n">
        <v>2250044.395175</v>
      </c>
      <c r="L251" s="18" t="n">
        <v>3272315.874309192</v>
      </c>
      <c r="M251" s="18" t="n">
        <v>3095470.444302249</v>
      </c>
      <c r="N251" s="23">
        <f>IF(L251=0,"",M251/L251)</f>
        <v/>
      </c>
      <c r="O251" s="9" t="n">
        <v>2914359.615762179</v>
      </c>
      <c r="P251" s="22">
        <f>M251*G251*(1+H251+I251)</f>
        <v/>
      </c>
      <c r="Q251" s="9" t="n">
        <v>1718646.709508737</v>
      </c>
      <c r="R251" s="22">
        <f>P251-M251*G251*J251</f>
        <v/>
      </c>
      <c r="S251" s="22">
        <f>IF(A251=A250,O251-O250,"")</f>
        <v/>
      </c>
      <c r="T251" s="22">
        <f>IF(A251=A250,P251-P250,"")</f>
        <v/>
      </c>
      <c r="U251" s="22">
        <f>IF(A251=A250,Q251-Q250,"")</f>
        <v/>
      </c>
      <c r="V251" s="22">
        <f>IF(A251=A250,R251-R250,"")</f>
        <v/>
      </c>
      <c r="W251" s="22">
        <f>IF(S251="","",D251-S251)</f>
        <v/>
      </c>
      <c r="X251" s="22">
        <f>IF(T251="","",D251-T251)</f>
        <v/>
      </c>
      <c r="Y251" s="22">
        <f>IF(U251="","",F251-U251)</f>
        <v/>
      </c>
      <c r="Z251" s="22">
        <f>IF(V251="","",F251-V251)</f>
        <v/>
      </c>
      <c r="AA251" s="9" t="n">
        <v>2686137.710630116</v>
      </c>
      <c r="AB251" s="9" t="n">
        <v>2286289.430036242</v>
      </c>
      <c r="AC251" s="9" t="n">
        <v>29584.47022381162</v>
      </c>
      <c r="AD251" s="9" t="n">
        <v>175188.8820401222</v>
      </c>
      <c r="AE251" s="9" t="n">
        <v>83579.08514366412</v>
      </c>
      <c r="AF251" s="9" t="n">
        <v>2724485.403760582</v>
      </c>
      <c r="AG251" s="9" t="n">
        <v>403323.6097145666</v>
      </c>
      <c r="AH251" s="9" t="n">
        <v>400849.0985588961</v>
      </c>
      <c r="AI251" s="9" t="n">
        <v>144567.6900382168</v>
      </c>
      <c r="AJ251" s="9" t="n">
        <v>143037.1025240041</v>
      </c>
      <c r="AK251" s="9" t="n">
        <v>137336.5757587729</v>
      </c>
      <c r="AL251" s="9" t="n">
        <v>412353.1175860077</v>
      </c>
      <c r="AM251" s="9" t="n">
        <v>154176.4890684313</v>
      </c>
      <c r="AN251" s="9" t="n">
        <v>160969.1723706643</v>
      </c>
      <c r="AO251" s="9" t="n">
        <v>61985.21375710812</v>
      </c>
      <c r="AP251" s="9" t="n">
        <v>58133.62150322281</v>
      </c>
      <c r="AQ251" s="9" t="n">
        <v>56780.67694909013</v>
      </c>
      <c r="AR251" s="9" t="n">
        <v>158507.6023277687</v>
      </c>
    </row>
    <row r="252">
      <c r="A252" s="4" t="inlineStr">
        <is>
          <t>Credito</t>
        </is>
      </c>
      <c r="B252" s="5" t="n">
        <v>202501</v>
      </c>
      <c r="C252" s="5" t="n">
        <v>2025</v>
      </c>
      <c r="D252" s="6" t="n">
        <v>723715.5822707773</v>
      </c>
      <c r="E252" s="11" t="n">
        <v>0.6318872662463315</v>
      </c>
      <c r="F252" s="22">
        <f>D252*(1-E252)</f>
        <v/>
      </c>
      <c r="G252" s="11" t="n">
        <v>0.6876</v>
      </c>
      <c r="H252" s="11" t="n">
        <v>0.2705061081665689</v>
      </c>
      <c r="I252" s="11" t="n">
        <v>0.02678089814857403</v>
      </c>
      <c r="J252" s="11" t="n">
        <v>0.5487086735763668</v>
      </c>
      <c r="K252" s="6" t="n">
        <v>2398618.344765578</v>
      </c>
      <c r="L252" s="18" t="n">
        <v>3488392.008094209</v>
      </c>
      <c r="M252" s="18" t="n">
        <v>3403590.145060287</v>
      </c>
      <c r="N252" s="23">
        <f>IF(L252=0,"",M252/L252)</f>
        <v/>
      </c>
      <c r="O252" s="6" t="n">
        <v>3111696.411773521</v>
      </c>
      <c r="P252" s="22">
        <f>M252*G252*(1+H252+I252)</f>
        <v/>
      </c>
      <c r="Q252" s="6" t="n">
        <v>1795553.72140126</v>
      </c>
      <c r="R252" s="22">
        <f>P252-M252*G252*J252</f>
        <v/>
      </c>
      <c r="S252" s="22">
        <f>IF(A252=A251,O252-O251,"")</f>
        <v/>
      </c>
      <c r="T252" s="22">
        <f>IF(A252=A251,P252-P251,"")</f>
        <v/>
      </c>
      <c r="U252" s="22">
        <f>IF(A252=A251,Q252-Q251,"")</f>
        <v/>
      </c>
      <c r="V252" s="22">
        <f>IF(A252=A251,R252-R251,"")</f>
        <v/>
      </c>
      <c r="W252" s="22">
        <f>IF(S252="","",D252-S252)</f>
        <v/>
      </c>
      <c r="X252" s="22">
        <f>IF(T252="","",D252-T252)</f>
        <v/>
      </c>
      <c r="Y252" s="22">
        <f>IF(U252="","",F252-U252)</f>
        <v/>
      </c>
      <c r="Z252" s="22">
        <f>IF(V252="","",F252-V252)</f>
        <v/>
      </c>
      <c r="AA252" s="6" t="n">
        <v>2967237.818392944</v>
      </c>
      <c r="AB252" s="6" t="n">
        <v>2533205.78018581</v>
      </c>
      <c r="AC252" s="6" t="n">
        <v>89544.42497924971</v>
      </c>
      <c r="AD252" s="6" t="n">
        <v>229322.2238744467</v>
      </c>
      <c r="AE252" s="6" t="n">
        <v>135315.8649383863</v>
      </c>
      <c r="AF252" s="6" t="n">
        <v>2969612.772779315</v>
      </c>
      <c r="AG252" s="6" t="n">
        <v>469199.3441594243</v>
      </c>
      <c r="AH252" s="6" t="n">
        <v>500253.0680945721</v>
      </c>
      <c r="AI252" s="6" t="n">
        <v>670188.8992145704</v>
      </c>
      <c r="AJ252" s="6" t="n">
        <v>675181.9203389842</v>
      </c>
      <c r="AK252" s="6" t="n">
        <v>677448.2921819636</v>
      </c>
      <c r="AL252" s="6" t="n">
        <v>501233.717112252</v>
      </c>
      <c r="AM252" s="6" t="n">
        <v>149886.1740791291</v>
      </c>
      <c r="AN252" s="6" t="n">
        <v>163288.6688727528</v>
      </c>
      <c r="AO252" s="6" t="n">
        <v>235856.3971537433</v>
      </c>
      <c r="AP252" s="6" t="n">
        <v>240382.2367547139</v>
      </c>
      <c r="AQ252" s="6" t="n">
        <v>240655.2164779397</v>
      </c>
      <c r="AR252" s="6" t="n">
        <v>168804.2496646718</v>
      </c>
    </row>
    <row r="253">
      <c r="A253" t="inlineStr">
        <is>
          <t>Credito</t>
        </is>
      </c>
      <c r="B253" s="8" t="n">
        <v>202502</v>
      </c>
      <c r="C253" s="8" t="n">
        <v>2025</v>
      </c>
      <c r="D253" s="9" t="n">
        <v>852970.7391538812</v>
      </c>
      <c r="E253" s="10" t="n">
        <v>0.6318872662463315</v>
      </c>
      <c r="F253" s="22">
        <f>D253*(1-E253)</f>
        <v/>
      </c>
      <c r="G253" s="10" t="n">
        <v>0.6876</v>
      </c>
      <c r="H253" s="10" t="n">
        <v>0.2705061081540796</v>
      </c>
      <c r="I253" s="10" t="n">
        <v>0.02303812795078065</v>
      </c>
      <c r="J253" s="10" t="n">
        <v>0.6140484507287096</v>
      </c>
      <c r="K253" s="9" t="n">
        <v>2981038.805629258</v>
      </c>
      <c r="L253" s="18" t="n">
        <v>4335425.837157153</v>
      </c>
      <c r="M253" s="18" t="n">
        <v>3799780.035362509</v>
      </c>
      <c r="N253" s="23">
        <f>IF(L253=0,"",M253/L253)</f>
        <v/>
      </c>
      <c r="O253" s="9" t="n">
        <v>3856105.564626643</v>
      </c>
      <c r="P253" s="22">
        <f>M253*G253*(1+H253+I253)</f>
        <v/>
      </c>
      <c r="Q253" s="9" t="n">
        <v>2025603.304467834</v>
      </c>
      <c r="R253" s="22">
        <f>P253-M253*G253*J253</f>
        <v/>
      </c>
      <c r="S253" s="22">
        <f>IF(A253=A252,O253-O252,"")</f>
        <v/>
      </c>
      <c r="T253" s="22">
        <f>IF(A253=A252,P253-P252,"")</f>
        <v/>
      </c>
      <c r="U253" s="22">
        <f>IF(A253=A252,Q253-Q252,"")</f>
        <v/>
      </c>
      <c r="V253" s="22">
        <f>IF(A253=A252,R253-R252,"")</f>
        <v/>
      </c>
      <c r="W253" s="22">
        <f>IF(S253="","",D253-S253)</f>
        <v/>
      </c>
      <c r="X253" s="22">
        <f>IF(T253="","",D253-T253)</f>
        <v/>
      </c>
      <c r="Y253" s="22">
        <f>IF(U253="","",F253-U253)</f>
        <v/>
      </c>
      <c r="Z253" s="22">
        <f>IF(V253="","",F253-V253)</f>
        <v/>
      </c>
      <c r="AA253" s="9" t="n">
        <v>3334183.112565091</v>
      </c>
      <c r="AB253" s="9" t="n">
        <v>2847756.833155571</v>
      </c>
      <c r="AC253" s="9" t="n">
        <v>81280.60637761599</v>
      </c>
      <c r="AD253" s="9" t="n">
        <v>226353.8766472535</v>
      </c>
      <c r="AE253" s="9" t="n">
        <v>129321.54363253</v>
      </c>
      <c r="AF253" s="9" t="n">
        <v>3307099.581803434</v>
      </c>
      <c r="AG253" s="9" t="n">
        <v>534230.8155873219</v>
      </c>
      <c r="AH253" s="9" t="n">
        <v>579715.4088050231</v>
      </c>
      <c r="AI253" s="9" t="n">
        <v>860551.3635293785</v>
      </c>
      <c r="AJ253" s="9" t="n">
        <v>856201.0762765291</v>
      </c>
      <c r="AK253" s="9" t="n">
        <v>858650.5736659169</v>
      </c>
      <c r="AL253" s="9" t="n">
        <v>560438.5125826761</v>
      </c>
      <c r="AM253" s="9" t="n">
        <v>283491.9695702557</v>
      </c>
      <c r="AN253" s="9" t="n">
        <v>287354.6500595594</v>
      </c>
      <c r="AO253" s="9" t="n">
        <v>322103.8867078067</v>
      </c>
      <c r="AP253" s="9" t="n">
        <v>326269.3372065871</v>
      </c>
      <c r="AQ253" s="9" t="n">
        <v>323217.7256994215</v>
      </c>
      <c r="AR253" s="9" t="n">
        <v>297368.4144440613</v>
      </c>
    </row>
    <row r="254">
      <c r="A254" s="4" t="inlineStr">
        <is>
          <t>Credito</t>
        </is>
      </c>
      <c r="B254" s="5" t="n">
        <v>202503</v>
      </c>
      <c r="C254" s="5" t="n">
        <v>2025</v>
      </c>
      <c r="D254" s="6" t="n">
        <v>180767.3611424019</v>
      </c>
      <c r="E254" s="11" t="n">
        <v>0.6318872662463315</v>
      </c>
      <c r="F254" s="22">
        <f>D254*(1-E254)</f>
        <v/>
      </c>
      <c r="G254" s="11" t="n">
        <v>0.6876</v>
      </c>
      <c r="H254" s="11" t="n">
        <v>0.2705061082236356</v>
      </c>
      <c r="I254" s="11" t="n">
        <v>0.02140375960824747</v>
      </c>
      <c r="J254" s="11" t="n">
        <v>0.6250621533341079</v>
      </c>
      <c r="K254" s="6" t="n">
        <v>2575923.895427264</v>
      </c>
      <c r="L254" s="18" t="n">
        <v>3746253.483751112</v>
      </c>
      <c r="M254" s="18" t="n">
        <v>3430647.993448697</v>
      </c>
      <c r="N254" s="23">
        <f>IF(L254=0,"",M254/L254)</f>
        <v/>
      </c>
      <c r="O254" s="6" t="n">
        <v>3327861.499286426</v>
      </c>
      <c r="P254" s="22">
        <f>M254*G254*(1+H254+I254)</f>
        <v/>
      </c>
      <c r="Q254" s="6" t="n">
        <v>1717748.962385877</v>
      </c>
      <c r="R254" s="22">
        <f>P254-M254*G254*J254</f>
        <v/>
      </c>
      <c r="S254" s="22">
        <f>IF(A254=A253,O254-O253,"")</f>
        <v/>
      </c>
      <c r="T254" s="22">
        <f>IF(A254=A253,P254-P253,"")</f>
        <v/>
      </c>
      <c r="U254" s="22">
        <f>IF(A254=A253,Q254-Q253,"")</f>
        <v/>
      </c>
      <c r="V254" s="22">
        <f>IF(A254=A253,R254-R253,"")</f>
        <v/>
      </c>
      <c r="W254" s="22">
        <f>IF(S254="","",D254-S254)</f>
        <v/>
      </c>
      <c r="X254" s="22">
        <f>IF(T254="","",D254-T254)</f>
        <v/>
      </c>
      <c r="Y254" s="22">
        <f>IF(U254="","",F254-U254)</f>
        <v/>
      </c>
      <c r="Z254" s="22">
        <f>IF(V254="","",F254-V254)</f>
        <v/>
      </c>
      <c r="AA254" s="6" t="n">
        <v>2927602.149492685</v>
      </c>
      <c r="AB254" s="6" t="n">
        <v>2454545.415049328</v>
      </c>
      <c r="AC254" s="6" t="n">
        <v>73140.29010763923</v>
      </c>
      <c r="AD254" s="6" t="n">
        <v>285555.766493768</v>
      </c>
      <c r="AE254" s="6" t="n">
        <v>197425.1555659726</v>
      </c>
      <c r="AF254" s="6" t="n">
        <v>2966660.75106859</v>
      </c>
      <c r="AG254" s="6" t="n">
        <v>545687.1611024354</v>
      </c>
      <c r="AH254" s="6" t="n">
        <v>533264.1222382243</v>
      </c>
      <c r="AI254" s="6" t="n">
        <v>188089.886767638</v>
      </c>
      <c r="AJ254" s="6" t="n">
        <v>128431.6772227642</v>
      </c>
      <c r="AK254" s="6" t="n">
        <v>120415.0800365564</v>
      </c>
      <c r="AL254" s="6" t="n">
        <v>486901.5293957008</v>
      </c>
      <c r="AM254" s="6" t="n">
        <v>281966.8644303345</v>
      </c>
      <c r="AN254" s="6" t="n">
        <v>271606.2420123779</v>
      </c>
      <c r="AO254" s="6" t="n">
        <v>70982.1841151501</v>
      </c>
      <c r="AP254" s="6" t="n">
        <v>41365.80868247597</v>
      </c>
      <c r="AQ254" s="6" t="n">
        <v>36440.27900870959</v>
      </c>
      <c r="AR254" s="6" t="n">
        <v>251403.5366157739</v>
      </c>
    </row>
    <row r="255">
      <c r="A255" t="inlineStr">
        <is>
          <t>Credito</t>
        </is>
      </c>
      <c r="B255" s="8" t="n">
        <v>202504</v>
      </c>
      <c r="C255" s="8" t="n">
        <v>2025</v>
      </c>
      <c r="D255" s="9" t="n">
        <v>628756.2552266998</v>
      </c>
      <c r="E255" s="10" t="n">
        <v>0.6318872662463315</v>
      </c>
      <c r="F255" s="22">
        <f>D255*(1-E255)</f>
        <v/>
      </c>
      <c r="G255" s="10" t="n">
        <v>0.6876</v>
      </c>
      <c r="H255" s="10" t="n">
        <v>0.2705061080914827</v>
      </c>
      <c r="I255" s="10" t="n">
        <v>0.02140897763471127</v>
      </c>
      <c r="J255" s="10" t="n">
        <v>0.614432546832601</v>
      </c>
      <c r="K255" s="9" t="n">
        <v>2445789.085124607</v>
      </c>
      <c r="L255" s="18" t="n">
        <v>3556994.01559716</v>
      </c>
      <c r="M255" s="18" t="n">
        <v>3276310.547131538</v>
      </c>
      <c r="N255" s="23">
        <f>IF(L255=0,"",M255/L255)</f>
        <v/>
      </c>
      <c r="O255" s="9" t="n">
        <v>3159751.815576947</v>
      </c>
      <c r="P255" s="22">
        <f>M255*G255*(1+H255+I255)</f>
        <v/>
      </c>
      <c r="Q255" s="9" t="n">
        <v>1656979.398988457</v>
      </c>
      <c r="R255" s="22">
        <f>P255-M255*G255*J255</f>
        <v/>
      </c>
      <c r="S255" s="22">
        <f>IF(A255=A254,O255-O254,"")</f>
        <v/>
      </c>
      <c r="T255" s="22">
        <f>IF(A255=A254,P255-P254,"")</f>
        <v/>
      </c>
      <c r="U255" s="22">
        <f>IF(A255=A254,Q255-Q254,"")</f>
        <v/>
      </c>
      <c r="V255" s="22">
        <f>IF(A255=A254,R255-R254,"")</f>
        <v/>
      </c>
      <c r="W255" s="22">
        <f>IF(S255="","",D255-S255)</f>
        <v/>
      </c>
      <c r="X255" s="22">
        <f>IF(T255="","",D255-T255)</f>
        <v/>
      </c>
      <c r="Y255" s="22">
        <f>IF(U255="","",F255-U255)</f>
        <v/>
      </c>
      <c r="Z255" s="22">
        <f>IF(V255="","",F255-V255)</f>
        <v/>
      </c>
      <c r="AA255" s="9" t="n">
        <v>2794997.989492836</v>
      </c>
      <c r="AB255" s="9" t="n">
        <v>2343544.872107382</v>
      </c>
      <c r="AC255" s="9" t="n">
        <v>27010.59638254434</v>
      </c>
      <c r="AD255" s="9" t="n">
        <v>481269.375107524</v>
      </c>
      <c r="AE255" s="9" t="n">
        <v>397298.1803096915</v>
      </c>
      <c r="AF255" s="9" t="n">
        <v>3062257.349217753</v>
      </c>
      <c r="AG255" s="9" t="n">
        <v>746540.7867160687</v>
      </c>
      <c r="AH255" s="9" t="n">
        <v>727351.5412929979</v>
      </c>
      <c r="AI255" s="9" t="n">
        <v>669733.9598429976</v>
      </c>
      <c r="AJ255" s="9" t="n">
        <v>454898.7587945947</v>
      </c>
      <c r="AK255" s="9" t="n">
        <v>451204.1790737805</v>
      </c>
      <c r="AL255" s="9" t="n">
        <v>543825.163587005</v>
      </c>
      <c r="AM255" s="9" t="n">
        <v>271817.0011269574</v>
      </c>
      <c r="AN255" s="9" t="n">
        <v>265212.4669590474</v>
      </c>
      <c r="AO255" s="9" t="n">
        <v>252407.2630676816</v>
      </c>
      <c r="AP255" s="9" t="n">
        <v>138194.4168619908</v>
      </c>
      <c r="AQ255" s="9" t="n">
        <v>136901.2625117793</v>
      </c>
      <c r="AR255" s="9" t="n">
        <v>165227.0297516354</v>
      </c>
    </row>
    <row r="256">
      <c r="A256" s="4" t="inlineStr">
        <is>
          <t>Credito</t>
        </is>
      </c>
      <c r="B256" s="5" t="n">
        <v>202505</v>
      </c>
      <c r="C256" s="5" t="n">
        <v>2025</v>
      </c>
      <c r="D256" s="6" t="n">
        <v>632483.8309476121</v>
      </c>
      <c r="E256" s="11" t="n">
        <v>0.6318872662463315</v>
      </c>
      <c r="F256" s="22">
        <f>D256*(1-E256)</f>
        <v/>
      </c>
      <c r="G256" s="11" t="n">
        <v>0.6876</v>
      </c>
      <c r="H256" s="11" t="n">
        <v>0.2705059698834454</v>
      </c>
      <c r="I256" s="11" t="n">
        <v>0.02173487965187278</v>
      </c>
      <c r="J256" s="11" t="n">
        <v>0.6605070579097352</v>
      </c>
      <c r="K256" s="6" t="n">
        <v>2430939.838211562</v>
      </c>
      <c r="L256" s="18" t="n">
        <v>3535398.252198316</v>
      </c>
      <c r="M256" s="18" t="n">
        <v>3348008.145021316</v>
      </c>
      <c r="N256" s="23">
        <f>IF(L256=0,"",M256/L256)</f>
        <v/>
      </c>
      <c r="O256" s="6" t="n">
        <v>3141359.761699757</v>
      </c>
      <c r="P256" s="22">
        <f>M256*G256*(1+H256+I256)</f>
        <v/>
      </c>
      <c r="Q256" s="6" t="n">
        <v>1535706.841207071</v>
      </c>
      <c r="R256" s="22">
        <f>P256-M256*G256*J256</f>
        <v/>
      </c>
      <c r="S256" s="22">
        <f>IF(A256=A255,O256-O255,"")</f>
        <v/>
      </c>
      <c r="T256" s="22">
        <f>IF(A256=A255,P256-P255,"")</f>
        <v/>
      </c>
      <c r="U256" s="22">
        <f>IF(A256=A255,Q256-Q255,"")</f>
        <v/>
      </c>
      <c r="V256" s="22">
        <f>IF(A256=A255,R256-R255,"")</f>
        <v/>
      </c>
      <c r="W256" s="22">
        <f>IF(S256="","",D256-S256)</f>
        <v/>
      </c>
      <c r="X256" s="22">
        <f>IF(T256="","",D256-T256)</f>
        <v/>
      </c>
      <c r="Y256" s="22">
        <f>IF(U256="","",F256-U256)</f>
        <v/>
      </c>
      <c r="Z256" s="22">
        <f>IF(V256="","",F256-V256)</f>
        <v/>
      </c>
      <c r="AA256" s="6" t="n">
        <v>2881273.704565931</v>
      </c>
      <c r="AB256" s="6" t="n">
        <v>2412756.603792712</v>
      </c>
      <c r="AC256" s="6" t="n">
        <v>11244.6979590428</v>
      </c>
      <c r="AD256" s="6" t="n">
        <v>408714.2843764549</v>
      </c>
      <c r="AE256" s="6" t="n">
        <v>321094.6273278087</v>
      </c>
      <c r="AF256" s="6" t="n">
        <v>3159118.878400701</v>
      </c>
      <c r="AG256" s="6" t="n">
        <v>555197.9261306945</v>
      </c>
      <c r="AH256" s="6" t="n">
        <v>570461.1633052201</v>
      </c>
      <c r="AI256" s="6" t="n">
        <v>646486.4878936767</v>
      </c>
      <c r="AJ256" s="6" t="n">
        <v>696844.4780932665</v>
      </c>
      <c r="AK256" s="6" t="n">
        <v>700105.1094280897</v>
      </c>
      <c r="AL256" s="6" t="n">
        <v>545732.0911510057</v>
      </c>
      <c r="AM256" s="6" t="n">
        <v>283270.6942712747</v>
      </c>
      <c r="AN256" s="6" t="n">
        <v>276481.6621634873</v>
      </c>
      <c r="AO256" s="6" t="n">
        <v>240523.4134394287</v>
      </c>
      <c r="AP256" s="6" t="n">
        <v>279481.0566979727</v>
      </c>
      <c r="AQ256" s="6" t="n">
        <v>278424.4079728285</v>
      </c>
      <c r="AR256" s="6" t="n">
        <v>287079.5612450942</v>
      </c>
    </row>
    <row r="257">
      <c r="A257" t="inlineStr">
        <is>
          <t>Credito</t>
        </is>
      </c>
      <c r="B257" s="8" t="n">
        <v>202506</v>
      </c>
      <c r="C257" s="8" t="n">
        <v>2025</v>
      </c>
      <c r="D257" s="9" t="n">
        <v>277122.4590783037</v>
      </c>
      <c r="E257" s="10" t="n">
        <v>0.6318872662463315</v>
      </c>
      <c r="F257" s="22">
        <f>D257*(1-E257)</f>
        <v/>
      </c>
      <c r="G257" s="10" t="n">
        <v>0.6876</v>
      </c>
      <c r="H257" s="10" t="n">
        <v>0.2705054989764138</v>
      </c>
      <c r="I257" s="10" t="n">
        <v>0.02036823747498862</v>
      </c>
      <c r="J257" s="10" t="n">
        <v>0.6520993506486042</v>
      </c>
      <c r="K257" s="9" t="n">
        <v>2198384.033380583</v>
      </c>
      <c r="L257" s="18" t="n">
        <v>3197184.458086945</v>
      </c>
      <c r="M257" s="18" t="n">
        <v>3105943.104348219</v>
      </c>
      <c r="N257" s="23">
        <f>IF(L257=0,"",M257/L257)</f>
        <v/>
      </c>
      <c r="O257" s="9" t="n">
        <v>2837836.211325098</v>
      </c>
      <c r="P257" s="22">
        <f>M257*G257*(1+H257+I257)</f>
        <v/>
      </c>
      <c r="Q257" s="9" t="n">
        <v>1404271.41068136</v>
      </c>
      <c r="R257" s="22">
        <f>P257-M257*G257*J257</f>
        <v/>
      </c>
      <c r="S257" s="22">
        <f>IF(A257=A256,O257-O256,"")</f>
        <v/>
      </c>
      <c r="T257" s="22">
        <f>IF(A257=A256,P257-P256,"")</f>
        <v/>
      </c>
      <c r="U257" s="22">
        <f>IF(A257=A256,Q257-Q256,"")</f>
        <v/>
      </c>
      <c r="V257" s="22">
        <f>IF(A257=A256,R257-R256,"")</f>
        <v/>
      </c>
      <c r="W257" s="22">
        <f>IF(S257="","",D257-S257)</f>
        <v/>
      </c>
      <c r="X257" s="22">
        <f>IF(T257="","",D257-T257)</f>
        <v/>
      </c>
      <c r="Y257" s="22">
        <f>IF(U257="","",F257-U257)</f>
        <v/>
      </c>
      <c r="Z257" s="22">
        <f>IF(V257="","",F257-V257)</f>
        <v/>
      </c>
      <c r="AA257" s="9" t="n">
        <v>2621433.526494137</v>
      </c>
      <c r="AB257" s="9" t="n">
        <v>2199159.834974551</v>
      </c>
      <c r="AC257" s="9" t="n">
        <v>7407.689482522241</v>
      </c>
      <c r="AD257" s="9" t="n">
        <v>327070.004226531</v>
      </c>
      <c r="AE257" s="9" t="n">
        <v>239823.7971586114</v>
      </c>
      <c r="AF257" s="9" t="n">
        <v>2898770.125677329</v>
      </c>
      <c r="AG257" s="9" t="n">
        <v>510466.3184298735</v>
      </c>
      <c r="AH257" s="9" t="n">
        <v>468980.0285737938</v>
      </c>
      <c r="AI257" s="9" t="n">
        <v>280538.7764667061</v>
      </c>
      <c r="AJ257" s="9" t="n">
        <v>349974.5149405215</v>
      </c>
      <c r="AK257" s="9" t="n">
        <v>349560.6741125504</v>
      </c>
      <c r="AL257" s="9" t="n">
        <v>511178.9136753419</v>
      </c>
      <c r="AM257" s="9" t="n">
        <v>202191.0680930488</v>
      </c>
      <c r="AN257" s="9" t="n">
        <v>184148.1232782883</v>
      </c>
      <c r="AO257" s="9" t="n">
        <v>103643.1648745213</v>
      </c>
      <c r="AP257" s="9" t="n">
        <v>135893.5783679463</v>
      </c>
      <c r="AQ257" s="9" t="n">
        <v>136153.72781591</v>
      </c>
      <c r="AR257" s="9" t="n">
        <v>201069.3651364782</v>
      </c>
    </row>
    <row r="258">
      <c r="A258" s="4" t="inlineStr">
        <is>
          <t>Credito</t>
        </is>
      </c>
      <c r="B258" s="5" t="n">
        <v>202507</v>
      </c>
      <c r="C258" s="5" t="n">
        <v>2025</v>
      </c>
      <c r="D258" s="6" t="n">
        <v>922375.7925550933</v>
      </c>
      <c r="E258" s="11" t="n">
        <v>0.6318872662463315</v>
      </c>
      <c r="F258" s="22">
        <f>D258*(1-E258)</f>
        <v/>
      </c>
      <c r="G258" s="11" t="n">
        <v>0.6876</v>
      </c>
      <c r="H258" s="11" t="n">
        <v>0.2705061082848091</v>
      </c>
      <c r="I258" s="11" t="n">
        <v>0.02517967540925817</v>
      </c>
      <c r="J258" s="11" t="n">
        <v>0.6004676908110209</v>
      </c>
      <c r="K258" s="6" t="n">
        <v>2380717.474030104</v>
      </c>
      <c r="L258" s="18" t="n">
        <v>3462358.164674381</v>
      </c>
      <c r="M258" s="18" t="n">
        <v>3425784.139335696</v>
      </c>
      <c r="N258" s="23">
        <f>IF(L258=0,"",M258/L258)</f>
        <v/>
      </c>
      <c r="O258" s="6" t="n">
        <v>3084661.786092856</v>
      </c>
      <c r="P258" s="22">
        <f>M258*G258*(1+H258+I258)</f>
        <v/>
      </c>
      <c r="Q258" s="6" t="n">
        <v>1655117.861988552</v>
      </c>
      <c r="R258" s="22">
        <f>P258-M258*G258*J258</f>
        <v/>
      </c>
      <c r="S258" s="22">
        <f>IF(A258=A257,O258-O257,"")</f>
        <v/>
      </c>
      <c r="T258" s="22">
        <f>IF(A258=A257,P258-P257,"")</f>
        <v/>
      </c>
      <c r="U258" s="22">
        <f>IF(A258=A257,Q258-Q257,"")</f>
        <v/>
      </c>
      <c r="V258" s="22">
        <f>IF(A258=A257,R258-R257,"")</f>
        <v/>
      </c>
      <c r="W258" s="22">
        <f>IF(S258="","",D258-S258)</f>
        <v/>
      </c>
      <c r="X258" s="22">
        <f>IF(T258="","",D258-T258)</f>
        <v/>
      </c>
      <c r="Y258" s="22">
        <f>IF(U258="","",F258-U258)</f>
        <v/>
      </c>
      <c r="Z258" s="22">
        <f>IF(V258="","",F258-V258)</f>
        <v/>
      </c>
      <c r="AA258" s="6" t="n">
        <v>3020736.106673471</v>
      </c>
      <c r="AB258" s="6" t="n">
        <v>2604463.962486621</v>
      </c>
      <c r="AC258" s="6" t="n">
        <v>27736.20890353572</v>
      </c>
      <c r="AD258" s="6" t="n">
        <v>333410.416326767</v>
      </c>
      <c r="AE258" s="6" t="n">
        <v>239043.193471607</v>
      </c>
      <c r="AF258" s="6" t="n">
        <v>3314750.471588992</v>
      </c>
      <c r="AG258" s="6" t="n">
        <v>557958.0113199367</v>
      </c>
      <c r="AH258" s="6" t="n">
        <v>554008.355366267</v>
      </c>
      <c r="AI258" s="6" t="n">
        <v>904240.3289618569</v>
      </c>
      <c r="AJ258" s="6" t="n">
        <v>915644.836182819</v>
      </c>
      <c r="AK258" s="6" t="n">
        <v>922277.7226824086</v>
      </c>
      <c r="AL258" s="6" t="n">
        <v>542181.9226632314</v>
      </c>
      <c r="AM258" s="6" t="n">
        <v>46919.22745718306</v>
      </c>
      <c r="AN258" s="6" t="n">
        <v>60439.0306173187</v>
      </c>
      <c r="AO258" s="6" t="n">
        <v>329533.0949871308</v>
      </c>
      <c r="AP258" s="6" t="n">
        <v>323813.5413982098</v>
      </c>
      <c r="AQ258" s="6" t="n">
        <v>330603.7002938341</v>
      </c>
      <c r="AR258" s="6" t="n">
        <v>28183.0967992834</v>
      </c>
    </row>
    <row r="259">
      <c r="A259" t="inlineStr">
        <is>
          <t>Credito</t>
        </is>
      </c>
      <c r="B259" s="8" t="n">
        <v>202508</v>
      </c>
      <c r="C259" s="8" t="n">
        <v>2025</v>
      </c>
      <c r="D259" s="9" t="n">
        <v>1368322.86700217</v>
      </c>
      <c r="E259" s="10" t="n">
        <v>0.6318872662463315</v>
      </c>
      <c r="F259" s="22">
        <f>D259*(1-E259)</f>
        <v/>
      </c>
      <c r="G259" s="10" t="n">
        <v>0.6876000000000001</v>
      </c>
      <c r="H259" s="10" t="n">
        <v>0.2705061082027629</v>
      </c>
      <c r="I259" s="10" t="n">
        <v>0.04074068744750968</v>
      </c>
      <c r="J259" s="10" t="n">
        <v>0.6460397800502907</v>
      </c>
      <c r="K259" s="9" t="n">
        <v>2925628.04169011</v>
      </c>
      <c r="L259" s="18" t="n">
        <v>4254840.083900684</v>
      </c>
      <c r="M259" s="18" t="n">
        <v>4293336.497378844</v>
      </c>
      <c r="N259" s="23">
        <f>IF(L259=0,"",M259/L259)</f>
        <v/>
      </c>
      <c r="O259" s="9" t="n">
        <v>3836220.394930739</v>
      </c>
      <c r="P259" s="22">
        <f>M259*G259*(1+H259+I259)</f>
        <v/>
      </c>
      <c r="Q259" s="9" t="n">
        <v>1946148.298368297</v>
      </c>
      <c r="R259" s="22">
        <f>P259-M259*G259*J259</f>
        <v/>
      </c>
      <c r="S259" s="22">
        <f>IF(A259=A258,O259-O258,"")</f>
        <v/>
      </c>
      <c r="T259" s="22">
        <f>IF(A259=A258,P259-P258,"")</f>
        <v/>
      </c>
      <c r="U259" s="22">
        <f>IF(A259=A258,Q259-Q258,"")</f>
        <v/>
      </c>
      <c r="V259" s="22">
        <f>IF(A259=A258,R259-R258,"")</f>
        <v/>
      </c>
      <c r="W259" s="22">
        <f>IF(S259="","",D259-S259)</f>
        <v/>
      </c>
      <c r="X259" s="22">
        <f>IF(T259="","",D259-T259)</f>
        <v/>
      </c>
      <c r="Y259" s="22">
        <f>IF(U259="","",F259-U259)</f>
        <v/>
      </c>
      <c r="Z259" s="22">
        <f>IF(V259="","",F259-V259)</f>
        <v/>
      </c>
      <c r="AA259" s="9" t="n">
        <v>3823907.268709002</v>
      </c>
      <c r="AB259" s="9" t="n">
        <v>3316269.09537673</v>
      </c>
      <c r="AC259" s="9" t="n">
        <v>15914.51363613753</v>
      </c>
      <c r="AD259" s="9" t="n">
        <v>308599.054905993</v>
      </c>
      <c r="AE259" s="9" t="n">
        <v>193760.2129704411</v>
      </c>
      <c r="AF259" s="9" t="n">
        <v>4111185.742395103</v>
      </c>
      <c r="AG259" s="9" t="n">
        <v>611851.9411352759</v>
      </c>
      <c r="AH259" s="9" t="n">
        <v>698682.7765113052</v>
      </c>
      <c r="AI259" s="9" t="n">
        <v>1378684.694092938</v>
      </c>
      <c r="AJ259" s="9" t="n">
        <v>1387125.711658838</v>
      </c>
      <c r="AK259" s="9" t="n">
        <v>1406592.90149107</v>
      </c>
      <c r="AL259" s="9" t="n">
        <v>614779.2294963414</v>
      </c>
      <c r="AM259" s="9" t="n">
        <v>198664.2707370334</v>
      </c>
      <c r="AN259" s="9" t="n">
        <v>231864.7260003263</v>
      </c>
      <c r="AO259" s="9" t="n">
        <v>509676.6252008973</v>
      </c>
      <c r="AP259" s="9" t="n">
        <v>521925.8267999165</v>
      </c>
      <c r="AQ259" s="9" t="n">
        <v>529342.1446779029</v>
      </c>
      <c r="AR259" s="9" t="n">
        <v>207812.410508859</v>
      </c>
    </row>
    <row r="260">
      <c r="A260" s="4" t="inlineStr">
        <is>
          <t>Credito</t>
        </is>
      </c>
      <c r="B260" s="5" t="n">
        <v>202509</v>
      </c>
      <c r="C260" s="5" t="n">
        <v>2025</v>
      </c>
      <c r="D260" s="6" t="n">
        <v>45426.25216911007</v>
      </c>
      <c r="E260" s="11" t="n">
        <v>0.6318872662463315</v>
      </c>
      <c r="F260" s="22">
        <f>D260*(1-E260)</f>
        <v/>
      </c>
      <c r="G260" s="11" t="n">
        <v>0.6876</v>
      </c>
      <c r="H260" s="11" t="n">
        <v>0.270506108107691</v>
      </c>
      <c r="I260" s="11" t="n">
        <v>0.0279287748395863</v>
      </c>
      <c r="J260" s="11" t="n">
        <v>0.6405707058203332</v>
      </c>
      <c r="K260" s="6" t="n">
        <v>2544347.15993164</v>
      </c>
      <c r="L260" s="18" t="n">
        <v>3700330.366392728</v>
      </c>
      <c r="M260" s="18" t="n">
        <v>3815938.94922748</v>
      </c>
      <c r="N260" s="23">
        <f>IF(L260=0,"",M260/L260)</f>
        <v/>
      </c>
      <c r="O260" s="6" t="n">
        <v>3303669.106783076</v>
      </c>
      <c r="P260" s="22">
        <f>M260*G260*(1+H260+I260)</f>
        <v/>
      </c>
      <c r="Q260" s="6" t="n">
        <v>1673834.850693705</v>
      </c>
      <c r="R260" s="22">
        <f>P260-M260*G260*J260</f>
        <v/>
      </c>
      <c r="S260" s="22">
        <f>IF(A260=A259,O260-O259,"")</f>
        <v/>
      </c>
      <c r="T260" s="22">
        <f>IF(A260=A259,P260-P259,"")</f>
        <v/>
      </c>
      <c r="U260" s="22">
        <f>IF(A260=A259,Q260-Q259,"")</f>
        <v/>
      </c>
      <c r="V260" s="22">
        <f>IF(A260=A259,R260-R259,"")</f>
        <v/>
      </c>
      <c r="W260" s="22">
        <f>IF(S260="","",D260-S260)</f>
        <v/>
      </c>
      <c r="X260" s="22">
        <f>IF(T260="","",D260-T260)</f>
        <v/>
      </c>
      <c r="Y260" s="22">
        <f>IF(U260="","",F260-U260)</f>
        <v/>
      </c>
      <c r="Z260" s="22">
        <f>IF(V260="","",F260-V260)</f>
        <v/>
      </c>
      <c r="AA260" s="6" t="n">
        <v>3292969.139803168</v>
      </c>
      <c r="AB260" s="6" t="n">
        <v>2822474.583789782</v>
      </c>
      <c r="AC260" s="6" t="n">
        <v>11596.45435102563</v>
      </c>
      <c r="AD260" s="6" t="n">
        <v>178112.4061735201</v>
      </c>
      <c r="AE260" s="6" t="n">
        <v>62457.90504910737</v>
      </c>
      <c r="AF260" s="6" t="n">
        <v>3576936.219507925</v>
      </c>
      <c r="AG260" s="6" t="n">
        <v>553136.445625732</v>
      </c>
      <c r="AH260" s="6" t="n">
        <v>515502.4581348968</v>
      </c>
      <c r="AI260" s="6" t="n">
        <v>49421.6304667916</v>
      </c>
      <c r="AJ260" s="6" t="n">
        <v>164643.8258147319</v>
      </c>
      <c r="AK260" s="6" t="n">
        <v>164360.3799911095</v>
      </c>
      <c r="AL260" s="6" t="n">
        <v>558623.642273077</v>
      </c>
      <c r="AM260" s="6" t="n">
        <v>276197.1304439965</v>
      </c>
      <c r="AN260" s="6" t="n">
        <v>256832.2789055952</v>
      </c>
      <c r="AO260" s="6" t="n">
        <v>18755.59615278419</v>
      </c>
      <c r="AP260" s="6" t="n">
        <v>77305.37602382447</v>
      </c>
      <c r="AQ260" s="6" t="n">
        <v>77094.52341116747</v>
      </c>
      <c r="AR260" s="6" t="n">
        <v>279145.4814803822</v>
      </c>
    </row>
    <row r="261">
      <c r="A261" t="inlineStr">
        <is>
          <t>Credito</t>
        </is>
      </c>
      <c r="B261" s="8" t="n">
        <v>202510</v>
      </c>
      <c r="C261" s="8" t="n">
        <v>2025</v>
      </c>
      <c r="D261" s="9" t="n">
        <v>140771.7583285754</v>
      </c>
      <c r="E261" s="10" t="n">
        <v>0.6318872662463315</v>
      </c>
      <c r="F261" s="22">
        <f>D261*(1-E261)</f>
        <v/>
      </c>
      <c r="G261" s="10" t="n">
        <v>0.6876</v>
      </c>
      <c r="H261" s="10" t="n">
        <v>0.2705061080969052</v>
      </c>
      <c r="I261" s="10" t="n">
        <v>0.02753665225998959</v>
      </c>
      <c r="J261" s="10" t="n">
        <v>0.6222346829275248</v>
      </c>
      <c r="K261" s="9" t="n">
        <v>2269549.911192921</v>
      </c>
      <c r="L261" s="18" t="n">
        <v>3300683.407784935</v>
      </c>
      <c r="M261" s="18" t="n">
        <v>3383619.281675735</v>
      </c>
      <c r="N261" s="23">
        <f>IF(L261=0,"",M261/L261)</f>
        <v/>
      </c>
      <c r="O261" s="9" t="n">
        <v>2945972.831492605</v>
      </c>
      <c r="P261" s="22">
        <f>M261*G261*(1+H261+I261)</f>
        <v/>
      </c>
      <c r="Q261" s="9" t="n">
        <v>1533780.162113285</v>
      </c>
      <c r="R261" s="22">
        <f>P261-M261*G261*J261</f>
        <v/>
      </c>
      <c r="S261" s="22">
        <f>IF(A261=A260,O261-O260,"")</f>
        <v/>
      </c>
      <c r="T261" s="22">
        <f>IF(A261=A260,P261-P260,"")</f>
        <v/>
      </c>
      <c r="U261" s="22">
        <f>IF(A261=A260,Q261-Q260,"")</f>
        <v/>
      </c>
      <c r="V261" s="22">
        <f>IF(A261=A260,R261-R260,"")</f>
        <v/>
      </c>
      <c r="W261" s="22">
        <f>IF(S261="","",D261-S261)</f>
        <v/>
      </c>
      <c r="X261" s="22">
        <f>IF(T261="","",D261-T261)</f>
        <v/>
      </c>
      <c r="Y261" s="22">
        <f>IF(U261="","",F261-U261)</f>
        <v/>
      </c>
      <c r="Z261" s="22">
        <f>IF(V261="","",F261-V261)</f>
        <v/>
      </c>
      <c r="AA261" s="9" t="n">
        <v>2934719.528960654</v>
      </c>
      <c r="AB261" s="9" t="n">
        <v>2501034.975229727</v>
      </c>
      <c r="AC261" s="9" t="n">
        <v>6939.825995188956</v>
      </c>
      <c r="AD261" s="9" t="n">
        <v>148024.5638034345</v>
      </c>
      <c r="AE261" s="9" t="n">
        <v>32131.53256501302</v>
      </c>
      <c r="AF261" s="9" t="n">
        <v>3191920.088442092</v>
      </c>
      <c r="AG261" s="9" t="n">
        <v>461409.6507086747</v>
      </c>
      <c r="AH261" s="9" t="n">
        <v>428428.6083093949</v>
      </c>
      <c r="AI261" s="9" t="n">
        <v>144931.0850787926</v>
      </c>
      <c r="AJ261" s="9" t="n">
        <v>167674.2099980308</v>
      </c>
      <c r="AK261" s="9" t="n">
        <v>167855.9231124043</v>
      </c>
      <c r="AL261" s="9" t="n">
        <v>485376.2496730534</v>
      </c>
      <c r="AM261" s="9" t="n">
        <v>177663.9273955204</v>
      </c>
      <c r="AN261" s="9" t="n">
        <v>166363.9162381889</v>
      </c>
      <c r="AO261" s="9" t="n">
        <v>53840.6654208469</v>
      </c>
      <c r="AP261" s="9" t="n">
        <v>63603.67380860417</v>
      </c>
      <c r="AQ261" s="9" t="n">
        <v>65141.48668107485</v>
      </c>
      <c r="AR261" s="9" t="n">
        <v>186598.2948537701</v>
      </c>
    </row>
    <row r="262">
      <c r="A262" s="4" t="inlineStr">
        <is>
          <t>Credito</t>
        </is>
      </c>
      <c r="B262" s="5" t="n">
        <v>202511</v>
      </c>
      <c r="C262" s="5" t="n">
        <v>2025</v>
      </c>
      <c r="D262" s="6" t="n">
        <v>1245869.351807962</v>
      </c>
      <c r="E262" s="11" t="n">
        <v>0.6318872662463315</v>
      </c>
      <c r="F262" s="22">
        <f>D262*(1-E262)</f>
        <v/>
      </c>
      <c r="G262" s="11" t="n">
        <v>0.6876</v>
      </c>
      <c r="H262" s="11" t="n">
        <v>0.270506108259183</v>
      </c>
      <c r="I262" s="11" t="n">
        <v>0.02327342486200037</v>
      </c>
      <c r="J262" s="11" t="n">
        <v>0.6494825643560793</v>
      </c>
      <c r="K262" s="6" t="n">
        <v>2740346.213508388</v>
      </c>
      <c r="L262" s="18" t="n">
        <v>3985378.437330407</v>
      </c>
      <c r="M262" s="18" t="n">
        <v>4155488.574108159</v>
      </c>
      <c r="N262" s="23">
        <f>IF(L262=0,"",M262/L262)</f>
        <v/>
      </c>
      <c r="O262" s="6" t="n">
        <v>3545403.844703284</v>
      </c>
      <c r="P262" s="22">
        <f>M262*G262*(1+H262+I262)</f>
        <v/>
      </c>
      <c r="Q262" s="6" t="n">
        <v>1765596.758730384</v>
      </c>
      <c r="R262" s="22">
        <f>P262-M262*G262*J262</f>
        <v/>
      </c>
      <c r="S262" s="22">
        <f>IF(A262=A261,O262-O261,"")</f>
        <v/>
      </c>
      <c r="T262" s="22">
        <f>IF(A262=A261,P262-P261,"")</f>
        <v/>
      </c>
      <c r="U262" s="22">
        <f>IF(A262=A261,Q262-Q261,"")</f>
        <v/>
      </c>
      <c r="V262" s="22">
        <f>IF(A262=A261,R262-R261,"")</f>
        <v/>
      </c>
      <c r="W262" s="22">
        <f>IF(S262="","",D262-S262)</f>
        <v/>
      </c>
      <c r="X262" s="22">
        <f>IF(T262="","",D262-T262)</f>
        <v/>
      </c>
      <c r="Y262" s="22">
        <f>IF(U262="","",F262-U262)</f>
        <v/>
      </c>
      <c r="Z262" s="22">
        <f>IF(V262="","",F262-V262)</f>
        <v/>
      </c>
      <c r="AA262" s="6" t="n">
        <v>3666717.851507277</v>
      </c>
      <c r="AB262" s="6" t="n">
        <v>3151337.115533691</v>
      </c>
      <c r="AC262" s="6" t="n">
        <v>50936.21025978377</v>
      </c>
      <c r="AD262" s="6" t="n">
        <v>222118.9119858561</v>
      </c>
      <c r="AE262" s="6" t="n">
        <v>92102.69566955751</v>
      </c>
      <c r="AF262" s="6" t="n">
        <v>3853983.346279345</v>
      </c>
      <c r="AG262" s="6" t="n">
        <v>603284.4116624715</v>
      </c>
      <c r="AH262" s="6" t="n">
        <v>674690.2639517239</v>
      </c>
      <c r="AI262" s="6" t="n">
        <v>1206750.388241017</v>
      </c>
      <c r="AJ262" s="6" t="n">
        <v>1180388.73015717</v>
      </c>
      <c r="AK262" s="6" t="n">
        <v>1192613.026988078</v>
      </c>
      <c r="AL262" s="6" t="n">
        <v>666252.7979800645</v>
      </c>
      <c r="AM262" s="6" t="n">
        <v>197918.1845530774</v>
      </c>
      <c r="AN262" s="6" t="n">
        <v>224714.4526427241</v>
      </c>
      <c r="AO262" s="6" t="n">
        <v>439279.5220959093</v>
      </c>
      <c r="AP262" s="6" t="n">
        <v>429002.4528070283</v>
      </c>
      <c r="AQ262" s="6" t="n">
        <v>432748.2276787841</v>
      </c>
      <c r="AR262" s="6" t="n">
        <v>234473.4930899913</v>
      </c>
    </row>
    <row r="263">
      <c r="A263" t="inlineStr">
        <is>
          <t>Credito</t>
        </is>
      </c>
      <c r="B263" s="8" t="n">
        <v>202512</v>
      </c>
      <c r="C263" s="8" t="n">
        <v>2025</v>
      </c>
      <c r="D263" s="9" t="n">
        <v>440964.4602543481</v>
      </c>
      <c r="E263" s="10" t="n">
        <v>0.6318872662463315</v>
      </c>
      <c r="F263" s="22">
        <f>D263*(1-E263)</f>
        <v/>
      </c>
      <c r="G263" s="10" t="n">
        <v>0.6876</v>
      </c>
      <c r="H263" s="10" t="n">
        <v>0.2705061082546845</v>
      </c>
      <c r="I263" s="10" t="n">
        <v>0.02676700756974509</v>
      </c>
      <c r="J263" s="10" t="n">
        <v>0.6531498189435015</v>
      </c>
      <c r="K263" s="9" t="n">
        <v>2504381.411594847</v>
      </c>
      <c r="L263" s="18" t="n">
        <v>3642206.823145501</v>
      </c>
      <c r="M263" s="18" t="n">
        <v>3982646.536219221</v>
      </c>
      <c r="N263" s="23">
        <f>IF(L263=0,"",M263/L263)</f>
        <v/>
      </c>
      <c r="O263" s="9" t="n">
        <v>3248866.67703243</v>
      </c>
      <c r="P263" s="22">
        <f>M263*G263*(1+H263+I263)</f>
        <v/>
      </c>
      <c r="Q263" s="9" t="n">
        <v>1613130.411483785</v>
      </c>
      <c r="R263" s="22">
        <f>P263-M263*G263*J263</f>
        <v/>
      </c>
      <c r="S263" s="22">
        <f>IF(A263=A262,O263-O262,"")</f>
        <v/>
      </c>
      <c r="T263" s="22">
        <f>IF(A263=A262,P263-P262,"")</f>
        <v/>
      </c>
      <c r="U263" s="22">
        <f>IF(A263=A262,Q263-Q262,"")</f>
        <v/>
      </c>
      <c r="V263" s="22">
        <f>IF(A263=A262,R263-R262,"")</f>
        <v/>
      </c>
      <c r="W263" s="22">
        <f>IF(S263="","",D263-S263)</f>
        <v/>
      </c>
      <c r="X263" s="22">
        <f>IF(T263="","",D263-T263)</f>
        <v/>
      </c>
      <c r="Y263" s="22">
        <f>IF(U263="","",F263-U263)</f>
        <v/>
      </c>
      <c r="Z263" s="22">
        <f>IF(V263="","",F263-V263)</f>
        <v/>
      </c>
      <c r="AA263" s="9" t="n">
        <v>3453167.583902002</v>
      </c>
      <c r="AB263" s="9" t="n">
        <v>2961672.326504547</v>
      </c>
      <c r="AC263" s="9" t="n">
        <v>362067.9341776498</v>
      </c>
      <c r="AD263" s="9" t="n">
        <v>423442.800923653</v>
      </c>
      <c r="AE263" s="9" t="n">
        <v>302934.8836463352</v>
      </c>
      <c r="AF263" s="9" t="n">
        <v>3685188.812792342</v>
      </c>
      <c r="AG263" s="9" t="n">
        <v>622644.221855433</v>
      </c>
      <c r="AH263" s="9" t="n">
        <v>602576.2968154748</v>
      </c>
      <c r="AI263" s="9" t="n">
        <v>163311.0502647214</v>
      </c>
      <c r="AJ263" s="9" t="n">
        <v>260848.9745550717</v>
      </c>
      <c r="AK263" s="9" t="n">
        <v>252679.847648973</v>
      </c>
      <c r="AL263" s="9" t="n">
        <v>582272.0366675693</v>
      </c>
      <c r="AM263" s="9" t="n">
        <v>257343.7388029488</v>
      </c>
      <c r="AN263" s="9" t="n">
        <v>246703.3348412431</v>
      </c>
      <c r="AO263" s="9" t="n">
        <v>24530.73052708324</v>
      </c>
      <c r="AP263" s="9" t="n">
        <v>73184.97256874753</v>
      </c>
      <c r="AQ263" s="9" t="n">
        <v>68958.22861242827</v>
      </c>
      <c r="AR263" s="9" t="n">
        <v>237543.8235531245</v>
      </c>
    </row>
    <row r="264">
      <c r="A264" s="4" t="inlineStr">
        <is>
          <t>Credito</t>
        </is>
      </c>
      <c r="B264" s="5" t="n">
        <v>202601</v>
      </c>
      <c r="C264" s="5" t="n">
        <v>2026</v>
      </c>
      <c r="D264" s="6" t="n">
        <v>1055394.769947928</v>
      </c>
      <c r="E264" s="11" t="n">
        <v>0.6318872662463315</v>
      </c>
      <c r="F264" s="22">
        <f>D264*(1-E264)</f>
        <v/>
      </c>
      <c r="G264" s="11" t="n">
        <v>0.6876</v>
      </c>
      <c r="H264" s="11" t="n">
        <v>0.2705061050287698</v>
      </c>
      <c r="I264" s="11" t="n">
        <v>0.03028353827788283</v>
      </c>
      <c r="J264" s="11" t="n">
        <v>0.5981521766809615</v>
      </c>
      <c r="K264" s="6" t="n">
        <v>2851126.060125947</v>
      </c>
      <c r="L264" s="18" t="n">
        <v>4146489.325372232</v>
      </c>
      <c r="M264" s="18" t="n">
        <v>4451354.590885835</v>
      </c>
      <c r="N264" s="23">
        <f>IF(L264=0,"",M264/L264)</f>
        <v/>
      </c>
      <c r="O264" s="6" t="n">
        <v>3708715.250773531</v>
      </c>
      <c r="P264" s="22">
        <f>M264*G264*(1+H264+I264)</f>
        <v/>
      </c>
      <c r="Q264" s="6" t="n">
        <v>2003307.991917382</v>
      </c>
      <c r="R264" s="22">
        <f>P264-M264*G264*J264</f>
        <v/>
      </c>
      <c r="S264" s="22">
        <f>IF(A264=A263,O264-O263,"")</f>
        <v/>
      </c>
      <c r="T264" s="22">
        <f>IF(A264=A263,P264-P263,"")</f>
        <v/>
      </c>
      <c r="U264" s="22">
        <f>IF(A264=A263,Q264-Q263,"")</f>
        <v/>
      </c>
      <c r="V264" s="22">
        <f>IF(A264=A263,R264-R263,"")</f>
        <v/>
      </c>
      <c r="W264" s="22">
        <f>IF(S264="","",D264-S264)</f>
        <v/>
      </c>
      <c r="X264" s="22">
        <f>IF(T264="","",D264-T264)</f>
        <v/>
      </c>
      <c r="Y264" s="22">
        <f>IF(U264="","",F264-U264)</f>
        <v/>
      </c>
      <c r="Z264" s="22">
        <f>IF(V264="","",F264-V264)</f>
        <v/>
      </c>
      <c r="AA264" s="6" t="n">
        <v>3930643.09440909</v>
      </c>
      <c r="AB264" s="6" t="n">
        <v>3416577.54555913</v>
      </c>
      <c r="AC264" s="6" t="n">
        <v>314138.3335196244</v>
      </c>
      <c r="AD264" s="6" t="n">
        <v>445406.6841467103</v>
      </c>
      <c r="AE264" s="6" t="n">
        <v>321453.3886918545</v>
      </c>
      <c r="AF264" s="6" t="n">
        <v>4099954.985823594</v>
      </c>
      <c r="AG264" s="6" t="n">
        <v>619980.0751867439</v>
      </c>
      <c r="AH264" s="6" t="n">
        <v>641355.8800316877</v>
      </c>
      <c r="AI264" s="6" t="n">
        <v>1097388.637841744</v>
      </c>
      <c r="AJ264" s="6" t="n">
        <v>1034725.898955832</v>
      </c>
      <c r="AK264" s="6" t="n">
        <v>1038098.908140811</v>
      </c>
      <c r="AL264" s="6" t="n">
        <v>675507.7273048093</v>
      </c>
      <c r="AM264" s="6" t="n">
        <v>18883.89946058701</v>
      </c>
      <c r="AN264" s="6" t="n">
        <v>49563.35269003391</v>
      </c>
      <c r="AO264" s="6" t="n">
        <v>397093.0852361195</v>
      </c>
      <c r="AP264" s="6" t="n">
        <v>360855.8227527915</v>
      </c>
      <c r="AQ264" s="6" t="n">
        <v>367368.9573384961</v>
      </c>
      <c r="AR264" s="6" t="n">
        <v>39845.66080733907</v>
      </c>
    </row>
    <row r="265">
      <c r="A265" t="inlineStr">
        <is>
          <t>Credito</t>
        </is>
      </c>
      <c r="B265" s="8" t="n">
        <v>202602</v>
      </c>
      <c r="C265" s="8" t="n">
        <v>2026</v>
      </c>
      <c r="D265" s="9" t="n">
        <v>537079.7739000104</v>
      </c>
      <c r="E265" s="10" t="n">
        <v>0.6318872662463315</v>
      </c>
      <c r="F265" s="22">
        <f>D265*(1-E265)</f>
        <v/>
      </c>
      <c r="G265" s="10" t="n">
        <v>0.6876</v>
      </c>
      <c r="H265" s="10" t="n">
        <v>0.2705061050287698</v>
      </c>
      <c r="I265" s="10" t="n">
        <v>0.03028353827788283</v>
      </c>
      <c r="J265" s="10" t="n">
        <v>0.5981521766809615</v>
      </c>
      <c r="K265" s="9" t="n">
        <v>2882281.658329368</v>
      </c>
      <c r="L265" s="18" t="n">
        <v>4191799.968483665</v>
      </c>
      <c r="M265" s="18" t="n">
        <v>4401454.419858821</v>
      </c>
      <c r="N265" s="23">
        <f>IF(L265=0,"",M265/L265)</f>
        <v/>
      </c>
      <c r="O265" s="9" t="n">
        <v>3749242.130247566</v>
      </c>
      <c r="P265" s="22">
        <f>M265*G265*(1+H265+I265)</f>
        <v/>
      </c>
      <c r="Q265" s="9" t="n">
        <v>2025199.082510243</v>
      </c>
      <c r="R265" s="22">
        <f>P265-M265*G265*J265</f>
        <v/>
      </c>
      <c r="S265" s="22">
        <f>IF(A265=A264,O265-O264,"")</f>
        <v/>
      </c>
      <c r="T265" s="22">
        <f>IF(A265=A264,P265-P264,"")</f>
        <v/>
      </c>
      <c r="U265" s="22">
        <f>IF(A265=A264,Q265-Q264,"")</f>
        <v/>
      </c>
      <c r="V265" s="22">
        <f>IF(A265=A264,R265-R264,"")</f>
        <v/>
      </c>
      <c r="W265" s="22">
        <f>IF(S265="","",D265-S265)</f>
        <v/>
      </c>
      <c r="X265" s="22">
        <f>IF(T265="","",D265-T265)</f>
        <v/>
      </c>
      <c r="Y265" s="22">
        <f>IF(U265="","",F265-U265)</f>
        <v/>
      </c>
      <c r="Z265" s="22">
        <f>IF(V265="","",F265-V265)</f>
        <v/>
      </c>
      <c r="AA265" s="9" t="n">
        <v>3886421.19990203</v>
      </c>
      <c r="AB265" s="9" t="n">
        <v>3365602.60577258</v>
      </c>
      <c r="AC265" s="9" t="n">
        <v>277454.809051461</v>
      </c>
      <c r="AD265" s="9" t="n">
        <v>398322.9779143539</v>
      </c>
      <c r="AE265" s="9" t="n">
        <v>282198.5046000541</v>
      </c>
      <c r="AF265" s="9" t="n">
        <v>4010412.492193551</v>
      </c>
      <c r="AG265" s="9" t="n">
        <v>576632.8516260006</v>
      </c>
      <c r="AH265" s="9" t="n">
        <v>582672.9303653699</v>
      </c>
      <c r="AI265" s="9" t="n">
        <v>569890.3603917502</v>
      </c>
      <c r="AJ265" s="9" t="n">
        <v>579192.5217366891</v>
      </c>
      <c r="AK265" s="9" t="n">
        <v>572190.2434743023</v>
      </c>
      <c r="AL265" s="9" t="n">
        <v>617168.6359853407</v>
      </c>
      <c r="AM265" s="9" t="n">
        <v>219070.9834591359</v>
      </c>
      <c r="AN265" s="9" t="n">
        <v>222333.6060095903</v>
      </c>
      <c r="AO265" s="9" t="n">
        <v>215428.9441917131</v>
      </c>
      <c r="AP265" s="9" t="n">
        <v>220453.6206374268</v>
      </c>
      <c r="AQ265" s="9" t="n">
        <v>216671.2542231428</v>
      </c>
      <c r="AR265" s="9" t="n">
        <v>240966.8841349207</v>
      </c>
    </row>
    <row r="266">
      <c r="A266" s="4" t="inlineStr">
        <is>
          <t>Credito</t>
        </is>
      </c>
      <c r="B266" s="5" t="n">
        <v>202603</v>
      </c>
      <c r="C266" s="5" t="n">
        <v>2026</v>
      </c>
      <c r="D266" s="6" t="n">
        <v>35499.07596351505</v>
      </c>
      <c r="E266" s="11" t="n">
        <v>0.6318872662463315</v>
      </c>
      <c r="F266" s="22">
        <f>D266*(1-E266)</f>
        <v/>
      </c>
      <c r="G266" s="11" t="n">
        <v>0.6876</v>
      </c>
      <c r="H266" s="11" t="n">
        <v>0.270506311252125</v>
      </c>
      <c r="I266" s="11" t="n">
        <v>0.02601907973956051</v>
      </c>
      <c r="J266" s="11" t="n">
        <v>0.5902291073003252</v>
      </c>
      <c r="K266" s="6" t="n">
        <v>2378214.922009239</v>
      </c>
      <c r="L266" s="18" t="n">
        <v>3458718.618396217</v>
      </c>
      <c r="M266" s="18" t="n">
        <v>3897671.687220656</v>
      </c>
      <c r="N266" s="23">
        <f>IF(L266=0,"",M266/L266)</f>
        <v/>
      </c>
      <c r="O266" s="6" t="n">
        <v>3083416.031620289</v>
      </c>
      <c r="P266" s="22">
        <f>M266*G266*(1+H266+I266)</f>
        <v/>
      </c>
      <c r="Q266" s="6" t="n">
        <v>1679724.361234464</v>
      </c>
      <c r="R266" s="22">
        <f>P266-M266*G266*J266</f>
        <v/>
      </c>
      <c r="S266" s="22">
        <f>IF(A266=A265,O266-O265,"")</f>
        <v/>
      </c>
      <c r="T266" s="22">
        <f>IF(A266=A265,P266-P265,"")</f>
        <v/>
      </c>
      <c r="U266" s="22">
        <f>IF(A266=A265,Q266-Q265,"")</f>
        <v/>
      </c>
      <c r="V266" s="22">
        <f>IF(A266=A265,R266-R265,"")</f>
        <v/>
      </c>
      <c r="W266" s="22">
        <f>IF(S266="","",D266-S266)</f>
        <v/>
      </c>
      <c r="X266" s="22">
        <f>IF(T266="","",D266-T266)</f>
        <v/>
      </c>
      <c r="Y266" s="22">
        <f>IF(U266="","",F266-U266)</f>
        <v/>
      </c>
      <c r="Z266" s="22">
        <f>IF(V266="","",F266-V266)</f>
        <v/>
      </c>
      <c r="AA266" s="6" t="n">
        <v>3357599.591670885</v>
      </c>
      <c r="AB266" s="6" t="n">
        <v>2841231.540054512</v>
      </c>
      <c r="AC266" s="6" t="n">
        <v>243874.1492045726</v>
      </c>
      <c r="AD266" s="6" t="n">
        <v>347137.3667518308</v>
      </c>
      <c r="AE266" s="6" t="n">
        <v>240779.0817850746</v>
      </c>
      <c r="AF266" s="6" t="n">
        <v>3437253.035201454</v>
      </c>
      <c r="AG266" s="6" t="n">
        <v>518334.0808413701</v>
      </c>
      <c r="AH266" s="6" t="n">
        <v>512839.3707305772</v>
      </c>
      <c r="AI266" s="6" t="n">
        <v>66249.45246662028</v>
      </c>
      <c r="AJ266" s="6" t="n">
        <v>82298.50317977692</v>
      </c>
      <c r="AK266" s="6" t="n">
        <v>73251.54698653769</v>
      </c>
      <c r="AL266" s="6" t="n">
        <v>558224.4225673589</v>
      </c>
      <c r="AM266" s="6" t="n">
        <v>260112.050189802</v>
      </c>
      <c r="AN266" s="6" t="n">
        <v>259260.9240046428</v>
      </c>
      <c r="AO266" s="6" t="n">
        <v>28678.06514116788</v>
      </c>
      <c r="AP266" s="6" t="n">
        <v>36923.81740316938</v>
      </c>
      <c r="AQ266" s="6" t="n">
        <v>32473.02088117671</v>
      </c>
      <c r="AR266" s="6" t="n">
        <v>281332.7588804053</v>
      </c>
    </row>
    <row r="267">
      <c r="A267" t="inlineStr">
        <is>
          <t>Credito</t>
        </is>
      </c>
      <c r="B267" s="8" t="n">
        <v>202604</v>
      </c>
      <c r="C267" s="8" t="n">
        <v>2026</v>
      </c>
      <c r="D267" s="9" t="n">
        <v>1623298.099061601</v>
      </c>
      <c r="E267" s="10" t="n">
        <v>0.6318872662463315</v>
      </c>
      <c r="F267" s="22">
        <f>D267*(1-E267)</f>
        <v/>
      </c>
      <c r="G267" s="10" t="n">
        <v>0.6876</v>
      </c>
      <c r="H267" s="10" t="n">
        <v>0.2705061060038939</v>
      </c>
      <c r="I267" s="10" t="n">
        <v>0.02432458038910819</v>
      </c>
      <c r="J267" s="10" t="n">
        <v>0.618919610055038</v>
      </c>
      <c r="K267" s="9" t="n">
        <v>3108605.871038651</v>
      </c>
      <c r="L267" s="18" t="n">
        <v>4520950.94682759</v>
      </c>
      <c r="M267" s="18" t="n">
        <v>4949324.789153744</v>
      </c>
      <c r="N267" s="23">
        <f>IF(L267=0,"",M267/L267)</f>
        <v/>
      </c>
      <c r="O267" s="9" t="n">
        <v>4025118.273722293</v>
      </c>
      <c r="P267" s="22">
        <f>M267*G267*(1+H267+I267)</f>
        <v/>
      </c>
      <c r="Q267" s="9" t="n">
        <v>2101141.140204249</v>
      </c>
      <c r="R267" s="22">
        <f>P267-M267*G267*J267</f>
        <v/>
      </c>
      <c r="S267" s="22">
        <f>IF(A267=A266,O267-O266,"")</f>
        <v/>
      </c>
      <c r="T267" s="22">
        <f>IF(A267=A266,P267-P266,"")</f>
        <v/>
      </c>
      <c r="U267" s="22">
        <f>IF(A267=A266,Q267-Q266,"")</f>
        <v/>
      </c>
      <c r="V267" s="22">
        <f>IF(A267=A266,R267-R266,"")</f>
        <v/>
      </c>
      <c r="W267" s="22">
        <f>IF(S267="","",D267-S267)</f>
        <v/>
      </c>
      <c r="X267" s="22">
        <f>IF(T267="","",D267-T267)</f>
        <v/>
      </c>
      <c r="Y267" s="22">
        <f>IF(U267="","",F267-U267)</f>
        <v/>
      </c>
      <c r="Z267" s="22">
        <f>IF(V267="","",F267-V267)</f>
        <v/>
      </c>
      <c r="AA267" s="9" t="n">
        <v>4357311.881191918</v>
      </c>
      <c r="AB267" s="9" t="n">
        <v>3740202.607362905</v>
      </c>
      <c r="AC267" s="9" t="n">
        <v>208926.6623313389</v>
      </c>
      <c r="AD267" s="9" t="n">
        <v>319144.323619691</v>
      </c>
      <c r="AE267" s="9" t="n">
        <v>203141.1208648692</v>
      </c>
      <c r="AF267" s="9" t="n">
        <v>4384444.017364077</v>
      </c>
      <c r="AG267" s="9" t="n">
        <v>737141.214995391</v>
      </c>
      <c r="AH267" s="9" t="n">
        <v>826231.9893022089</v>
      </c>
      <c r="AI267" s="9" t="n">
        <v>1654696.921976238</v>
      </c>
      <c r="AJ267" s="9" t="n">
        <v>1648625.533265824</v>
      </c>
      <c r="AK267" s="9" t="n">
        <v>1657088.713225784</v>
      </c>
      <c r="AL267" s="9" t="n">
        <v>783995.0969053551</v>
      </c>
      <c r="AM267" s="9" t="n">
        <v>203083.847155567</v>
      </c>
      <c r="AN267" s="9" t="n">
        <v>239115.5707339207</v>
      </c>
      <c r="AO267" s="9" t="n">
        <v>618894.0016396173</v>
      </c>
      <c r="AP267" s="9" t="n">
        <v>617819.3438453993</v>
      </c>
      <c r="AQ267" s="9" t="n">
        <v>620079.7519860599</v>
      </c>
      <c r="AR267" s="9" t="n">
        <v>229157.6527600004</v>
      </c>
    </row>
    <row r="268">
      <c r="A268" s="4" t="inlineStr">
        <is>
          <t>Credito</t>
        </is>
      </c>
      <c r="B268" s="5" t="n">
        <v>202605</v>
      </c>
      <c r="C268" s="5" t="n">
        <v>2026</v>
      </c>
      <c r="D268" s="6" t="n">
        <v>1689191.04342058</v>
      </c>
      <c r="E268" s="11" t="n">
        <v>0.6318872662463315</v>
      </c>
      <c r="F268" s="22">
        <f>D268*(1-E268)</f>
        <v/>
      </c>
      <c r="G268" s="11" t="n">
        <v>0.6876</v>
      </c>
      <c r="H268" s="11" t="n">
        <v>0.2705061066766066</v>
      </c>
      <c r="I268" s="11" t="n">
        <v>0.02328693456911995</v>
      </c>
      <c r="J268" s="11" t="n">
        <v>0.6346957157549343</v>
      </c>
      <c r="K268" s="6" t="n">
        <v>3735358.431035576</v>
      </c>
      <c r="L268" s="18" t="n">
        <v>5432458.45118612</v>
      </c>
      <c r="M268" s="18" t="n">
        <v>5994458.528496129</v>
      </c>
      <c r="N268" s="23">
        <f>IF(L268=0,"",M268/L268)</f>
        <v/>
      </c>
      <c r="O268" s="6" t="n">
        <v>4832780.744632384</v>
      </c>
      <c r="P268" s="22">
        <f>M268*G268*(1+H268+I268)</f>
        <v/>
      </c>
      <c r="Q268" s="6" t="n">
        <v>2461964.75164503</v>
      </c>
      <c r="R268" s="22">
        <f>P268-M268*G268*J268</f>
        <v/>
      </c>
      <c r="S268" s="22">
        <f>IF(A268=A267,O268-O267,"")</f>
        <v/>
      </c>
      <c r="T268" s="22">
        <f>IF(A268=A267,P268-P267,"")</f>
        <v/>
      </c>
      <c r="U268" s="22">
        <f>IF(A268=A267,Q268-Q267,"")</f>
        <v/>
      </c>
      <c r="V268" s="22">
        <f>IF(A268=A267,R268-R267,"")</f>
        <v/>
      </c>
      <c r="W268" s="22">
        <f>IF(S268="","",D268-S268)</f>
        <v/>
      </c>
      <c r="X268" s="22">
        <f>IF(T268="","",D268-T268)</f>
        <v/>
      </c>
      <c r="Y268" s="22">
        <f>IF(U268="","",F268-U268)</f>
        <v/>
      </c>
      <c r="Z268" s="22">
        <f>IF(V268="","",F268-V268)</f>
        <v/>
      </c>
      <c r="AA268" s="6" t="n">
        <v>5315518.478551459</v>
      </c>
      <c r="AB268" s="6" t="n">
        <v>4597926.257771166</v>
      </c>
      <c r="AC268" s="6" t="n">
        <v>172130.7483172844</v>
      </c>
      <c r="AD268" s="6" t="n">
        <v>294597.8170025709</v>
      </c>
      <c r="AE268" s="6" t="n">
        <v>169286.7515071659</v>
      </c>
      <c r="AF268" s="6" t="n">
        <v>5311025.120807266</v>
      </c>
      <c r="AG268" s="6" t="n">
        <v>839867.7405572094</v>
      </c>
      <c r="AH268" s="6" t="n">
        <v>928818.2874336129</v>
      </c>
      <c r="AI268" s="6" t="n">
        <v>1722074.199578541</v>
      </c>
      <c r="AJ268" s="6" t="n">
        <v>1711255.61722606</v>
      </c>
      <c r="AK268" s="6" t="n">
        <v>1719453.237977881</v>
      </c>
      <c r="AL268" s="6" t="n">
        <v>868021.5208274622</v>
      </c>
      <c r="AM268" s="6" t="n">
        <v>237933.4575990383</v>
      </c>
      <c r="AN268" s="6" t="n">
        <v>276337.3753229899</v>
      </c>
      <c r="AO268" s="6" t="n">
        <v>640903.8982546757</v>
      </c>
      <c r="AP268" s="6" t="n">
        <v>636626.7654079043</v>
      </c>
      <c r="AQ268" s="6" t="n">
        <v>639503.9165534634</v>
      </c>
      <c r="AR268" s="6" t="n">
        <v>252579.6617578429</v>
      </c>
    </row>
    <row r="269">
      <c r="A269" t="inlineStr">
        <is>
          <t>Diversos</t>
        </is>
      </c>
      <c r="B269" s="8" t="n">
        <v>202201</v>
      </c>
      <c r="C269" s="8" t="n">
        <v>2022</v>
      </c>
      <c r="D269" s="9" t="n">
        <v>3872058.83246529</v>
      </c>
      <c r="E269" s="10" t="n">
        <v>0.1815482621345899</v>
      </c>
      <c r="F269" s="22">
        <f>D269*(1-E269)</f>
        <v/>
      </c>
      <c r="G269" s="10" t="n">
        <v>0.6067570143432802</v>
      </c>
      <c r="H269" s="10" t="n">
        <v>0.06278581474724255</v>
      </c>
      <c r="I269" s="10" t="n">
        <v>0.08649269509423486</v>
      </c>
      <c r="J269" s="10" t="n">
        <v>0.2304415463986982</v>
      </c>
      <c r="K269" s="9" t="n">
        <v>17829429.06749979</v>
      </c>
      <c r="L269" s="18" t="n">
        <v>29384792.66992465</v>
      </c>
      <c r="M269" s="18" t="n">
        <v>28345475.72213103</v>
      </c>
      <c r="N269" s="23">
        <f>IF(L269=0,"",M269/L269)</f>
        <v/>
      </c>
      <c r="O269" s="9" t="n">
        <v>20490979.67002048</v>
      </c>
      <c r="P269" s="22">
        <f>M269*G269*(1+H269+I269)</f>
        <v/>
      </c>
      <c r="Q269" s="9" t="n">
        <v>16382338.46429992</v>
      </c>
      <c r="R269" s="22">
        <f>P269-M269*G269*J269</f>
        <v/>
      </c>
      <c r="S269" s="22">
        <f>IF(A269=A268,O269-O268,"")</f>
        <v/>
      </c>
      <c r="T269" s="22">
        <f>IF(A269=A268,P269-P268,"")</f>
        <v/>
      </c>
      <c r="U269" s="22">
        <f>IF(A269=A268,Q269-Q268,"")</f>
        <v/>
      </c>
      <c r="V269" s="22">
        <f>IF(A269=A268,R269-R268,"")</f>
        <v/>
      </c>
      <c r="W269" s="22">
        <f>IF(S269="","",D269-S269)</f>
        <v/>
      </c>
      <c r="X269" s="22">
        <f>IF(T269="","",D269-T269)</f>
        <v/>
      </c>
      <c r="Y269" s="22">
        <f>IF(U269="","",F269-U269)</f>
        <v/>
      </c>
      <c r="Z269" s="22">
        <f>IF(V269="","",F269-V269)</f>
        <v/>
      </c>
      <c r="AA269" s="9" t="n">
        <v>28345475.72213103</v>
      </c>
      <c r="AB269" s="9" t="n">
        <v>24887630.60590455</v>
      </c>
      <c r="AC269" s="9" t="n">
        <v>12601546.83273423</v>
      </c>
      <c r="AD269" s="9" t="n">
        <v>4778223.391437833</v>
      </c>
      <c r="AE269" s="9" t="n">
        <v>3926705.892119861</v>
      </c>
      <c r="AF269" s="9" t="n">
        <v>28346067.30066229</v>
      </c>
    </row>
    <row r="270">
      <c r="A270" s="4" t="inlineStr">
        <is>
          <t>Diversos</t>
        </is>
      </c>
      <c r="B270" s="5" t="n">
        <v>202202</v>
      </c>
      <c r="C270" s="5" t="n">
        <v>2022</v>
      </c>
      <c r="D270" s="6" t="n">
        <v>1856403.65724519</v>
      </c>
      <c r="E270" s="11" t="n">
        <v>0.1815482621345899</v>
      </c>
      <c r="F270" s="22">
        <f>D270*(1-E270)</f>
        <v/>
      </c>
      <c r="G270" s="11" t="n">
        <v>0.5770630979272033</v>
      </c>
      <c r="H270" s="11" t="n">
        <v>0.06601651997923014</v>
      </c>
      <c r="I270" s="11" t="n">
        <v>0.08442378192014557</v>
      </c>
      <c r="J270" s="11" t="n">
        <v>0.2496198872636357</v>
      </c>
      <c r="K270" s="6" t="n">
        <v>16459513.90367035</v>
      </c>
      <c r="L270" s="18" t="n">
        <v>28522901.50382606</v>
      </c>
      <c r="M270" s="18" t="n">
        <v>26097759.54971628</v>
      </c>
      <c r="N270" s="23">
        <f>IF(L270=0,"",M270/L270)</f>
        <v/>
      </c>
      <c r="O270" s="6" t="n">
        <v>18935688.14445549</v>
      </c>
      <c r="P270" s="22">
        <f>M270*G270*(1+H270+I270)</f>
        <v/>
      </c>
      <c r="Q270" s="6" t="n">
        <v>14827066.13940706</v>
      </c>
      <c r="R270" s="22">
        <f>P270-M270*G270*J270</f>
        <v/>
      </c>
      <c r="S270" s="22">
        <f>IF(A270=A269,O270-O269,"")</f>
        <v/>
      </c>
      <c r="T270" s="22">
        <f>IF(A270=A269,P270-P269,"")</f>
        <v/>
      </c>
      <c r="U270" s="22">
        <f>IF(A270=A269,Q270-Q269,"")</f>
        <v/>
      </c>
      <c r="V270" s="22">
        <f>IF(A270=A269,R270-R269,"")</f>
        <v/>
      </c>
      <c r="W270" s="22">
        <f>IF(S270="","",D270-S270)</f>
        <v/>
      </c>
      <c r="X270" s="22">
        <f>IF(T270="","",D270-T270)</f>
        <v/>
      </c>
      <c r="Y270" s="22">
        <f>IF(U270="","",F270-U270)</f>
        <v/>
      </c>
      <c r="Z270" s="22">
        <f>IF(V270="","",F270-V270)</f>
        <v/>
      </c>
      <c r="AA270" s="6" t="n">
        <v>26097759.54971628</v>
      </c>
      <c r="AB270" s="6" t="n">
        <v>22709758.56496979</v>
      </c>
      <c r="AC270" s="6" t="n">
        <v>11103465.83086623</v>
      </c>
      <c r="AD270" s="6" t="n">
        <v>3944804.375489716</v>
      </c>
      <c r="AE270" s="6" t="n">
        <v>3089911.050127698</v>
      </c>
      <c r="AF270" s="6" t="n">
        <v>26070753.47764198</v>
      </c>
      <c r="AG270" s="6" t="n">
        <v>4296940.491503825</v>
      </c>
      <c r="AH270" s="6" t="n">
        <v>4134886.409679453</v>
      </c>
      <c r="AI270" s="6" t="n">
        <v>3272543.921010958</v>
      </c>
      <c r="AJ270" s="6" t="n">
        <v>2569552.048445474</v>
      </c>
      <c r="AK270" s="6" t="n">
        <v>2543304.68104039</v>
      </c>
      <c r="AL270" s="6" t="n">
        <v>4315281.719128201</v>
      </c>
      <c r="AM270" s="6" t="n">
        <v>3755880.803261632</v>
      </c>
      <c r="AN270" s="6" t="n">
        <v>3589280.195326453</v>
      </c>
      <c r="AO270" s="6" t="n">
        <v>2772957.834073552</v>
      </c>
      <c r="AP270" s="6" t="n">
        <v>2132659.291102352</v>
      </c>
      <c r="AQ270" s="6" t="n">
        <v>2102328.496838582</v>
      </c>
      <c r="AR270" s="6" t="n">
        <v>3770249.187030304</v>
      </c>
    </row>
    <row r="271">
      <c r="A271" t="inlineStr">
        <is>
          <t>Diversos</t>
        </is>
      </c>
      <c r="B271" s="8" t="n">
        <v>202203</v>
      </c>
      <c r="C271" s="8" t="n">
        <v>2022</v>
      </c>
      <c r="D271" s="9" t="n">
        <v>3068591.7910744</v>
      </c>
      <c r="E271" s="10" t="n">
        <v>0.1815482621345899</v>
      </c>
      <c r="F271" s="22">
        <f>D271*(1-E271)</f>
        <v/>
      </c>
      <c r="G271" s="10" t="n">
        <v>0.5750466924442842</v>
      </c>
      <c r="H271" s="10" t="n">
        <v>0.06624795546674686</v>
      </c>
      <c r="I271" s="10" t="n">
        <v>0.1074709960557821</v>
      </c>
      <c r="J271" s="10" t="n">
        <v>0.2444410513207779</v>
      </c>
      <c r="K271" s="9" t="n">
        <v>15917307.3424798</v>
      </c>
      <c r="L271" s="18" t="n">
        <v>27680025.90332613</v>
      </c>
      <c r="M271" s="18" t="n">
        <v>25082253.90999004</v>
      </c>
      <c r="N271" s="23">
        <f>IF(L271=0,"",M271/L271)</f>
        <v/>
      </c>
      <c r="O271" s="9" t="n">
        <v>18682445.28507724</v>
      </c>
      <c r="P271" s="22">
        <f>M271*G271*(1+H271+I271)</f>
        <v/>
      </c>
      <c r="Q271" s="9" t="n">
        <v>14791601.94408554</v>
      </c>
      <c r="R271" s="22">
        <f>P271-M271*G271*J271</f>
        <v/>
      </c>
      <c r="S271" s="22">
        <f>IF(A271=A270,O271-O270,"")</f>
        <v/>
      </c>
      <c r="T271" s="22">
        <f>IF(A271=A270,P271-P270,"")</f>
        <v/>
      </c>
      <c r="U271" s="22">
        <f>IF(A271=A270,Q271-Q270,"")</f>
        <v/>
      </c>
      <c r="V271" s="22">
        <f>IF(A271=A270,R271-R270,"")</f>
        <v/>
      </c>
      <c r="W271" s="22">
        <f>IF(S271="","",D271-S271)</f>
        <v/>
      </c>
      <c r="X271" s="22">
        <f>IF(T271="","",D271-T271)</f>
        <v/>
      </c>
      <c r="Y271" s="22">
        <f>IF(U271="","",F271-U271)</f>
        <v/>
      </c>
      <c r="Z271" s="22">
        <f>IF(V271="","",F271-V271)</f>
        <v/>
      </c>
      <c r="AA271" s="9" t="n">
        <v>25082253.90999004</v>
      </c>
      <c r="AB271" s="9" t="n">
        <v>21683749.66147772</v>
      </c>
      <c r="AC271" s="9" t="n">
        <v>9718647.581201196</v>
      </c>
      <c r="AD271" s="9" t="n">
        <v>3574018.017820805</v>
      </c>
      <c r="AE271" s="9" t="n">
        <v>2721615.12228412</v>
      </c>
      <c r="AF271" s="9" t="n">
        <v>25075026.13704211</v>
      </c>
      <c r="AG271" s="9" t="n">
        <v>3465188.091767532</v>
      </c>
      <c r="AH271" s="9" t="n">
        <v>3509770.702004242</v>
      </c>
      <c r="AI271" s="9" t="n">
        <v>3880388.323050063</v>
      </c>
      <c r="AJ271" s="9" t="n">
        <v>3275196.122318323</v>
      </c>
      <c r="AK271" s="9" t="n">
        <v>3282975.94878828</v>
      </c>
      <c r="AL271" s="9" t="n">
        <v>3452137.727464267</v>
      </c>
      <c r="AM271" s="9" t="n">
        <v>2674489.083377643</v>
      </c>
      <c r="AN271" s="9" t="n">
        <v>2729390.31381558</v>
      </c>
      <c r="AO271" s="9" t="n">
        <v>3089978.125919764</v>
      </c>
      <c r="AP271" s="9" t="n">
        <v>2652245.553285412</v>
      </c>
      <c r="AQ271" s="9" t="n">
        <v>2663351.679008445</v>
      </c>
      <c r="AR271" s="9" t="n">
        <v>2664312.875187132</v>
      </c>
    </row>
    <row r="272">
      <c r="A272" s="4" t="inlineStr">
        <is>
          <t>Diversos</t>
        </is>
      </c>
      <c r="B272" s="5" t="n">
        <v>202204</v>
      </c>
      <c r="C272" s="5" t="n">
        <v>2022</v>
      </c>
      <c r="D272" s="6" t="n">
        <v>2389688.827069642</v>
      </c>
      <c r="E272" s="11" t="n">
        <v>0.1815482621345899</v>
      </c>
      <c r="F272" s="22">
        <f>D272*(1-E272)</f>
        <v/>
      </c>
      <c r="G272" s="11" t="n">
        <v>0.5830932572377024</v>
      </c>
      <c r="H272" s="11" t="n">
        <v>0.06533388245668345</v>
      </c>
      <c r="I272" s="11" t="n">
        <v>0.05681285876420537</v>
      </c>
      <c r="J272" s="11" t="n">
        <v>0.2379598564248433</v>
      </c>
      <c r="K272" s="6" t="n">
        <v>15044299.4735885</v>
      </c>
      <c r="L272" s="18" t="n">
        <v>25800846.24003047</v>
      </c>
      <c r="M272" s="18" t="n">
        <v>23384623.49754328</v>
      </c>
      <c r="N272" s="23">
        <f>IF(L272=0,"",M272/L272)</f>
        <v/>
      </c>
      <c r="O272" s="6" t="n">
        <v>16881911.62823846</v>
      </c>
      <c r="P272" s="22">
        <f>M272*G272*(1+H272+I272)</f>
        <v/>
      </c>
      <c r="Q272" s="6" t="n">
        <v>13301972.285491</v>
      </c>
      <c r="R272" s="22">
        <f>P272-M272*G272*J272</f>
        <v/>
      </c>
      <c r="S272" s="22">
        <f>IF(A272=A271,O272-O271,"")</f>
        <v/>
      </c>
      <c r="T272" s="22">
        <f>IF(A272=A271,P272-P271,"")</f>
        <v/>
      </c>
      <c r="U272" s="22">
        <f>IF(A272=A271,Q272-Q271,"")</f>
        <v/>
      </c>
      <c r="V272" s="22">
        <f>IF(A272=A271,R272-R271,"")</f>
        <v/>
      </c>
      <c r="W272" s="22">
        <f>IF(S272="","",D272-S272)</f>
        <v/>
      </c>
      <c r="X272" s="22">
        <f>IF(T272="","",D272-T272)</f>
        <v/>
      </c>
      <c r="Y272" s="22">
        <f>IF(U272="","",F272-U272)</f>
        <v/>
      </c>
      <c r="Z272" s="22">
        <f>IF(V272="","",F272-V272)</f>
        <v/>
      </c>
      <c r="AA272" s="6" t="n">
        <v>23384623.49754328</v>
      </c>
      <c r="AB272" s="6" t="n">
        <v>20060317.63134965</v>
      </c>
      <c r="AC272" s="6" t="n">
        <v>8682737.544550912</v>
      </c>
      <c r="AD272" s="6" t="n">
        <v>3319723.853486536</v>
      </c>
      <c r="AE272" s="6" t="n">
        <v>2483945.718075016</v>
      </c>
      <c r="AF272" s="6" t="n">
        <v>23435585.53349946</v>
      </c>
      <c r="AG272" s="6" t="n">
        <v>4017847.618875767</v>
      </c>
      <c r="AH272" s="6" t="n">
        <v>3899197.459813333</v>
      </c>
      <c r="AI272" s="6" t="n">
        <v>3267968.112079428</v>
      </c>
      <c r="AJ272" s="6" t="n">
        <v>2629798.896532512</v>
      </c>
      <c r="AK272" s="6" t="n">
        <v>2601338.530034468</v>
      </c>
      <c r="AL272" s="6" t="n">
        <v>3979623.997035202</v>
      </c>
      <c r="AM272" s="6" t="n">
        <v>3302997.99278821</v>
      </c>
      <c r="AN272" s="6" t="n">
        <v>3200801.938443846</v>
      </c>
      <c r="AO272" s="6" t="n">
        <v>2672776.425537322</v>
      </c>
      <c r="AP272" s="6" t="n">
        <v>2154194.075028216</v>
      </c>
      <c r="AQ272" s="6" t="n">
        <v>2129585.190685968</v>
      </c>
      <c r="AR272" s="6" t="n">
        <v>3272861.467542191</v>
      </c>
    </row>
    <row r="273">
      <c r="A273" t="inlineStr">
        <is>
          <t>Diversos</t>
        </is>
      </c>
      <c r="B273" s="8" t="n">
        <v>202205</v>
      </c>
      <c r="C273" s="8" t="n">
        <v>2022</v>
      </c>
      <c r="D273" s="9" t="n">
        <v>5644550.569523253</v>
      </c>
      <c r="E273" s="10" t="n">
        <v>0.1815482621345899</v>
      </c>
      <c r="F273" s="22">
        <f>D273*(1-E273)</f>
        <v/>
      </c>
      <c r="G273" s="10" t="n">
        <v>0.6059955184318888</v>
      </c>
      <c r="H273" s="10" t="n">
        <v>0.06286471968434942</v>
      </c>
      <c r="I273" s="10" t="n">
        <v>0.05715582759969191</v>
      </c>
      <c r="J273" s="10" t="n">
        <v>0.2210680041629268</v>
      </c>
      <c r="K273" s="9" t="n">
        <v>16660806.68410759</v>
      </c>
      <c r="L273" s="18" t="n">
        <v>27493283.65863186</v>
      </c>
      <c r="M273" s="18" t="n">
        <v>24808227.12210219</v>
      </c>
      <c r="N273" s="23">
        <f>IF(L273=0,"",M273/L273)</f>
        <v/>
      </c>
      <c r="O273" s="9" t="n">
        <v>18660445.8205278</v>
      </c>
      <c r="P273" s="22">
        <f>M273*G273*(1+H273+I273)</f>
        <v/>
      </c>
      <c r="Q273" s="9" t="n">
        <v>14977274.53912779</v>
      </c>
      <c r="R273" s="22">
        <f>P273-M273*G273*J273</f>
        <v/>
      </c>
      <c r="S273" s="22">
        <f>IF(A273=A272,O273-O272,"")</f>
        <v/>
      </c>
      <c r="T273" s="22">
        <f>IF(A273=A272,P273-P272,"")</f>
        <v/>
      </c>
      <c r="U273" s="22">
        <f>IF(A273=A272,Q273-Q272,"")</f>
        <v/>
      </c>
      <c r="V273" s="22">
        <f>IF(A273=A272,R273-R272,"")</f>
        <v/>
      </c>
      <c r="W273" s="22">
        <f>IF(S273="","",D273-S273)</f>
        <v/>
      </c>
      <c r="X273" s="22">
        <f>IF(T273="","",D273-T273)</f>
        <v/>
      </c>
      <c r="Y273" s="22">
        <f>IF(U273="","",F273-U273)</f>
        <v/>
      </c>
      <c r="Z273" s="22">
        <f>IF(V273="","",F273-V273)</f>
        <v/>
      </c>
      <c r="AA273" s="9" t="n">
        <v>24808227.12210219</v>
      </c>
      <c r="AB273" s="9" t="n">
        <v>21351785.29259613</v>
      </c>
      <c r="AC273" s="9" t="n">
        <v>9323151.749068718</v>
      </c>
      <c r="AD273" s="9" t="n">
        <v>4097694.331377558</v>
      </c>
      <c r="AE273" s="9" t="n">
        <v>3227017.282850459</v>
      </c>
      <c r="AF273" s="9" t="n">
        <v>24954487.96672847</v>
      </c>
      <c r="AG273" s="9" t="n">
        <v>4107464.226158354</v>
      </c>
      <c r="AH273" s="9" t="n">
        <v>4278298.936857417</v>
      </c>
      <c r="AI273" s="9" t="n">
        <v>4997927.544991361</v>
      </c>
      <c r="AJ273" s="9" t="n">
        <v>5035482.109697735</v>
      </c>
      <c r="AK273" s="9" t="n">
        <v>5079571.334825659</v>
      </c>
      <c r="AL273" s="9" t="n">
        <v>4041538.264284385</v>
      </c>
      <c r="AM273" s="9" t="n">
        <v>3161488.585662472</v>
      </c>
      <c r="AN273" s="9" t="n">
        <v>3330533.556883433</v>
      </c>
      <c r="AO273" s="9" t="n">
        <v>4017402.555106635</v>
      </c>
      <c r="AP273" s="9" t="n">
        <v>4099055.443392322</v>
      </c>
      <c r="AQ273" s="9" t="n">
        <v>4142469.90191931</v>
      </c>
      <c r="AR273" s="9" t="n">
        <v>3108085.511686998</v>
      </c>
    </row>
    <row r="274">
      <c r="A274" s="4" t="inlineStr">
        <is>
          <t>Diversos</t>
        </is>
      </c>
      <c r="B274" s="5" t="n">
        <v>202206</v>
      </c>
      <c r="C274" s="5" t="n">
        <v>2022</v>
      </c>
      <c r="D274" s="6" t="n">
        <v>4090142.68189498</v>
      </c>
      <c r="E274" s="11" t="n">
        <v>0.1815482621345899</v>
      </c>
      <c r="F274" s="22">
        <f>D274*(1-E274)</f>
        <v/>
      </c>
      <c r="G274" s="11" t="n">
        <v>0.6096053993395198</v>
      </c>
      <c r="H274" s="11" t="n">
        <v>0.06249248507061009</v>
      </c>
      <c r="I274" s="11" t="n">
        <v>0.04313224754828936</v>
      </c>
      <c r="J274" s="11" t="n">
        <v>0.1900272345904538</v>
      </c>
      <c r="K274" s="6" t="n">
        <v>16359637.32896952</v>
      </c>
      <c r="L274" s="18" t="n">
        <v>26836437.71314109</v>
      </c>
      <c r="M274" s="18" t="n">
        <v>24651535.41082041</v>
      </c>
      <c r="N274" s="23">
        <f>IF(L274=0,"",M274/L274)</f>
        <v/>
      </c>
      <c r="O274" s="6" t="n">
        <v>18087619.6475841</v>
      </c>
      <c r="P274" s="22">
        <f>M274*G274*(1+H274+I274)</f>
        <v/>
      </c>
      <c r="Q274" s="6" t="n">
        <v>14978843.00705726</v>
      </c>
      <c r="R274" s="22">
        <f>P274-M274*G274*J274</f>
        <v/>
      </c>
      <c r="S274" s="22">
        <f>IF(A274=A273,O274-O273,"")</f>
        <v/>
      </c>
      <c r="T274" s="22">
        <f>IF(A274=A273,P274-P273,"")</f>
        <v/>
      </c>
      <c r="U274" s="22">
        <f>IF(A274=A273,Q274-Q273,"")</f>
        <v/>
      </c>
      <c r="V274" s="22">
        <f>IF(A274=A273,R274-R273,"")</f>
        <v/>
      </c>
      <c r="W274" s="22">
        <f>IF(S274="","",D274-S274)</f>
        <v/>
      </c>
      <c r="X274" s="22">
        <f>IF(T274="","",D274-T274)</f>
        <v/>
      </c>
      <c r="Y274" s="22">
        <f>IF(U274="","",F274-U274)</f>
        <v/>
      </c>
      <c r="Z274" s="22">
        <f>IF(V274="","",F274-V274)</f>
        <v/>
      </c>
      <c r="AA274" s="6" t="n">
        <v>24651535.41082041</v>
      </c>
      <c r="AB274" s="6" t="n">
        <v>21174398.64551441</v>
      </c>
      <c r="AC274" s="6" t="n">
        <v>8374096.008228073</v>
      </c>
      <c r="AD274" s="6" t="n">
        <v>3798949.390995183</v>
      </c>
      <c r="AE274" s="6" t="n">
        <v>2917426.514310768</v>
      </c>
      <c r="AF274" s="6" t="n">
        <v>24870835.94058357</v>
      </c>
      <c r="AG274" s="6" t="n">
        <v>4313160.131269554</v>
      </c>
      <c r="AH274" s="6" t="n">
        <v>4310750.365580674</v>
      </c>
      <c r="AI274" s="6" t="n">
        <v>4773924.308689293</v>
      </c>
      <c r="AJ274" s="6" t="n">
        <v>4310888.073146418</v>
      </c>
      <c r="AK274" s="6" t="n">
        <v>4314077.516545649</v>
      </c>
      <c r="AL274" s="6" t="n">
        <v>4264623.960619517</v>
      </c>
      <c r="AM274" s="6" t="n">
        <v>3102811.428521232</v>
      </c>
      <c r="AN274" s="6" t="n">
        <v>3160650.924196069</v>
      </c>
      <c r="AO274" s="6" t="n">
        <v>3752447.533074168</v>
      </c>
      <c r="AP274" s="6" t="n">
        <v>3459453.640938773</v>
      </c>
      <c r="AQ274" s="6" t="n">
        <v>3477167.351833064</v>
      </c>
      <c r="AR274" s="6" t="n">
        <v>3060085.375852115</v>
      </c>
    </row>
    <row r="275">
      <c r="A275" t="inlineStr">
        <is>
          <t>Diversos</t>
        </is>
      </c>
      <c r="B275" s="8" t="n">
        <v>202207</v>
      </c>
      <c r="C275" s="8" t="n">
        <v>2022</v>
      </c>
      <c r="D275" s="9" t="n">
        <v>4099479.880738216</v>
      </c>
      <c r="E275" s="10" t="n">
        <v>0.1815482621345899</v>
      </c>
      <c r="F275" s="22">
        <f>D275*(1-E275)</f>
        <v/>
      </c>
      <c r="G275" s="10" t="n">
        <v>0.5800173910435202</v>
      </c>
      <c r="H275" s="10" t="n">
        <v>0.06091289889176949</v>
      </c>
      <c r="I275" s="10" t="n">
        <v>0.07163526149517054</v>
      </c>
      <c r="J275" s="10" t="n">
        <v>0.2084656179531385</v>
      </c>
      <c r="K275" s="9" t="n">
        <v>13402821.75311601</v>
      </c>
      <c r="L275" s="18" t="n">
        <v>23107620.49565917</v>
      </c>
      <c r="M275" s="18" t="n">
        <v>24557807.09935841</v>
      </c>
      <c r="N275" s="23">
        <f>IF(L275=0,"",M275/L275)</f>
        <v/>
      </c>
      <c r="O275" s="9" t="n">
        <v>15179341.1204856</v>
      </c>
      <c r="P275" s="22">
        <f>M275*G275*(1+H275+I275)</f>
        <v/>
      </c>
      <c r="Q275" s="9" t="n">
        <v>12385313.6014065</v>
      </c>
      <c r="R275" s="22">
        <f>P275-M275*G275*J275</f>
        <v/>
      </c>
      <c r="S275" s="22">
        <f>IF(A275=A274,O275-O274,"")</f>
        <v/>
      </c>
      <c r="T275" s="22">
        <f>IF(A275=A274,P275-P274,"")</f>
        <v/>
      </c>
      <c r="U275" s="22">
        <f>IF(A275=A274,Q275-Q274,"")</f>
        <v/>
      </c>
      <c r="V275" s="22">
        <f>IF(A275=A274,R275-R274,"")</f>
        <v/>
      </c>
      <c r="W275" s="22">
        <f>IF(S275="","",D275-S275)</f>
        <v/>
      </c>
      <c r="X275" s="22">
        <f>IF(T275="","",D275-T275)</f>
        <v/>
      </c>
      <c r="Y275" s="22">
        <f>IF(U275="","",F275-U275)</f>
        <v/>
      </c>
      <c r="Z275" s="22">
        <f>IF(V275="","",F275-V275)</f>
        <v/>
      </c>
      <c r="AA275" s="9" t="n">
        <v>24557807.09935841</v>
      </c>
      <c r="AB275" s="9" t="n">
        <v>21021156.92832828</v>
      </c>
      <c r="AC275" s="9" t="n">
        <v>7442387.022989292</v>
      </c>
      <c r="AD275" s="9" t="n">
        <v>3630574.184451114</v>
      </c>
      <c r="AE275" s="9" t="n">
        <v>2764354.640447945</v>
      </c>
      <c r="AF275" s="9" t="n">
        <v>24758589.1062945</v>
      </c>
      <c r="AG275" s="9" t="n">
        <v>4582521.461144918</v>
      </c>
      <c r="AH275" s="9" t="n">
        <v>4562166.45205042</v>
      </c>
      <c r="AI275" s="9" t="n">
        <v>4854690.709523745</v>
      </c>
      <c r="AJ275" s="9" t="n">
        <v>4275036.466517959</v>
      </c>
      <c r="AK275" s="9" t="n">
        <v>4249912.190530086</v>
      </c>
      <c r="AL275" s="9" t="n">
        <v>4598435.654954293</v>
      </c>
      <c r="AM275" s="9" t="n">
        <v>3951968.936432654</v>
      </c>
      <c r="AN275" s="9" t="n">
        <v>3906781.711143307</v>
      </c>
      <c r="AO275" s="9" t="n">
        <v>4040254.77655825</v>
      </c>
      <c r="AP275" s="9" t="n">
        <v>3529692.634629409</v>
      </c>
      <c r="AQ275" s="9" t="n">
        <v>3501947.607910714</v>
      </c>
      <c r="AR275" s="9" t="n">
        <v>3966756.291911952</v>
      </c>
    </row>
    <row r="276">
      <c r="A276" s="4" t="inlineStr">
        <is>
          <t>Diversos</t>
        </is>
      </c>
      <c r="B276" s="5" t="n">
        <v>202208</v>
      </c>
      <c r="C276" s="5" t="n">
        <v>2022</v>
      </c>
      <c r="D276" s="6" t="n">
        <v>7822242.198034076</v>
      </c>
      <c r="E276" s="11" t="n">
        <v>0.1815482621345899</v>
      </c>
      <c r="F276" s="22">
        <f>D276*(1-E276)</f>
        <v/>
      </c>
      <c r="G276" s="11" t="n">
        <v>0.5652475460696607</v>
      </c>
      <c r="H276" s="11" t="n">
        <v>0.06250454479987635</v>
      </c>
      <c r="I276" s="11" t="n">
        <v>0.05741015097845059</v>
      </c>
      <c r="J276" s="11" t="n">
        <v>0.1668826904864033</v>
      </c>
      <c r="K276" s="6" t="n">
        <v>14719429.68594861</v>
      </c>
      <c r="L276" s="18" t="n">
        <v>26040678.61647045</v>
      </c>
      <c r="M276" s="18" t="n">
        <v>28020328.14960682</v>
      </c>
      <c r="N276" s="23">
        <f>IF(L276=0,"",M276/L276)</f>
        <v/>
      </c>
      <c r="O276" s="6" t="n">
        <v>16484505.61876961</v>
      </c>
      <c r="P276" s="22">
        <f>M276*G276*(1+H276+I276)</f>
        <v/>
      </c>
      <c r="Q276" s="6" t="n">
        <v>14028087.59035307</v>
      </c>
      <c r="R276" s="22">
        <f>P276-M276*G276*J276</f>
        <v/>
      </c>
      <c r="S276" s="22">
        <f>IF(A276=A275,O276-O275,"")</f>
        <v/>
      </c>
      <c r="T276" s="22">
        <f>IF(A276=A275,P276-P275,"")</f>
        <v/>
      </c>
      <c r="U276" s="22">
        <f>IF(A276=A275,Q276-Q275,"")</f>
        <v/>
      </c>
      <c r="V276" s="22">
        <f>IF(A276=A275,R276-R275,"")</f>
        <v/>
      </c>
      <c r="W276" s="22">
        <f>IF(S276="","",D276-S276)</f>
        <v/>
      </c>
      <c r="X276" s="22">
        <f>IF(T276="","",D276-T276)</f>
        <v/>
      </c>
      <c r="Y276" s="22">
        <f>IF(U276="","",F276-U276)</f>
        <v/>
      </c>
      <c r="Z276" s="22">
        <f>IF(V276="","",F276-V276)</f>
        <v/>
      </c>
      <c r="AA276" s="6" t="n">
        <v>28020328.14960682</v>
      </c>
      <c r="AB276" s="6" t="n">
        <v>24134658.71295673</v>
      </c>
      <c r="AC276" s="6" t="n">
        <v>6943581.455441325</v>
      </c>
      <c r="AD276" s="6" t="n">
        <v>3562007.414680363</v>
      </c>
      <c r="AE276" s="6" t="n">
        <v>2674914.358727038</v>
      </c>
      <c r="AF276" s="6" t="n">
        <v>28032769.97919767</v>
      </c>
      <c r="AG276" s="6" t="n">
        <v>6216526.210824726</v>
      </c>
      <c r="AH276" s="6" t="n">
        <v>6353050.666455185</v>
      </c>
      <c r="AI276" s="6" t="n">
        <v>8315639.930730816</v>
      </c>
      <c r="AJ276" s="6" t="n">
        <v>7952303.661125813</v>
      </c>
      <c r="AK276" s="6" t="n">
        <v>7944841.756207066</v>
      </c>
      <c r="AL276" s="6" t="n">
        <v>6340543.395808768</v>
      </c>
      <c r="AM276" s="6" t="n">
        <v>4470195.24097582</v>
      </c>
      <c r="AN276" s="6" t="n">
        <v>4667813.777766429</v>
      </c>
      <c r="AO276" s="6" t="n">
        <v>6650627.277993412</v>
      </c>
      <c r="AP276" s="6" t="n">
        <v>6429207.355796042</v>
      </c>
      <c r="AQ276" s="6" t="n">
        <v>6442803.731247971</v>
      </c>
      <c r="AR276" s="6" t="n">
        <v>4571108.772025406</v>
      </c>
    </row>
    <row r="277">
      <c r="A277" t="inlineStr">
        <is>
          <t>Diversos</t>
        </is>
      </c>
      <c r="B277" s="8" t="n">
        <v>202209</v>
      </c>
      <c r="C277" s="8" t="n">
        <v>2022</v>
      </c>
      <c r="D277" s="9" t="n">
        <v>6008565.171802198</v>
      </c>
      <c r="E277" s="10" t="n">
        <v>0.1815482621345899</v>
      </c>
      <c r="F277" s="22">
        <f>D277*(1-E277)</f>
        <v/>
      </c>
      <c r="G277" s="10" t="n">
        <v>0.5878474866318724</v>
      </c>
      <c r="H277" s="10" t="n">
        <v>0.06010157008105414</v>
      </c>
      <c r="I277" s="10" t="n">
        <v>0.08602137990654692</v>
      </c>
      <c r="J277" s="10" t="n">
        <v>0.1402810039115832</v>
      </c>
      <c r="K277" s="9" t="n">
        <v>16179255.46253558</v>
      </c>
      <c r="L277" s="18" t="n">
        <v>27522879.3700151</v>
      </c>
      <c r="M277" s="18" t="n">
        <v>29386203.97947314</v>
      </c>
      <c r="N277" s="23">
        <f>IF(L277=0,"",M277/L277)</f>
        <v/>
      </c>
      <c r="O277" s="9" t="n">
        <v>18543415.99932429</v>
      </c>
      <c r="P277" s="22">
        <f>M277*G277*(1+H277+I277)</f>
        <v/>
      </c>
      <c r="Q277" s="9" t="n">
        <v>16273773.80049783</v>
      </c>
      <c r="R277" s="22">
        <f>P277-M277*G277*J277</f>
        <v/>
      </c>
      <c r="S277" s="22">
        <f>IF(A277=A276,O277-O276,"")</f>
        <v/>
      </c>
      <c r="T277" s="22">
        <f>IF(A277=A276,P277-P276,"")</f>
        <v/>
      </c>
      <c r="U277" s="22">
        <f>IF(A277=A276,Q277-Q276,"")</f>
        <v/>
      </c>
      <c r="V277" s="22">
        <f>IF(A277=A276,R277-R276,"")</f>
        <v/>
      </c>
      <c r="W277" s="22">
        <f>IF(S277="","",D277-S277)</f>
        <v/>
      </c>
      <c r="X277" s="22">
        <f>IF(T277="","",D277-T277)</f>
        <v/>
      </c>
      <c r="Y277" s="22">
        <f>IF(U277="","",F277-U277)</f>
        <v/>
      </c>
      <c r="Z277" s="22">
        <f>IF(V277="","",F277-V277)</f>
        <v/>
      </c>
      <c r="AA277" s="9" t="n">
        <v>29386203.97947314</v>
      </c>
      <c r="AB277" s="9" t="n">
        <v>25280799.50942507</v>
      </c>
      <c r="AC277" s="9" t="n">
        <v>7835626.215943653</v>
      </c>
      <c r="AD277" s="9" t="n">
        <v>3940577.036473662</v>
      </c>
      <c r="AE277" s="9" t="n">
        <v>3033715.518929272</v>
      </c>
      <c r="AF277" s="9" t="n">
        <v>29343408.06702146</v>
      </c>
      <c r="AG277" s="9" t="n">
        <v>3947423.859751326</v>
      </c>
      <c r="AH277" s="9" t="n">
        <v>4253680.060382982</v>
      </c>
      <c r="AI277" s="9" t="n">
        <v>5124835.962654883</v>
      </c>
      <c r="AJ277" s="9" t="n">
        <v>5608473.255100396</v>
      </c>
      <c r="AK277" s="9" t="n">
        <v>5657911.457687655</v>
      </c>
      <c r="AL277" s="9" t="n">
        <v>3984133.452354432</v>
      </c>
      <c r="AM277" s="9" t="n">
        <v>2636719.957126938</v>
      </c>
      <c r="AN277" s="9" t="n">
        <v>2970964.078084389</v>
      </c>
      <c r="AO277" s="9" t="n">
        <v>4025158.93378436</v>
      </c>
      <c r="AP277" s="9" t="n">
        <v>4506579.516187726</v>
      </c>
      <c r="AQ277" s="9" t="n">
        <v>4564913.955421385</v>
      </c>
      <c r="AR277" s="9" t="n">
        <v>2668726.796468018</v>
      </c>
    </row>
    <row r="278">
      <c r="A278" s="4" t="inlineStr">
        <is>
          <t>Diversos</t>
        </is>
      </c>
      <c r="B278" s="5" t="n">
        <v>202210</v>
      </c>
      <c r="C278" s="5" t="n">
        <v>2022</v>
      </c>
      <c r="D278" s="6" t="n">
        <v>3251568.820996653</v>
      </c>
      <c r="E278" s="11" t="n">
        <v>0.1815482621345899</v>
      </c>
      <c r="F278" s="22">
        <f>D278*(1-E278)</f>
        <v/>
      </c>
      <c r="G278" s="11" t="n">
        <v>0.5428638662671313</v>
      </c>
      <c r="H278" s="11" t="n">
        <v>0.06508160366921292</v>
      </c>
      <c r="I278" s="11" t="n">
        <v>0.113835540370212</v>
      </c>
      <c r="J278" s="11" t="n">
        <v>0.1445693622134041</v>
      </c>
      <c r="K278" s="6" t="n">
        <v>14320995.1676653</v>
      </c>
      <c r="L278" s="18" t="n">
        <v>26380453.844055</v>
      </c>
      <c r="M278" s="18" t="n">
        <v>27707696.8933706</v>
      </c>
      <c r="N278" s="23">
        <f>IF(L278=0,"",M278/L278)</f>
        <v/>
      </c>
      <c r="O278" s="6" t="n">
        <v>16883266.72286639</v>
      </c>
      <c r="P278" s="22">
        <f>M278*G278*(1+H278+I278)</f>
        <v/>
      </c>
      <c r="Q278" s="6" t="n">
        <v>14812889.58521577</v>
      </c>
      <c r="R278" s="22">
        <f>P278-M278*G278*J278</f>
        <v/>
      </c>
      <c r="S278" s="22">
        <f>IF(A278=A277,O278-O277,"")</f>
        <v/>
      </c>
      <c r="T278" s="22">
        <f>IF(A278=A277,P278-P277,"")</f>
        <v/>
      </c>
      <c r="U278" s="22">
        <f>IF(A278=A277,Q278-Q277,"")</f>
        <v/>
      </c>
      <c r="V278" s="22">
        <f>IF(A278=A277,R278-R277,"")</f>
        <v/>
      </c>
      <c r="W278" s="22">
        <f>IF(S278="","",D278-S278)</f>
        <v/>
      </c>
      <c r="X278" s="22">
        <f>IF(T278="","",D278-T278)</f>
        <v/>
      </c>
      <c r="Y278" s="22">
        <f>IF(U278="","",F278-U278)</f>
        <v/>
      </c>
      <c r="Z278" s="22">
        <f>IF(V278="","",F278-V278)</f>
        <v/>
      </c>
      <c r="AA278" s="6" t="n">
        <v>27707696.8933706</v>
      </c>
      <c r="AB278" s="6" t="n">
        <v>23645277.35318332</v>
      </c>
      <c r="AC278" s="6" t="n">
        <v>7008787.257134424</v>
      </c>
      <c r="AD278" s="6" t="n">
        <v>3545526.730339035</v>
      </c>
      <c r="AE278" s="6" t="n">
        <v>2641420.253785003</v>
      </c>
      <c r="AF278" s="6" t="n">
        <v>27859091.69194223</v>
      </c>
      <c r="AG278" s="6" t="n">
        <v>5317700.364793707</v>
      </c>
      <c r="AH278" s="6" t="n">
        <v>5151616.647421744</v>
      </c>
      <c r="AI278" s="6" t="n">
        <v>4045222.286784777</v>
      </c>
      <c r="AJ278" s="6" t="n">
        <v>3637407.811902393</v>
      </c>
      <c r="AK278" s="6" t="n">
        <v>3605034.426501716</v>
      </c>
      <c r="AL278" s="6" t="n">
        <v>5191975.424473077</v>
      </c>
      <c r="AM278" s="6" t="n">
        <v>4478625.743442841</v>
      </c>
      <c r="AN278" s="6" t="n">
        <v>4332264.715507383</v>
      </c>
      <c r="AO278" s="6" t="n">
        <v>3358809.843624822</v>
      </c>
      <c r="AP278" s="6" t="n">
        <v>3000394.24195794</v>
      </c>
      <c r="AQ278" s="6" t="n">
        <v>2971848.518633311</v>
      </c>
      <c r="AR278" s="6" t="n">
        <v>4368311.606507275</v>
      </c>
    </row>
    <row r="279">
      <c r="A279" t="inlineStr">
        <is>
          <t>Diversos</t>
        </is>
      </c>
      <c r="B279" s="8" t="n">
        <v>202211</v>
      </c>
      <c r="C279" s="8" t="n">
        <v>2022</v>
      </c>
      <c r="D279" s="9" t="n">
        <v>2813308.439512433</v>
      </c>
      <c r="E279" s="10" t="n">
        <v>0.1815482621345899</v>
      </c>
      <c r="F279" s="22">
        <f>D279*(1-E279)</f>
        <v/>
      </c>
      <c r="G279" s="10" t="n">
        <v>0.6122968792757405</v>
      </c>
      <c r="H279" s="10" t="n">
        <v>0.05770160025308364</v>
      </c>
      <c r="I279" s="10" t="n">
        <v>0.1080980306675682</v>
      </c>
      <c r="J279" s="10" t="n">
        <v>0.1364486121879805</v>
      </c>
      <c r="K279" s="9" t="n">
        <v>15281054.65271052</v>
      </c>
      <c r="L279" s="18" t="n">
        <v>24956937.01850288</v>
      </c>
      <c r="M279" s="18" t="n">
        <v>25881557.66236277</v>
      </c>
      <c r="N279" s="23">
        <f>IF(L279=0,"",M279/L279)</f>
        <v/>
      </c>
      <c r="O279" s="9" t="n">
        <v>17814647.87420823</v>
      </c>
      <c r="P279" s="22">
        <f>M279*G279*(1+H279+I279)</f>
        <v/>
      </c>
      <c r="Q279" s="9" t="n">
        <v>15729569.1740772</v>
      </c>
      <c r="R279" s="22">
        <f>P279-M279*G279*J279</f>
        <v/>
      </c>
      <c r="S279" s="22">
        <f>IF(A279=A278,O279-O278,"")</f>
        <v/>
      </c>
      <c r="T279" s="22">
        <f>IF(A279=A278,P279-P278,"")</f>
        <v/>
      </c>
      <c r="U279" s="22">
        <f>IF(A279=A278,Q279-Q278,"")</f>
        <v/>
      </c>
      <c r="V279" s="22">
        <f>IF(A279=A278,R279-R278,"")</f>
        <v/>
      </c>
      <c r="W279" s="22">
        <f>IF(S279="","",D279-S279)</f>
        <v/>
      </c>
      <c r="X279" s="22">
        <f>IF(T279="","",D279-T279)</f>
        <v/>
      </c>
      <c r="Y279" s="22">
        <f>IF(U279="","",F279-U279)</f>
        <v/>
      </c>
      <c r="Z279" s="22">
        <f>IF(V279="","",F279-V279)</f>
        <v/>
      </c>
      <c r="AA279" s="9" t="n">
        <v>25881557.66236277</v>
      </c>
      <c r="AB279" s="9" t="n">
        <v>22143566.23734964</v>
      </c>
      <c r="AC279" s="9" t="n">
        <v>7113594.422678546</v>
      </c>
      <c r="AD279" s="9" t="n">
        <v>3071658.162300877</v>
      </c>
      <c r="AE279" s="9" t="n">
        <v>2165831.943276542</v>
      </c>
      <c r="AF279" s="9" t="n">
        <v>26097026.83212585</v>
      </c>
      <c r="AG279" s="9" t="n">
        <v>2071343.058248484</v>
      </c>
      <c r="AH279" s="9" t="n">
        <v>2139665.134489384</v>
      </c>
      <c r="AI279" s="9" t="n">
        <v>2221079.053309557</v>
      </c>
      <c r="AJ279" s="9" t="n">
        <v>2889818.34384197</v>
      </c>
      <c r="AK279" s="9" t="n">
        <v>2957790.640327059</v>
      </c>
      <c r="AL279" s="9" t="n">
        <v>2014429.217377567</v>
      </c>
      <c r="AM279" s="9" t="n">
        <v>1548378.695865417</v>
      </c>
      <c r="AN279" s="9" t="n">
        <v>1623227.290130105</v>
      </c>
      <c r="AO279" s="9" t="n">
        <v>1754587.673843469</v>
      </c>
      <c r="AP279" s="9" t="n">
        <v>2357436.89730494</v>
      </c>
      <c r="AQ279" s="9" t="n">
        <v>2420685.693834161</v>
      </c>
      <c r="AR279" s="9" t="n">
        <v>1497584.98222727</v>
      </c>
    </row>
    <row r="280">
      <c r="A280" s="4" t="inlineStr">
        <is>
          <t>Diversos</t>
        </is>
      </c>
      <c r="B280" s="5" t="n">
        <v>202212</v>
      </c>
      <c r="C280" s="5" t="n">
        <v>2022</v>
      </c>
      <c r="D280" s="6" t="n">
        <v>7663677.579985545</v>
      </c>
      <c r="E280" s="11" t="n">
        <v>0.1815482621345899</v>
      </c>
      <c r="F280" s="22">
        <f>D280*(1-E280)</f>
        <v/>
      </c>
      <c r="G280" s="11" t="n">
        <v>0.6819923868424558</v>
      </c>
      <c r="H280" s="11" t="n">
        <v>0.05180483263441849</v>
      </c>
      <c r="I280" s="11" t="n">
        <v>0.09301480929800057</v>
      </c>
      <c r="J280" s="11" t="n">
        <v>0.164059117082454</v>
      </c>
      <c r="K280" s="6" t="n">
        <v>19019964.88987078</v>
      </c>
      <c r="L280" s="18" t="n">
        <v>27888822.89130964</v>
      </c>
      <c r="M280" s="18" t="n">
        <v>29040457.87920357</v>
      </c>
      <c r="N280" s="23">
        <f>IF(L280=0,"",M280/L280)</f>
        <v/>
      </c>
      <c r="O280" s="6" t="n">
        <v>21774429.39478904</v>
      </c>
      <c r="P280" s="22">
        <f>M280*G280*(1+H280+I280)</f>
        <v/>
      </c>
      <c r="Q280" s="6" t="n">
        <v>18654030.74801757</v>
      </c>
      <c r="R280" s="22">
        <f>P280-M280*G280*J280</f>
        <v/>
      </c>
      <c r="S280" s="22">
        <f>IF(A280=A279,O280-O279,"")</f>
        <v/>
      </c>
      <c r="T280" s="22">
        <f>IF(A280=A279,P280-P279,"")</f>
        <v/>
      </c>
      <c r="U280" s="22">
        <f>IF(A280=A279,Q280-Q279,"")</f>
        <v/>
      </c>
      <c r="V280" s="22">
        <f>IF(A280=A279,R280-R279,"")</f>
        <v/>
      </c>
      <c r="W280" s="22">
        <f>IF(S280="","",D280-S280)</f>
        <v/>
      </c>
      <c r="X280" s="22">
        <f>IF(T280="","",D280-T280)</f>
        <v/>
      </c>
      <c r="Y280" s="22">
        <f>IF(U280="","",F280-U280)</f>
        <v/>
      </c>
      <c r="Z280" s="22">
        <f>IF(V280="","",F280-V280)</f>
        <v/>
      </c>
      <c r="AA280" s="6" t="n">
        <v>29040457.87920357</v>
      </c>
      <c r="AB280" s="6" t="n">
        <v>25235217.55526989</v>
      </c>
      <c r="AC280" s="6" t="n">
        <v>10471585.2258677</v>
      </c>
      <c r="AD280" s="6" t="n">
        <v>3342602.279277746</v>
      </c>
      <c r="AE280" s="6" t="n">
        <v>2366435.556381193</v>
      </c>
      <c r="AF280" s="6" t="n">
        <v>29329054.75944461</v>
      </c>
      <c r="AG280" s="6" t="n">
        <v>3464756.03184655</v>
      </c>
      <c r="AH280" s="6" t="n">
        <v>3767492.794692636</v>
      </c>
      <c r="AI280" s="6" t="n">
        <v>4565694.497053239</v>
      </c>
      <c r="AJ280" s="6" t="n">
        <v>7246510.306183139</v>
      </c>
      <c r="AK280" s="6" t="n">
        <v>7362067.784256615</v>
      </c>
      <c r="AL280" s="6" t="n">
        <v>3393236.855936208</v>
      </c>
      <c r="AM280" s="6" t="n">
        <v>3160352.359575106</v>
      </c>
      <c r="AN280" s="6" t="n">
        <v>3349630.128048368</v>
      </c>
      <c r="AO280" s="6" t="n">
        <v>3751682.23195079</v>
      </c>
      <c r="AP280" s="6" t="n">
        <v>5972548.924294419</v>
      </c>
      <c r="AQ280" s="6" t="n">
        <v>6054565.085990408</v>
      </c>
      <c r="AR280" s="6" t="n">
        <v>3103121.627141695</v>
      </c>
    </row>
    <row r="281">
      <c r="A281" t="inlineStr">
        <is>
          <t>Diversos</t>
        </is>
      </c>
      <c r="B281" s="8" t="n">
        <v>202301</v>
      </c>
      <c r="C281" s="8" t="n">
        <v>2023</v>
      </c>
      <c r="D281" s="9" t="n">
        <v>2503418.259198471</v>
      </c>
      <c r="E281" s="10" t="n">
        <v>0.1815482621345899</v>
      </c>
      <c r="F281" s="22">
        <f>D281*(1-E281)</f>
        <v/>
      </c>
      <c r="G281" s="10" t="n">
        <v>0.6740577252719417</v>
      </c>
      <c r="H281" s="10" t="n">
        <v>0.04302283825814573</v>
      </c>
      <c r="I281" s="10" t="n">
        <v>0.09465396095061063</v>
      </c>
      <c r="J281" s="10" t="n">
        <v>0.1662203829125962</v>
      </c>
      <c r="K281" s="9" t="n">
        <v>17845838.73984819</v>
      </c>
      <c r="L281" s="18" t="n">
        <v>26475238.05568501</v>
      </c>
      <c r="M281" s="18" t="n">
        <v>27213507.44308756</v>
      </c>
      <c r="N281" s="23">
        <f>IF(L281=0,"",M281/L281)</f>
        <v/>
      </c>
      <c r="O281" s="9" t="n">
        <v>20302796.69674611</v>
      </c>
      <c r="P281" s="22">
        <f>M281*G281*(1+H281+I281)</f>
        <v/>
      </c>
      <c r="Q281" s="9" t="n">
        <v>17336454.5480121</v>
      </c>
      <c r="R281" s="22">
        <f>P281-M281*G281*J281</f>
        <v/>
      </c>
      <c r="S281" s="22">
        <f>IF(A281=A280,O281-O280,"")</f>
        <v/>
      </c>
      <c r="T281" s="22">
        <f>IF(A281=A280,P281-P280,"")</f>
        <v/>
      </c>
      <c r="U281" s="22">
        <f>IF(A281=A280,Q281-Q280,"")</f>
        <v/>
      </c>
      <c r="V281" s="22">
        <f>IF(A281=A280,R281-R280,"")</f>
        <v/>
      </c>
      <c r="W281" s="22">
        <f>IF(S281="","",D281-S281)</f>
        <v/>
      </c>
      <c r="X281" s="22">
        <f>IF(T281="","",D281-T281)</f>
        <v/>
      </c>
      <c r="Y281" s="22">
        <f>IF(U281="","",F281-U281)</f>
        <v/>
      </c>
      <c r="Z281" s="22">
        <f>IF(V281="","",F281-V281)</f>
        <v/>
      </c>
      <c r="AA281" s="9" t="n">
        <v>27213507.44308756</v>
      </c>
      <c r="AB281" s="9" t="n">
        <v>23473486.73983654</v>
      </c>
      <c r="AC281" s="9" t="n">
        <v>9800714.045556672</v>
      </c>
      <c r="AD281" s="9" t="n">
        <v>3655020.080444082</v>
      </c>
      <c r="AE281" s="9" t="n">
        <v>2740341.665803303</v>
      </c>
      <c r="AF281" s="9" t="n">
        <v>27521755.72478774</v>
      </c>
      <c r="AG281" s="9" t="n">
        <v>4308050.368817203</v>
      </c>
      <c r="AH281" s="9" t="n">
        <v>4205149.138887126</v>
      </c>
      <c r="AI281" s="9" t="n">
        <v>3163421.170648966</v>
      </c>
      <c r="AJ281" s="9" t="n">
        <v>2310294.568683576</v>
      </c>
      <c r="AK281" s="9" t="n">
        <v>2249574.455485824</v>
      </c>
      <c r="AL281" s="9" t="n">
        <v>4296991.546120573</v>
      </c>
      <c r="AM281" s="9" t="n">
        <v>3653366.850295297</v>
      </c>
      <c r="AN281" s="9" t="n">
        <v>3557182.908646771</v>
      </c>
      <c r="AO281" s="9" t="n">
        <v>2635387.867786862</v>
      </c>
      <c r="AP281" s="9" t="n">
        <v>1891325.609697429</v>
      </c>
      <c r="AQ281" s="9" t="n">
        <v>1837343.409057743</v>
      </c>
      <c r="AR281" s="9" t="n">
        <v>3644554.563628345</v>
      </c>
    </row>
    <row r="282">
      <c r="A282" s="4" t="inlineStr">
        <is>
          <t>Diversos</t>
        </is>
      </c>
      <c r="B282" s="5" t="n">
        <v>202302</v>
      </c>
      <c r="C282" s="5" t="n">
        <v>2023</v>
      </c>
      <c r="D282" s="6" t="n">
        <v>5607166.390027994</v>
      </c>
      <c r="E282" s="11" t="n">
        <v>0.1815482621345899</v>
      </c>
      <c r="F282" s="22">
        <f>D282*(1-E282)</f>
        <v/>
      </c>
      <c r="G282" s="11" t="n">
        <v>0.6569837192981937</v>
      </c>
      <c r="H282" s="11" t="n">
        <v>0.0441409317835622</v>
      </c>
      <c r="I282" s="11" t="n">
        <v>0.0976266929593942</v>
      </c>
      <c r="J282" s="11" t="n">
        <v>0.1438413678909294</v>
      </c>
      <c r="K282" s="6" t="n">
        <v>17738979.14249698</v>
      </c>
      <c r="L282" s="18" t="n">
        <v>27000637.33915081</v>
      </c>
      <c r="M282" s="18" t="n">
        <v>28332579.41117039</v>
      </c>
      <c r="N282" s="23">
        <f>IF(L282=0,"",M282/L282)</f>
        <v/>
      </c>
      <c r="O282" s="6" t="n">
        <v>20253792.08089363</v>
      </c>
      <c r="P282" s="22">
        <f>M282*G282*(1+H282+I282)</f>
        <v/>
      </c>
      <c r="Q282" s="6" t="n">
        <v>17702193.0560482</v>
      </c>
      <c r="R282" s="22">
        <f>P282-M282*G282*J282</f>
        <v/>
      </c>
      <c r="S282" s="22">
        <f>IF(A282=A281,O282-O281,"")</f>
        <v/>
      </c>
      <c r="T282" s="22">
        <f>IF(A282=A281,P282-P281,"")</f>
        <v/>
      </c>
      <c r="U282" s="22">
        <f>IF(A282=A281,Q282-Q281,"")</f>
        <v/>
      </c>
      <c r="V282" s="22">
        <f>IF(A282=A281,R282-R281,"")</f>
        <v/>
      </c>
      <c r="W282" s="22">
        <f>IF(S282="","",D282-S282)</f>
        <v/>
      </c>
      <c r="X282" s="22">
        <f>IF(T282="","",D282-T282)</f>
        <v/>
      </c>
      <c r="Y282" s="22">
        <f>IF(U282="","",F282-U282)</f>
        <v/>
      </c>
      <c r="Z282" s="22">
        <f>IF(V282="","",F282-V282)</f>
        <v/>
      </c>
      <c r="AA282" s="6" t="n">
        <v>28332579.41117039</v>
      </c>
      <c r="AB282" s="6" t="n">
        <v>24349819.79758119</v>
      </c>
      <c r="AC282" s="6" t="n">
        <v>8632631.041477496</v>
      </c>
      <c r="AD282" s="6" t="n">
        <v>3667184.074141794</v>
      </c>
      <c r="AE282" s="6" t="n">
        <v>2721584.078156396</v>
      </c>
      <c r="AF282" s="6" t="n">
        <v>28589297.84274724</v>
      </c>
      <c r="AG282" s="6" t="n">
        <v>5223200.10927468</v>
      </c>
      <c r="AH282" s="6" t="n">
        <v>5342687.005308522</v>
      </c>
      <c r="AI282" s="6" t="n">
        <v>6647407.493411203</v>
      </c>
      <c r="AJ282" s="6" t="n">
        <v>5659216.318923334</v>
      </c>
      <c r="AK282" s="6" t="n">
        <v>5667102.241029609</v>
      </c>
      <c r="AL282" s="6" t="n">
        <v>5267013.002355197</v>
      </c>
      <c r="AM282" s="6" t="n">
        <v>3833638.8343643</v>
      </c>
      <c r="AN282" s="6" t="n">
        <v>3995789.122026416</v>
      </c>
      <c r="AO282" s="6" t="n">
        <v>5347139.308608778</v>
      </c>
      <c r="AP282" s="6" t="n">
        <v>4578282.922871088</v>
      </c>
      <c r="AQ282" s="6" t="n">
        <v>4599290.807424583</v>
      </c>
      <c r="AR282" s="6" t="n">
        <v>3867175.193061908</v>
      </c>
    </row>
    <row r="283">
      <c r="A283" t="inlineStr">
        <is>
          <t>Diversos</t>
        </is>
      </c>
      <c r="B283" s="8" t="n">
        <v>202303</v>
      </c>
      <c r="C283" s="8" t="n">
        <v>2023</v>
      </c>
      <c r="D283" s="9" t="n">
        <v>3729854.064107858</v>
      </c>
      <c r="E283" s="10" t="n">
        <v>0.1815482621345899</v>
      </c>
      <c r="F283" s="22">
        <f>D283*(1-E283)</f>
        <v/>
      </c>
      <c r="G283" s="10" t="n">
        <v>0.6586470468032606</v>
      </c>
      <c r="H283" s="10" t="n">
        <v>0.04402929147782455</v>
      </c>
      <c r="I283" s="10" t="n">
        <v>0.1023823399425027</v>
      </c>
      <c r="J283" s="10" t="n">
        <v>0.135459731931805</v>
      </c>
      <c r="K283" s="9" t="n">
        <v>17042856.48414825</v>
      </c>
      <c r="L283" s="18" t="n">
        <v>25875552.87291677</v>
      </c>
      <c r="M283" s="18" t="n">
        <v>27488068.27218778</v>
      </c>
      <c r="N283" s="23">
        <f>IF(L283=0,"",M283/L283)</f>
        <v/>
      </c>
      <c r="O283" s="9" t="n">
        <v>19538128.9060549</v>
      </c>
      <c r="P283" s="22">
        <f>M283*G283*(1+H283+I283)</f>
        <v/>
      </c>
      <c r="Q283" s="9" t="n">
        <v>17229508.13535995</v>
      </c>
      <c r="R283" s="22">
        <f>P283-M283*G283*J283</f>
        <v/>
      </c>
      <c r="S283" s="22">
        <f>IF(A283=A282,O283-O282,"")</f>
        <v/>
      </c>
      <c r="T283" s="22">
        <f>IF(A283=A282,P283-P282,"")</f>
        <v/>
      </c>
      <c r="U283" s="22">
        <f>IF(A283=A282,Q283-Q282,"")</f>
        <v/>
      </c>
      <c r="V283" s="22">
        <f>IF(A283=A282,R283-R282,"")</f>
        <v/>
      </c>
      <c r="W283" s="22">
        <f>IF(S283="","",D283-S283)</f>
        <v/>
      </c>
      <c r="X283" s="22">
        <f>IF(T283="","",D283-T283)</f>
        <v/>
      </c>
      <c r="Y283" s="22">
        <f>IF(U283="","",F283-U283)</f>
        <v/>
      </c>
      <c r="Z283" s="22">
        <f>IF(V283="","",F283-V283)</f>
        <v/>
      </c>
      <c r="AA283" s="9" t="n">
        <v>27488068.27218778</v>
      </c>
      <c r="AB283" s="9" t="n">
        <v>23406161.01921647</v>
      </c>
      <c r="AC283" s="9" t="n">
        <v>7387303.513280974</v>
      </c>
      <c r="AD283" s="9" t="n">
        <v>3399428.001036383</v>
      </c>
      <c r="AE283" s="9" t="n">
        <v>2462975.363769767</v>
      </c>
      <c r="AF283" s="9" t="n">
        <v>27716780.10844516</v>
      </c>
      <c r="AG283" s="9" t="n">
        <v>4227058.124070108</v>
      </c>
      <c r="AH283" s="9" t="n">
        <v>4321668.689708997</v>
      </c>
      <c r="AI283" s="9" t="n">
        <v>4627377.089088151</v>
      </c>
      <c r="AJ283" s="9" t="n">
        <v>3913849.977164262</v>
      </c>
      <c r="AK283" s="9" t="n">
        <v>3911631.169012329</v>
      </c>
      <c r="AL283" s="9" t="n">
        <v>4246932.578889553</v>
      </c>
      <c r="AM283" s="9" t="n">
        <v>3324929.776603688</v>
      </c>
      <c r="AN283" s="9" t="n">
        <v>3431728.461235171</v>
      </c>
      <c r="AO283" s="9" t="n">
        <v>3793528.873643328</v>
      </c>
      <c r="AP283" s="9" t="n">
        <v>3193444.773868903</v>
      </c>
      <c r="AQ283" s="9" t="n">
        <v>3197036.077027896</v>
      </c>
      <c r="AR283" s="9" t="n">
        <v>3340949.675655182</v>
      </c>
    </row>
    <row r="284">
      <c r="A284" s="4" t="inlineStr">
        <is>
          <t>Diversos</t>
        </is>
      </c>
      <c r="B284" s="5" t="n">
        <v>202304</v>
      </c>
      <c r="C284" s="5" t="n">
        <v>2023</v>
      </c>
      <c r="D284" s="6" t="n">
        <v>4741582.593890996</v>
      </c>
      <c r="E284" s="11" t="n">
        <v>0.1815482621345899</v>
      </c>
      <c r="F284" s="22">
        <f>D284*(1-E284)</f>
        <v/>
      </c>
      <c r="G284" s="11" t="n">
        <v>0.6482528923962275</v>
      </c>
      <c r="H284" s="11" t="n">
        <v>0.0447354020844173</v>
      </c>
      <c r="I284" s="11" t="n">
        <v>0.1007187395954818</v>
      </c>
      <c r="J284" s="11" t="n">
        <v>0.1798291888690172</v>
      </c>
      <c r="K284" s="6" t="n">
        <v>16559515.56687162</v>
      </c>
      <c r="L284" s="18" t="n">
        <v>25544838.69043818</v>
      </c>
      <c r="M284" s="18" t="n">
        <v>27484006.88704451</v>
      </c>
      <c r="N284" s="23">
        <f>IF(L284=0,"",M284/L284)</f>
        <v/>
      </c>
      <c r="O284" s="6" t="n">
        <v>18968165.69028585</v>
      </c>
      <c r="P284" s="22">
        <f>M284*G284*(1+H284+I284)</f>
        <v/>
      </c>
      <c r="Q284" s="6" t="n">
        <v>15990281.43783147</v>
      </c>
      <c r="R284" s="22">
        <f>P284-M284*G284*J284</f>
        <v/>
      </c>
      <c r="S284" s="22">
        <f>IF(A284=A283,O284-O283,"")</f>
        <v/>
      </c>
      <c r="T284" s="22">
        <f>IF(A284=A283,P284-P283,"")</f>
        <v/>
      </c>
      <c r="U284" s="22">
        <f>IF(A284=A283,Q284-Q283,"")</f>
        <v/>
      </c>
      <c r="V284" s="22">
        <f>IF(A284=A283,R284-R283,"")</f>
        <v/>
      </c>
      <c r="W284" s="22">
        <f>IF(S284="","",D284-S284)</f>
        <v/>
      </c>
      <c r="X284" s="22">
        <f>IF(T284="","",D284-T284)</f>
        <v/>
      </c>
      <c r="Y284" s="22">
        <f>IF(U284="","",F284-U284)</f>
        <v/>
      </c>
      <c r="Z284" s="22">
        <f>IF(V284="","",F284-V284)</f>
        <v/>
      </c>
      <c r="AA284" s="6" t="n">
        <v>27484006.88704451</v>
      </c>
      <c r="AB284" s="6" t="n">
        <v>23346908.09764527</v>
      </c>
      <c r="AC284" s="6" t="n">
        <v>6506937.751163017</v>
      </c>
      <c r="AD284" s="6" t="n">
        <v>3446492.147836833</v>
      </c>
      <c r="AE284" s="6" t="n">
        <v>2512619.026809389</v>
      </c>
      <c r="AF284" s="6" t="n">
        <v>27700451.94415493</v>
      </c>
      <c r="AG284" s="6" t="n">
        <v>5089207.329334904</v>
      </c>
      <c r="AH284" s="6" t="n">
        <v>5079015.92674777</v>
      </c>
      <c r="AI284" s="6" t="n">
        <v>5487905.096846621</v>
      </c>
      <c r="AJ284" s="6" t="n">
        <v>4749252.919981313</v>
      </c>
      <c r="AK284" s="6" t="n">
        <v>4735597.513406348</v>
      </c>
      <c r="AL284" s="6" t="n">
        <v>5101183.238065549</v>
      </c>
      <c r="AM284" s="6" t="n">
        <v>4979833.990565769</v>
      </c>
      <c r="AN284" s="6" t="n">
        <v>4851549.545042144</v>
      </c>
      <c r="AO284" s="6" t="n">
        <v>4726527.585633496</v>
      </c>
      <c r="AP284" s="6" t="n">
        <v>3986903.460624381</v>
      </c>
      <c r="AQ284" s="6" t="n">
        <v>3947932.43638795</v>
      </c>
      <c r="AR284" s="6" t="n">
        <v>4996636.23188385</v>
      </c>
    </row>
    <row r="285">
      <c r="A285" t="inlineStr">
        <is>
          <t>Diversos</t>
        </is>
      </c>
      <c r="B285" s="8" t="n">
        <v>202305</v>
      </c>
      <c r="C285" s="8" t="n">
        <v>2023</v>
      </c>
      <c r="D285" s="9" t="n">
        <v>4645339.57200909</v>
      </c>
      <c r="E285" s="10" t="n">
        <v>0.1815482621345899</v>
      </c>
      <c r="F285" s="22">
        <f>D285*(1-E285)</f>
        <v/>
      </c>
      <c r="G285" s="10" t="n">
        <v>0.6789827980000001</v>
      </c>
      <c r="H285" s="10" t="n">
        <v>0.04271061483938531</v>
      </c>
      <c r="I285" s="10" t="n">
        <v>0.09880450633112087</v>
      </c>
      <c r="J285" s="10" t="n">
        <v>0.1645475315249762</v>
      </c>
      <c r="K285" s="9" t="n">
        <v>17025870.51660392</v>
      </c>
      <c r="L285" s="18" t="n">
        <v>25075555.03137197</v>
      </c>
      <c r="M285" s="18" t="n">
        <v>27419448.79430944</v>
      </c>
      <c r="N285" s="23">
        <f>IF(L285=0,"",M285/L285)</f>
        <v/>
      </c>
      <c r="O285" s="9" t="n">
        <v>19435288.64579447</v>
      </c>
      <c r="P285" s="22">
        <f>M285*G285*(1+H285+I285)</f>
        <v/>
      </c>
      <c r="Q285" s="9" t="n">
        <v>16633723.68022342</v>
      </c>
      <c r="R285" s="22">
        <f>P285-M285*G285*J285</f>
        <v/>
      </c>
      <c r="S285" s="22">
        <f>IF(A285=A284,O285-O284,"")</f>
        <v/>
      </c>
      <c r="T285" s="22">
        <f>IF(A285=A284,P285-P284,"")</f>
        <v/>
      </c>
      <c r="U285" s="22">
        <f>IF(A285=A284,Q285-Q284,"")</f>
        <v/>
      </c>
      <c r="V285" s="22">
        <f>IF(A285=A284,R285-R284,"")</f>
        <v/>
      </c>
      <c r="W285" s="22">
        <f>IF(S285="","",D285-S285)</f>
        <v/>
      </c>
      <c r="X285" s="22">
        <f>IF(T285="","",D285-T285)</f>
        <v/>
      </c>
      <c r="Y285" s="22">
        <f>IF(U285="","",F285-U285)</f>
        <v/>
      </c>
      <c r="Z285" s="22">
        <f>IF(V285="","",F285-V285)</f>
        <v/>
      </c>
      <c r="AA285" s="9" t="n">
        <v>27419448.79430944</v>
      </c>
      <c r="AB285" s="9" t="n">
        <v>23287402.23970546</v>
      </c>
      <c r="AC285" s="9" t="n">
        <v>5574655.200807971</v>
      </c>
      <c r="AD285" s="9" t="n">
        <v>2984118.365087478</v>
      </c>
      <c r="AE285" s="9" t="n">
        <v>2025791.741697321</v>
      </c>
      <c r="AF285" s="9" t="n">
        <v>27630942.62726691</v>
      </c>
      <c r="AG285" s="9" t="n">
        <v>3801454.547353521</v>
      </c>
      <c r="AH285" s="9" t="n">
        <v>3932098.559541076</v>
      </c>
      <c r="AI285" s="9" t="n">
        <v>5156283.738433426</v>
      </c>
      <c r="AJ285" s="9" t="n">
        <v>4891613.473302373</v>
      </c>
      <c r="AK285" s="9" t="n">
        <v>4940941.010595381</v>
      </c>
      <c r="AL285" s="9" t="n">
        <v>3798252.175972644</v>
      </c>
      <c r="AM285" s="9" t="n">
        <v>2817595.203223712</v>
      </c>
      <c r="AN285" s="9" t="n">
        <v>2968867.978261765</v>
      </c>
      <c r="AO285" s="9" t="n">
        <v>4177213.534927377</v>
      </c>
      <c r="AP285" s="9" t="n">
        <v>3979886.497645615</v>
      </c>
      <c r="AQ285" s="9" t="n">
        <v>4031011.111892677</v>
      </c>
      <c r="AR285" s="9" t="n">
        <v>2812789.930877279</v>
      </c>
    </row>
    <row r="286">
      <c r="A286" s="4" t="inlineStr">
        <is>
          <t>Diversos</t>
        </is>
      </c>
      <c r="B286" s="5" t="n">
        <v>202306</v>
      </c>
      <c r="C286" s="5" t="n">
        <v>2023</v>
      </c>
      <c r="D286" s="6" t="n">
        <v>4357825.54368354</v>
      </c>
      <c r="E286" s="11" t="n">
        <v>0.1815482621345899</v>
      </c>
      <c r="F286" s="22">
        <f>D286*(1-E286)</f>
        <v/>
      </c>
      <c r="G286" s="11" t="n">
        <v>0.7345267866043831</v>
      </c>
      <c r="H286" s="11" t="n">
        <v>0.03948079662281969</v>
      </c>
      <c r="I286" s="11" t="n">
        <v>0.1629516056487741</v>
      </c>
      <c r="J286" s="11" t="n">
        <v>0.1651754066560152</v>
      </c>
      <c r="K286" s="6" t="n">
        <v>18167983.5261399</v>
      </c>
      <c r="L286" s="18" t="n">
        <v>24734269.54260987</v>
      </c>
      <c r="M286" s="18" t="n">
        <v>27067641.37854371</v>
      </c>
      <c r="N286" s="23">
        <f>IF(L286=0,"",M286/L286)</f>
        <v/>
      </c>
      <c r="O286" s="6" t="n">
        <v>21845772.07576714</v>
      </c>
      <c r="P286" s="22">
        <f>M286*G286*(1+H286+I286)</f>
        <v/>
      </c>
      <c r="Q286" s="6" t="n">
        <v>18844868.00871719</v>
      </c>
      <c r="R286" s="22">
        <f>P286-M286*G286*J286</f>
        <v/>
      </c>
      <c r="S286" s="22">
        <f>IF(A286=A285,O286-O285,"")</f>
        <v/>
      </c>
      <c r="T286" s="22">
        <f>IF(A286=A285,P286-P285,"")</f>
        <v/>
      </c>
      <c r="U286" s="22">
        <f>IF(A286=A285,Q286-Q285,"")</f>
        <v/>
      </c>
      <c r="V286" s="22">
        <f>IF(A286=A285,R286-R285,"")</f>
        <v/>
      </c>
      <c r="W286" s="22">
        <f>IF(S286="","",D286-S286)</f>
        <v/>
      </c>
      <c r="X286" s="22">
        <f>IF(T286="","",D286-T286)</f>
        <v/>
      </c>
      <c r="Y286" s="22">
        <f>IF(U286="","",F286-U286)</f>
        <v/>
      </c>
      <c r="Z286" s="22">
        <f>IF(V286="","",F286-V286)</f>
        <v/>
      </c>
      <c r="AA286" s="6" t="n">
        <v>27067641.37854371</v>
      </c>
      <c r="AB286" s="6" t="n">
        <v>22900773.76675558</v>
      </c>
      <c r="AC286" s="6" t="n">
        <v>5384865.154791133</v>
      </c>
      <c r="AD286" s="6" t="n">
        <v>3057819.185044649</v>
      </c>
      <c r="AE286" s="6" t="n">
        <v>2098527.0019357</v>
      </c>
      <c r="AF286" s="6" t="n">
        <v>27273340.61808839</v>
      </c>
      <c r="AG286" s="6" t="n">
        <v>1703143.922710419</v>
      </c>
      <c r="AH286" s="6" t="n">
        <v>2180778.038131539</v>
      </c>
      <c r="AI286" s="6" t="n">
        <v>3922554.519202856</v>
      </c>
      <c r="AJ286" s="6" t="n">
        <v>3970000.154134028</v>
      </c>
      <c r="AK286" s="6" t="n">
        <v>4074495.670010722</v>
      </c>
      <c r="AL286" s="6" t="n">
        <v>1685388.826747961</v>
      </c>
      <c r="AM286" s="6" t="n">
        <v>1132554.085081786</v>
      </c>
      <c r="AN286" s="6" t="n">
        <v>1566292.485131025</v>
      </c>
      <c r="AO286" s="6" t="n">
        <v>3161893.68955488</v>
      </c>
      <c r="AP286" s="6" t="n">
        <v>3216436.283315757</v>
      </c>
      <c r="AQ286" s="6" t="n">
        <v>3311613.933082664</v>
      </c>
      <c r="AR286" s="6" t="n">
        <v>1116126.469319884</v>
      </c>
    </row>
    <row r="287">
      <c r="A287" t="inlineStr">
        <is>
          <t>Diversos</t>
        </is>
      </c>
      <c r="B287" s="8" t="n">
        <v>202307</v>
      </c>
      <c r="C287" s="8" t="n">
        <v>2023</v>
      </c>
      <c r="D287" s="9" t="n">
        <v>1790404.506813105</v>
      </c>
      <c r="E287" s="10" t="n">
        <v>0.1815482621345899</v>
      </c>
      <c r="F287" s="22">
        <f>D287*(1-E287)</f>
        <v/>
      </c>
      <c r="G287" s="10" t="n">
        <v>0.6971810000000001</v>
      </c>
      <c r="H287" s="10" t="n">
        <v>0.0417994615483072</v>
      </c>
      <c r="I287" s="10" t="n">
        <v>0.1379516537948035</v>
      </c>
      <c r="J287" s="10" t="n">
        <v>0.1578697122637472</v>
      </c>
      <c r="K287" s="9" t="n">
        <v>15374001.64833196</v>
      </c>
      <c r="L287" s="18" t="n">
        <v>22051664.70160828</v>
      </c>
      <c r="M287" s="18" t="n">
        <v>24215843.5874653</v>
      </c>
      <c r="N287" s="23">
        <f>IF(L287=0,"",M287/L287)</f>
        <v/>
      </c>
      <c r="O287" s="9" t="n">
        <v>18137495.59190645</v>
      </c>
      <c r="P287" s="22">
        <f>M287*G287*(1+H287+I287)</f>
        <v/>
      </c>
      <c r="Q287" s="9" t="n">
        <v>15710406.37534191</v>
      </c>
      <c r="R287" s="22">
        <f>P287-M287*G287*J287</f>
        <v/>
      </c>
      <c r="S287" s="22">
        <f>IF(A287=A286,O287-O286,"")</f>
        <v/>
      </c>
      <c r="T287" s="22">
        <f>IF(A287=A286,P287-P286,"")</f>
        <v/>
      </c>
      <c r="U287" s="22">
        <f>IF(A287=A286,Q287-Q286,"")</f>
        <v/>
      </c>
      <c r="V287" s="22">
        <f>IF(A287=A286,R287-R286,"")</f>
        <v/>
      </c>
      <c r="W287" s="22">
        <f>IF(S287="","",D287-S287)</f>
        <v/>
      </c>
      <c r="X287" s="22">
        <f>IF(T287="","",D287-T287)</f>
        <v/>
      </c>
      <c r="Y287" s="22">
        <f>IF(U287="","",F287-U287)</f>
        <v/>
      </c>
      <c r="Z287" s="22">
        <f>IF(V287="","",F287-V287)</f>
        <v/>
      </c>
      <c r="AA287" s="9" t="n">
        <v>24215843.5874653</v>
      </c>
      <c r="AB287" s="9" t="n">
        <v>20402419.17473056</v>
      </c>
      <c r="AC287" s="9" t="n">
        <v>4815043.561820215</v>
      </c>
      <c r="AD287" s="9" t="n">
        <v>3115512.319382201</v>
      </c>
      <c r="AE287" s="9" t="n">
        <v>2204001.678301529</v>
      </c>
      <c r="AF287" s="9" t="n">
        <v>24517616.78392661</v>
      </c>
      <c r="AG287" s="9" t="n">
        <v>5779521.614964969</v>
      </c>
      <c r="AH287" s="9" t="n">
        <v>5235807.584723964</v>
      </c>
      <c r="AI287" s="9" t="n">
        <v>2586045.063231723</v>
      </c>
      <c r="AJ287" s="9" t="n">
        <v>1928618.847256503</v>
      </c>
      <c r="AK287" s="9" t="n">
        <v>1831071.507358047</v>
      </c>
      <c r="AL287" s="9" t="n">
        <v>5712990.579331394</v>
      </c>
      <c r="AM287" s="9" t="n">
        <v>4835761.498668697</v>
      </c>
      <c r="AN287" s="9" t="n">
        <v>4377876.00698559</v>
      </c>
      <c r="AO287" s="9" t="n">
        <v>2137639.193044628</v>
      </c>
      <c r="AP287" s="9" t="n">
        <v>1575486.794129351</v>
      </c>
      <c r="AQ287" s="9" t="n">
        <v>1494002.016097175</v>
      </c>
      <c r="AR287" s="9" t="n">
        <v>4777488.140162989</v>
      </c>
    </row>
    <row r="288">
      <c r="A288" s="4" t="inlineStr">
        <is>
          <t>Diversos</t>
        </is>
      </c>
      <c r="B288" s="5" t="n">
        <v>202308</v>
      </c>
      <c r="C288" s="5" t="n">
        <v>2023</v>
      </c>
      <c r="D288" s="6" t="n">
        <v>6660799.94360547</v>
      </c>
      <c r="E288" s="11" t="n">
        <v>0.1815482621345899</v>
      </c>
      <c r="F288" s="22">
        <f>D288*(1-E288)</f>
        <v/>
      </c>
      <c r="G288" s="11" t="n">
        <v>0.6458555365463131</v>
      </c>
      <c r="H288" s="11" t="n">
        <v>0.04432221982544482</v>
      </c>
      <c r="I288" s="11" t="n">
        <v>0.1079364892529982</v>
      </c>
      <c r="J288" s="11" t="n">
        <v>0.1697394173844731</v>
      </c>
      <c r="K288" s="6" t="n">
        <v>15869578.97239552</v>
      </c>
      <c r="L288" s="18" t="n">
        <v>24571406.56756999</v>
      </c>
      <c r="M288" s="18" t="n">
        <v>26305464.42889966</v>
      </c>
      <c r="N288" s="23">
        <f>IF(L288=0,"",M288/L288)</f>
        <v/>
      </c>
      <c r="O288" s="6" t="n">
        <v>18285860.58035086</v>
      </c>
      <c r="P288" s="22">
        <f>M288*G288*(1+H288+I288)</f>
        <v/>
      </c>
      <c r="Q288" s="6" t="n">
        <v>15592167.49143956</v>
      </c>
      <c r="R288" s="22">
        <f>P288-M288*G288*J288</f>
        <v/>
      </c>
      <c r="S288" s="22">
        <f>IF(A288=A287,O288-O287,"")</f>
        <v/>
      </c>
      <c r="T288" s="22">
        <f>IF(A288=A287,P288-P287,"")</f>
        <v/>
      </c>
      <c r="U288" s="22">
        <f>IF(A288=A287,Q288-Q287,"")</f>
        <v/>
      </c>
      <c r="V288" s="22">
        <f>IF(A288=A287,R288-R287,"")</f>
        <v/>
      </c>
      <c r="W288" s="22">
        <f>IF(S288="","",D288-S288)</f>
        <v/>
      </c>
      <c r="X288" s="22">
        <f>IF(T288="","",D288-T288)</f>
        <v/>
      </c>
      <c r="Y288" s="22">
        <f>IF(U288="","",F288-U288)</f>
        <v/>
      </c>
      <c r="Z288" s="22">
        <f>IF(V288="","",F288-V288)</f>
        <v/>
      </c>
      <c r="AA288" s="6" t="n">
        <v>26305464.42889966</v>
      </c>
      <c r="AB288" s="6" t="n">
        <v>22530178.81572437</v>
      </c>
      <c r="AC288" s="6" t="n">
        <v>4973420.049455185</v>
      </c>
      <c r="AD288" s="6" t="n">
        <v>3360774.664449863</v>
      </c>
      <c r="AE288" s="6" t="n">
        <v>2408950.805032001</v>
      </c>
      <c r="AF288" s="6" t="n">
        <v>26693243.55347165</v>
      </c>
      <c r="AG288" s="6" t="n">
        <v>7001999.079511831</v>
      </c>
      <c r="AH288" s="6" t="n">
        <v>6674997.130656112</v>
      </c>
      <c r="AI288" s="6" t="n">
        <v>6919990.843720471</v>
      </c>
      <c r="AJ288" s="6" t="n">
        <v>6722245.160513142</v>
      </c>
      <c r="AK288" s="6" t="n">
        <v>6680867.937651673</v>
      </c>
      <c r="AL288" s="6" t="n">
        <v>6961625.171574099</v>
      </c>
      <c r="AM288" s="6" t="n">
        <v>6011248.432060895</v>
      </c>
      <c r="AN288" s="6" t="n">
        <v>5690092.553440188</v>
      </c>
      <c r="AO288" s="6" t="n">
        <v>5725994.200355075</v>
      </c>
      <c r="AP288" s="6" t="n">
        <v>5538515.617093466</v>
      </c>
      <c r="AQ288" s="6" t="n">
        <v>5493116.956333229</v>
      </c>
      <c r="AR288" s="6" t="n">
        <v>5980171.347630118</v>
      </c>
    </row>
    <row r="289">
      <c r="A289" t="inlineStr">
        <is>
          <t>Diversos</t>
        </is>
      </c>
      <c r="B289" s="8" t="n">
        <v>202309</v>
      </c>
      <c r="C289" s="8" t="n">
        <v>2023</v>
      </c>
      <c r="D289" s="9" t="n">
        <v>4726926.581631751</v>
      </c>
      <c r="E289" s="10" t="n">
        <v>0.1815482621345899</v>
      </c>
      <c r="F289" s="22">
        <f>D289*(1-E289)</f>
        <v/>
      </c>
      <c r="G289" s="10" t="n">
        <v>0.6668173388197226</v>
      </c>
      <c r="H289" s="10" t="n">
        <v>0.04348983075090296</v>
      </c>
      <c r="I289" s="10" t="n">
        <v>0.1298481681083876</v>
      </c>
      <c r="J289" s="10" t="n">
        <v>0.178736282007987</v>
      </c>
      <c r="K289" s="9" t="n">
        <v>16378068.6485463</v>
      </c>
      <c r="L289" s="18" t="n">
        <v>24561551.85996774</v>
      </c>
      <c r="M289" s="18" t="n">
        <v>26544517.12293156</v>
      </c>
      <c r="N289" s="23">
        <f>IF(L289=0,"",M289/L289)</f>
        <v/>
      </c>
      <c r="O289" s="9" t="n">
        <v>19217010.2932654</v>
      </c>
      <c r="P289" s="22">
        <f>M289*G289*(1+H289+I289)</f>
        <v/>
      </c>
      <c r="Q289" s="9" t="n">
        <v>16289655.19655266</v>
      </c>
      <c r="R289" s="22">
        <f>P289-M289*G289*J289</f>
        <v/>
      </c>
      <c r="S289" s="22">
        <f>IF(A289=A288,O289-O288,"")</f>
        <v/>
      </c>
      <c r="T289" s="22">
        <f>IF(A289=A288,P289-P288,"")</f>
        <v/>
      </c>
      <c r="U289" s="22">
        <f>IF(A289=A288,Q289-Q288,"")</f>
        <v/>
      </c>
      <c r="V289" s="22">
        <f>IF(A289=A288,R289-R288,"")</f>
        <v/>
      </c>
      <c r="W289" s="22">
        <f>IF(S289="","",D289-S289)</f>
        <v/>
      </c>
      <c r="X289" s="22">
        <f>IF(T289="","",D289-T289)</f>
        <v/>
      </c>
      <c r="Y289" s="22">
        <f>IF(U289="","",F289-U289)</f>
        <v/>
      </c>
      <c r="Z289" s="22">
        <f>IF(V289="","",F289-V289)</f>
        <v/>
      </c>
      <c r="AA289" s="9" t="n">
        <v>26544517.12293156</v>
      </c>
      <c r="AB289" s="9" t="n">
        <v>22792226.58124613</v>
      </c>
      <c r="AC289" s="9" t="n">
        <v>4933650.714347949</v>
      </c>
      <c r="AD289" s="9" t="n">
        <v>3222993.634078375</v>
      </c>
      <c r="AE289" s="9" t="n">
        <v>2266475.024420816</v>
      </c>
      <c r="AF289" s="9" t="n">
        <v>27021190.75938161</v>
      </c>
      <c r="AG289" s="9" t="n">
        <v>3534773.783444704</v>
      </c>
      <c r="AH289" s="9" t="n">
        <v>3661033.997007097</v>
      </c>
      <c r="AI289" s="9" t="n">
        <v>4568010.523518713</v>
      </c>
      <c r="AJ289" s="9" t="n">
        <v>4706313.383368508</v>
      </c>
      <c r="AK289" s="9" t="n">
        <v>4746355.23697884</v>
      </c>
      <c r="AL289" s="9" t="n">
        <v>3450405.699657024</v>
      </c>
      <c r="AM289" s="9" t="n">
        <v>2956509.30490779</v>
      </c>
      <c r="AN289" s="9" t="n">
        <v>3049428.600666307</v>
      </c>
      <c r="AO289" s="9" t="n">
        <v>3752637.845321656</v>
      </c>
      <c r="AP289" s="9" t="n">
        <v>3863846.684042443</v>
      </c>
      <c r="AQ289" s="9" t="n">
        <v>3894232.121270114</v>
      </c>
      <c r="AR289" s="9" t="n">
        <v>2886442.189881405</v>
      </c>
    </row>
    <row r="290">
      <c r="A290" s="4" t="inlineStr">
        <is>
          <t>Diversos</t>
        </is>
      </c>
      <c r="B290" s="5" t="n">
        <v>202310</v>
      </c>
      <c r="C290" s="5" t="n">
        <v>2023</v>
      </c>
      <c r="D290" s="6" t="n">
        <v>7170313.703793514</v>
      </c>
      <c r="E290" s="11" t="n">
        <v>0.1815482621345899</v>
      </c>
      <c r="F290" s="22">
        <f>D290*(1-E290)</f>
        <v/>
      </c>
      <c r="G290" s="11" t="n">
        <v>0.6362853139261421</v>
      </c>
      <c r="H290" s="11" t="n">
        <v>0.04557668730994783</v>
      </c>
      <c r="I290" s="11" t="n">
        <v>0.1319822466794315</v>
      </c>
      <c r="J290" s="11" t="n">
        <v>0.1778165153925124</v>
      </c>
      <c r="K290" s="6" t="n">
        <v>17642103.71307315</v>
      </c>
      <c r="L290" s="18" t="n">
        <v>27726718.38709291</v>
      </c>
      <c r="M290" s="18" t="n">
        <v>29065948.9154201</v>
      </c>
      <c r="N290" s="23">
        <f>IF(L290=0,"",M290/L290)</f>
        <v/>
      </c>
      <c r="O290" s="6" t="n">
        <v>20774616.84169649</v>
      </c>
      <c r="P290" s="22">
        <f>M290*G290*(1+H290+I290)</f>
        <v/>
      </c>
      <c r="Q290" s="6" t="n">
        <v>17637559.43524452</v>
      </c>
      <c r="R290" s="22">
        <f>P290-M290*G290*J290</f>
        <v/>
      </c>
      <c r="S290" s="22">
        <f>IF(A290=A289,O290-O289,"")</f>
        <v/>
      </c>
      <c r="T290" s="22">
        <f>IF(A290=A289,P290-P289,"")</f>
        <v/>
      </c>
      <c r="U290" s="22">
        <f>IF(A290=A289,Q290-Q289,"")</f>
        <v/>
      </c>
      <c r="V290" s="22">
        <f>IF(A290=A289,R290-R289,"")</f>
        <v/>
      </c>
      <c r="W290" s="22">
        <f>IF(S290="","",D290-S290)</f>
        <v/>
      </c>
      <c r="X290" s="22">
        <f>IF(T290="","",D290-T290)</f>
        <v/>
      </c>
      <c r="Y290" s="22">
        <f>IF(U290="","",F290-U290)</f>
        <v/>
      </c>
      <c r="Z290" s="22">
        <f>IF(V290="","",F290-V290)</f>
        <v/>
      </c>
      <c r="AA290" s="6" t="n">
        <v>29065948.9154201</v>
      </c>
      <c r="AB290" s="6" t="n">
        <v>24973559.22415121</v>
      </c>
      <c r="AC290" s="6" t="n">
        <v>4666295.218100588</v>
      </c>
      <c r="AD290" s="6" t="n">
        <v>2856784.050935021</v>
      </c>
      <c r="AE290" s="6" t="n">
        <v>1892806.494747764</v>
      </c>
      <c r="AF290" s="6" t="n">
        <v>29534479.89061698</v>
      </c>
      <c r="AG290" s="6" t="n">
        <v>6160746.890821218</v>
      </c>
      <c r="AH290" s="6" t="n">
        <v>6291224.852185274</v>
      </c>
      <c r="AI290" s="6" t="n">
        <v>7534128.009850672</v>
      </c>
      <c r="AJ290" s="6" t="n">
        <v>7551506.871088736</v>
      </c>
      <c r="AK290" s="6" t="n">
        <v>7525397.836457938</v>
      </c>
      <c r="AL290" s="6" t="n">
        <v>6182644.217740729</v>
      </c>
      <c r="AM290" s="6" t="n">
        <v>4983875.851049049</v>
      </c>
      <c r="AN290" s="6" t="n">
        <v>5098547.196896665</v>
      </c>
      <c r="AO290" s="6" t="n">
        <v>6172309.709319403</v>
      </c>
      <c r="AP290" s="6" t="n">
        <v>6188840.517088538</v>
      </c>
      <c r="AQ290" s="6" t="n">
        <v>6167667.244064556</v>
      </c>
      <c r="AR290" s="6" t="n">
        <v>5001971.640944237</v>
      </c>
    </row>
    <row r="291">
      <c r="A291" t="inlineStr">
        <is>
          <t>Diversos</t>
        </is>
      </c>
      <c r="B291" s="8" t="n">
        <v>202311</v>
      </c>
      <c r="C291" s="8" t="n">
        <v>2023</v>
      </c>
      <c r="D291" s="9" t="n">
        <v>6761829.436593324</v>
      </c>
      <c r="E291" s="10" t="n">
        <v>0.1815482621345899</v>
      </c>
      <c r="F291" s="22">
        <f>D291*(1-E291)</f>
        <v/>
      </c>
      <c r="G291" s="10" t="n">
        <v>0.6582531106513302</v>
      </c>
      <c r="H291" s="10" t="n">
        <v>0.04405552908834991</v>
      </c>
      <c r="I291" s="10" t="n">
        <v>0.12281773666153</v>
      </c>
      <c r="J291" s="10" t="n">
        <v>0.1947986785158005</v>
      </c>
      <c r="K291" s="9" t="n">
        <v>19687848.75109994</v>
      </c>
      <c r="L291" s="18" t="n">
        <v>29909237.69675642</v>
      </c>
      <c r="M291" s="18" t="n">
        <v>31039133.24869934</v>
      </c>
      <c r="N291" s="23">
        <f>IF(L291=0,"",M291/L291)</f>
        <v/>
      </c>
      <c r="O291" s="9" t="n">
        <v>22973224.36778568</v>
      </c>
      <c r="P291" s="22">
        <f>M291*G291*(1+H291+I291)</f>
        <v/>
      </c>
      <c r="Q291" s="9" t="n">
        <v>19138057.44825245</v>
      </c>
      <c r="R291" s="22">
        <f>P291-M291*G291*J291</f>
        <v/>
      </c>
      <c r="S291" s="22">
        <f>IF(A291=A290,O291-O290,"")</f>
        <v/>
      </c>
      <c r="T291" s="22">
        <f>IF(A291=A290,P291-P290,"")</f>
        <v/>
      </c>
      <c r="U291" s="22">
        <f>IF(A291=A290,Q291-Q290,"")</f>
        <v/>
      </c>
      <c r="V291" s="22">
        <f>IF(A291=A290,R291-R290,"")</f>
        <v/>
      </c>
      <c r="W291" s="22">
        <f>IF(S291="","",D291-S291)</f>
        <v/>
      </c>
      <c r="X291" s="22">
        <f>IF(T291="","",D291-T291)</f>
        <v/>
      </c>
      <c r="Y291" s="22">
        <f>IF(U291="","",F291-U291)</f>
        <v/>
      </c>
      <c r="Z291" s="22">
        <f>IF(V291="","",F291-V291)</f>
        <v/>
      </c>
      <c r="AA291" s="9" t="n">
        <v>31039133.24869934</v>
      </c>
      <c r="AB291" s="9" t="n">
        <v>26771250.0565489</v>
      </c>
      <c r="AC291" s="9" t="n">
        <v>6101190.109935422</v>
      </c>
      <c r="AD291" s="9" t="n">
        <v>3141282.857267554</v>
      </c>
      <c r="AE291" s="9" t="n">
        <v>2152006.301211792</v>
      </c>
      <c r="AF291" s="9" t="n">
        <v>31327256.05934026</v>
      </c>
      <c r="AG291" s="9" t="n">
        <v>4698787.939536907</v>
      </c>
      <c r="AH291" s="9" t="n">
        <v>4910662.256485749</v>
      </c>
      <c r="AI291" s="9" t="n">
        <v>5571802.260134272</v>
      </c>
      <c r="AJ291" s="9" t="n">
        <v>6489500.382823714</v>
      </c>
      <c r="AK291" s="9" t="n">
        <v>6527088.529118793</v>
      </c>
      <c r="AL291" s="9" t="n">
        <v>4828534.535052475</v>
      </c>
      <c r="AM291" s="9" t="n">
        <v>4162658.73087182</v>
      </c>
      <c r="AN291" s="9" t="n">
        <v>4290297.19648444</v>
      </c>
      <c r="AO291" s="9" t="n">
        <v>4598586.033510894</v>
      </c>
      <c r="AP291" s="9" t="n">
        <v>5341476.394091642</v>
      </c>
      <c r="AQ291" s="9" t="n">
        <v>5361279.122227456</v>
      </c>
      <c r="AR291" s="9" t="n">
        <v>4276339.853719183</v>
      </c>
    </row>
    <row r="292">
      <c r="A292" s="4" t="inlineStr">
        <is>
          <t>Diversos</t>
        </is>
      </c>
      <c r="B292" s="5" t="n">
        <v>202312</v>
      </c>
      <c r="C292" s="5" t="n">
        <v>2023</v>
      </c>
      <c r="D292" s="6" t="n">
        <v>7974855.757573857</v>
      </c>
      <c r="E292" s="11" t="n">
        <v>0.1815482621345899</v>
      </c>
      <c r="F292" s="22">
        <f>D292*(1-E292)</f>
        <v/>
      </c>
      <c r="G292" s="11" t="n">
        <v>0.768054199</v>
      </c>
      <c r="H292" s="11" t="n">
        <v>0.03882957799022606</v>
      </c>
      <c r="I292" s="11" t="n">
        <v>0.1799406066340051</v>
      </c>
      <c r="J292" s="11" t="n">
        <v>0.2325604928375814</v>
      </c>
      <c r="K292" s="6" t="n">
        <v>25437594.11372932</v>
      </c>
      <c r="L292" s="18" t="n">
        <v>33119530.03687611</v>
      </c>
      <c r="M292" s="18" t="n">
        <v>34009591.53634088</v>
      </c>
      <c r="N292" s="23">
        <f>IF(L292=0,"",M292/L292)</f>
        <v/>
      </c>
      <c r="O292" s="6" t="n">
        <v>31002581.27438615</v>
      </c>
      <c r="P292" s="22">
        <f>M292*G292*(1+H292+I292)</f>
        <v/>
      </c>
      <c r="Q292" s="6" t="n">
        <v>25086801.85069489</v>
      </c>
      <c r="R292" s="22">
        <f>P292-M292*G292*J292</f>
        <v/>
      </c>
      <c r="S292" s="22">
        <f>IF(A292=A291,O292-O291,"")</f>
        <v/>
      </c>
      <c r="T292" s="22">
        <f>IF(A292=A291,P292-P291,"")</f>
        <v/>
      </c>
      <c r="U292" s="22">
        <f>IF(A292=A291,Q292-Q291,"")</f>
        <v/>
      </c>
      <c r="V292" s="22">
        <f>IF(A292=A291,R292-R291,"")</f>
        <v/>
      </c>
      <c r="W292" s="22">
        <f>IF(S292="","",D292-S292)</f>
        <v/>
      </c>
      <c r="X292" s="22">
        <f>IF(T292="","",D292-T292)</f>
        <v/>
      </c>
      <c r="Y292" s="22">
        <f>IF(U292="","",F292-U292)</f>
        <v/>
      </c>
      <c r="Z292" s="22">
        <f>IF(V292="","",F292-V292)</f>
        <v/>
      </c>
      <c r="AA292" s="6" t="n">
        <v>34009591.53634088</v>
      </c>
      <c r="AB292" s="6" t="n">
        <v>29540445.85520998</v>
      </c>
      <c r="AC292" s="6" t="n">
        <v>9091905.162457179</v>
      </c>
      <c r="AD292" s="6" t="n">
        <v>3778491.129218745</v>
      </c>
      <c r="AE292" s="6" t="n">
        <v>2753610.269751282</v>
      </c>
      <c r="AF292" s="6" t="n">
        <v>34229234.71875391</v>
      </c>
      <c r="AG292" s="6" t="n">
        <v>-19800.83911168668</v>
      </c>
      <c r="AH292" s="6" t="n">
        <v>885531.6523920214</v>
      </c>
      <c r="AI292" s="6" t="n">
        <v>4150402.666866428</v>
      </c>
      <c r="AJ292" s="6" t="n">
        <v>6850692.839522177</v>
      </c>
      <c r="AK292" s="6" t="n">
        <v>7050203.609600365</v>
      </c>
      <c r="AL292" s="6" t="n">
        <v>-4098.22929653246</v>
      </c>
      <c r="AM292" s="6" t="n">
        <v>627089.4808411822</v>
      </c>
      <c r="AN292" s="6" t="n">
        <v>1281404.516672485</v>
      </c>
      <c r="AO292" s="6" t="n">
        <v>3544232.740577972</v>
      </c>
      <c r="AP292" s="6" t="n">
        <v>5674985.419155396</v>
      </c>
      <c r="AQ292" s="6" t="n">
        <v>5818284.73317723</v>
      </c>
      <c r="AR292" s="6" t="n">
        <v>645079.4736912064</v>
      </c>
    </row>
    <row r="293">
      <c r="A293" t="inlineStr">
        <is>
          <t>Diversos</t>
        </is>
      </c>
      <c r="B293" s="8" t="n">
        <v>202401</v>
      </c>
      <c r="C293" s="8" t="n">
        <v>2024</v>
      </c>
      <c r="D293" s="9" t="n">
        <v>2554779.992527857</v>
      </c>
      <c r="E293" s="10" t="n">
        <v>0.1936065346764488</v>
      </c>
      <c r="F293" s="22">
        <f>D293*(1-E293)</f>
        <v/>
      </c>
      <c r="G293" s="10" t="n">
        <v>0.74598</v>
      </c>
      <c r="H293" s="10" t="n">
        <v>0.03786620150231421</v>
      </c>
      <c r="I293" s="10" t="n">
        <v>0.1939981693483206</v>
      </c>
      <c r="J293" s="10" t="n">
        <v>0.2357469361575891</v>
      </c>
      <c r="K293" s="9" t="n">
        <v>23243258.02341598</v>
      </c>
      <c r="L293" s="18" t="n">
        <v>31158017.67261318</v>
      </c>
      <c r="M293" s="18" t="n">
        <v>31496731.64903079</v>
      </c>
      <c r="N293" s="23">
        <f>IF(L293=0,"",M293/L293)</f>
        <v/>
      </c>
      <c r="O293" s="9" t="n">
        <v>28632541.4215343</v>
      </c>
      <c r="P293" s="22">
        <f>M293*G293*(1+H293+I293)</f>
        <v/>
      </c>
      <c r="Q293" s="9" t="n">
        <v>23153014.55619368</v>
      </c>
      <c r="R293" s="22">
        <f>P293-M293*G293*J293</f>
        <v/>
      </c>
      <c r="S293" s="22">
        <f>IF(A293=A292,O293-O292,"")</f>
        <v/>
      </c>
      <c r="T293" s="22">
        <f>IF(A293=A292,P293-P292,"")</f>
        <v/>
      </c>
      <c r="U293" s="22">
        <f>IF(A293=A292,Q293-Q292,"")</f>
        <v/>
      </c>
      <c r="V293" s="22">
        <f>IF(A293=A292,R293-R292,"")</f>
        <v/>
      </c>
      <c r="W293" s="22">
        <f>IF(S293="","",D293-S293)</f>
        <v/>
      </c>
      <c r="X293" s="22">
        <f>IF(T293="","",D293-T293)</f>
        <v/>
      </c>
      <c r="Y293" s="22">
        <f>IF(U293="","",F293-U293)</f>
        <v/>
      </c>
      <c r="Z293" s="22">
        <f>IF(V293="","",F293-V293)</f>
        <v/>
      </c>
      <c r="AA293" s="9" t="n">
        <v>31496731.64903079</v>
      </c>
      <c r="AB293" s="9" t="n">
        <v>27145209.45582109</v>
      </c>
      <c r="AC293" s="9" t="n">
        <v>6263833.354184629</v>
      </c>
      <c r="AD293" s="9" t="n">
        <v>3968148.345926504</v>
      </c>
      <c r="AE293" s="9" t="n">
        <v>2955691.640106145</v>
      </c>
      <c r="AF293" s="9" t="n">
        <v>31724308.63210694</v>
      </c>
      <c r="AG293" s="9" t="n">
        <v>5446730.084558245</v>
      </c>
      <c r="AH293" s="9" t="n">
        <v>5262059.944096308</v>
      </c>
      <c r="AI293" s="9" t="n">
        <v>5309418.987355312</v>
      </c>
      <c r="AJ293" s="9" t="n">
        <v>2445241.077817312</v>
      </c>
      <c r="AK293" s="9" t="n">
        <v>2416262.231846161</v>
      </c>
      <c r="AL293" s="9" t="n">
        <v>5443203.016917158</v>
      </c>
      <c r="AM293" s="9" t="n">
        <v>4416440.560392687</v>
      </c>
      <c r="AN293" s="9" t="n">
        <v>4264775.464863783</v>
      </c>
      <c r="AO293" s="9" t="n">
        <v>4292382.694435624</v>
      </c>
      <c r="AP293" s="9" t="n">
        <v>1973556.917619663</v>
      </c>
      <c r="AQ293" s="9" t="n">
        <v>1949588.163644638</v>
      </c>
      <c r="AR293" s="9" t="n">
        <v>4413703.290362285</v>
      </c>
    </row>
    <row r="294">
      <c r="A294" s="4" t="inlineStr">
        <is>
          <t>Diversos</t>
        </is>
      </c>
      <c r="B294" s="5" t="n">
        <v>202402</v>
      </c>
      <c r="C294" s="5" t="n">
        <v>2024</v>
      </c>
      <c r="D294" s="6" t="n">
        <v>4049850.320428484</v>
      </c>
      <c r="E294" s="11" t="n">
        <v>0.1936065346764488</v>
      </c>
      <c r="F294" s="22">
        <f>D294*(1-E294)</f>
        <v/>
      </c>
      <c r="G294" s="11" t="n">
        <v>0.728394</v>
      </c>
      <c r="H294" s="11" t="n">
        <v>0.03878062543394358</v>
      </c>
      <c r="I294" s="11" t="n">
        <v>0.1931450043545312</v>
      </c>
      <c r="J294" s="11" t="n">
        <v>0.2220244976083357</v>
      </c>
      <c r="K294" s="6" t="n">
        <v>21983511.31503491</v>
      </c>
      <c r="L294" s="18" t="n">
        <v>30180796.81468396</v>
      </c>
      <c r="M294" s="18" t="n">
        <v>30589923.06369757</v>
      </c>
      <c r="N294" s="23">
        <f>IF(L294=0,"",M294/L294)</f>
        <v/>
      </c>
      <c r="O294" s="6" t="n">
        <v>27082051.02173644</v>
      </c>
      <c r="P294" s="22">
        <f>M294*G294*(1+H294+I294)</f>
        <v/>
      </c>
      <c r="Q294" s="6" t="n">
        <v>22201172.96634866</v>
      </c>
      <c r="R294" s="22">
        <f>P294-M294*G294*J294</f>
        <v/>
      </c>
      <c r="S294" s="22">
        <f>IF(A294=A293,O294-O293,"")</f>
        <v/>
      </c>
      <c r="T294" s="22">
        <f>IF(A294=A293,P294-P293,"")</f>
        <v/>
      </c>
      <c r="U294" s="22">
        <f>IF(A294=A293,Q294-Q293,"")</f>
        <v/>
      </c>
      <c r="V294" s="22">
        <f>IF(A294=A293,R294-R293,"")</f>
        <v/>
      </c>
      <c r="W294" s="22">
        <f>IF(S294="","",D294-S294)</f>
        <v/>
      </c>
      <c r="X294" s="22">
        <f>IF(T294="","",D294-T294)</f>
        <v/>
      </c>
      <c r="Y294" s="22">
        <f>IF(U294="","",F294-U294)</f>
        <v/>
      </c>
      <c r="Z294" s="22">
        <f>IF(V294="","",F294-V294)</f>
        <v/>
      </c>
      <c r="AA294" s="6" t="n">
        <v>30589923.06369757</v>
      </c>
      <c r="AB294" s="6" t="n">
        <v>26298681.56368284</v>
      </c>
      <c r="AC294" s="6" t="n">
        <v>5281601.819667833</v>
      </c>
      <c r="AD294" s="6" t="n">
        <v>3666346.192728136</v>
      </c>
      <c r="AE294" s="6" t="n">
        <v>2666392.502770233</v>
      </c>
      <c r="AF294" s="6" t="n">
        <v>30817768.13534417</v>
      </c>
      <c r="AG294" s="6" t="n">
        <v>5544480.509421513</v>
      </c>
      <c r="AH294" s="6" t="n">
        <v>5396313.677432154</v>
      </c>
      <c r="AI294" s="6" t="n">
        <v>5066650.905755046</v>
      </c>
      <c r="AJ294" s="6" t="n">
        <v>4406452.798270988</v>
      </c>
      <c r="AK294" s="6" t="n">
        <v>4373345.254554903</v>
      </c>
      <c r="AL294" s="6" t="n">
        <v>5549159.920794894</v>
      </c>
      <c r="AM294" s="6" t="n">
        <v>4168351.560213584</v>
      </c>
      <c r="AN294" s="6" t="n">
        <v>4091469.092359263</v>
      </c>
      <c r="AO294" s="6" t="n">
        <v>4035147.604816182</v>
      </c>
      <c r="AP294" s="6" t="n">
        <v>3517453.141739293</v>
      </c>
      <c r="AQ294" s="6" t="n">
        <v>3500684.942288175</v>
      </c>
      <c r="AR294" s="6" t="n">
        <v>4169856.118428483</v>
      </c>
    </row>
    <row r="295">
      <c r="A295" t="inlineStr">
        <is>
          <t>Diversos</t>
        </is>
      </c>
      <c r="B295" s="8" t="n">
        <v>202403</v>
      </c>
      <c r="C295" s="8" t="n">
        <v>2024</v>
      </c>
      <c r="D295" s="9" t="n">
        <v>5277273.075943801</v>
      </c>
      <c r="E295" s="10" t="n">
        <v>0.1936065346764488</v>
      </c>
      <c r="F295" s="22">
        <f>D295*(1-E295)</f>
        <v/>
      </c>
      <c r="G295" s="10" t="n">
        <v>0.742</v>
      </c>
      <c r="H295" s="10" t="n">
        <v>0.0380693020419394</v>
      </c>
      <c r="I295" s="10" t="n">
        <v>0.1791508254214338</v>
      </c>
      <c r="J295" s="10" t="n">
        <v>0.200985466165196</v>
      </c>
      <c r="K295" s="9" t="n">
        <v>22516087.60332075</v>
      </c>
      <c r="L295" s="18" t="n">
        <v>30345131.54086355</v>
      </c>
      <c r="M295" s="18" t="n">
        <v>30990318.04487239</v>
      </c>
      <c r="N295" s="23">
        <f>IF(L295=0,"",M295/L295)</f>
        <v/>
      </c>
      <c r="O295" s="9" t="n">
        <v>27407035.02249056</v>
      </c>
      <c r="P295" s="22">
        <f>M295*G295*(1+H295+I295)</f>
        <v/>
      </c>
      <c r="Q295" s="9" t="n">
        <v>22881628.65932076</v>
      </c>
      <c r="R295" s="22">
        <f>P295-M295*G295*J295</f>
        <v/>
      </c>
      <c r="S295" s="22">
        <f>IF(A295=A294,O295-O294,"")</f>
        <v/>
      </c>
      <c r="T295" s="22">
        <f>IF(A295=A294,P295-P294,"")</f>
        <v/>
      </c>
      <c r="U295" s="22">
        <f>IF(A295=A294,Q295-Q294,"")</f>
        <v/>
      </c>
      <c r="V295" s="22">
        <f>IF(A295=A294,R295-R294,"")</f>
        <v/>
      </c>
      <c r="W295" s="22">
        <f>IF(S295="","",D295-S295)</f>
        <v/>
      </c>
      <c r="X295" s="22">
        <f>IF(T295="","",D295-T295)</f>
        <v/>
      </c>
      <c r="Y295" s="22">
        <f>IF(U295="","",F295-U295)</f>
        <v/>
      </c>
      <c r="Z295" s="22">
        <f>IF(V295="","",F295-V295)</f>
        <v/>
      </c>
      <c r="AA295" s="9" t="n">
        <v>30990318.04487239</v>
      </c>
      <c r="AB295" s="9" t="n">
        <v>26534876.29442354</v>
      </c>
      <c r="AC295" s="9" t="n">
        <v>3937950.522992016</v>
      </c>
      <c r="AD295" s="9" t="n">
        <v>3318409.905058805</v>
      </c>
      <c r="AE295" s="9" t="n">
        <v>2291964.918387522</v>
      </c>
      <c r="AF295" s="9" t="n">
        <v>31074430.80616511</v>
      </c>
      <c r="AG295" s="9" t="n">
        <v>4736691.374880291</v>
      </c>
      <c r="AH295" s="9" t="n">
        <v>4910097.500119264</v>
      </c>
      <c r="AI295" s="9" t="n">
        <v>6459930.587637825</v>
      </c>
      <c r="AJ295" s="9" t="n">
        <v>5570072.762537494</v>
      </c>
      <c r="AK295" s="9" t="n">
        <v>5599848.927768015</v>
      </c>
      <c r="AL295" s="9" t="n">
        <v>4865174.223978615</v>
      </c>
      <c r="AM295" s="9" t="n">
        <v>3389558.143981443</v>
      </c>
      <c r="AN295" s="9" t="n">
        <v>3592504.028737512</v>
      </c>
      <c r="AO295" s="9" t="n">
        <v>5171339.809221683</v>
      </c>
      <c r="AP295" s="9" t="n">
        <v>4450310.397533089</v>
      </c>
      <c r="AQ295" s="9" t="n">
        <v>4488725.396442594</v>
      </c>
      <c r="AR295" s="9" t="n">
        <v>3493737.427544472</v>
      </c>
    </row>
    <row r="296">
      <c r="A296" s="4" t="inlineStr">
        <is>
          <t>Diversos</t>
        </is>
      </c>
      <c r="B296" s="5" t="n">
        <v>202404</v>
      </c>
      <c r="C296" s="5" t="n">
        <v>2024</v>
      </c>
      <c r="D296" s="6" t="n">
        <v>10255872.09375025</v>
      </c>
      <c r="E296" s="11" t="n">
        <v>0.1936065346764488</v>
      </c>
      <c r="F296" s="22">
        <f>D296*(1-E296)</f>
        <v/>
      </c>
      <c r="G296" s="11" t="n">
        <v>0.7572</v>
      </c>
      <c r="H296" s="11" t="n">
        <v>0.03730539282412234</v>
      </c>
      <c r="I296" s="11" t="n">
        <v>0.1788967885125817</v>
      </c>
      <c r="J296" s="11" t="n">
        <v>0.2216663646100651</v>
      </c>
      <c r="K296" s="6" t="n">
        <v>26872730.0219539</v>
      </c>
      <c r="L296" s="18" t="n">
        <v>35489606.47379015</v>
      </c>
      <c r="M296" s="18" t="n">
        <v>36029708.05407476</v>
      </c>
      <c r="N296" s="23">
        <f>IF(L296=0,"",M296/L296)</f>
        <v/>
      </c>
      <c r="O296" s="6" t="n">
        <v>32682672.87117267</v>
      </c>
      <c r="P296" s="22">
        <f>M296*G296*(1+H296+I296)</f>
        <v/>
      </c>
      <c r="Q296" s="6" t="n">
        <v>26725892.50005839</v>
      </c>
      <c r="R296" s="22">
        <f>P296-M296*G296*J296</f>
        <v/>
      </c>
      <c r="S296" s="22">
        <f>IF(A296=A295,O296-O295,"")</f>
        <v/>
      </c>
      <c r="T296" s="22">
        <f>IF(A296=A295,P296-P295,"")</f>
        <v/>
      </c>
      <c r="U296" s="22">
        <f>IF(A296=A295,Q296-Q295,"")</f>
        <v/>
      </c>
      <c r="V296" s="22">
        <f>IF(A296=A295,R296-R295,"")</f>
        <v/>
      </c>
      <c r="W296" s="22">
        <f>IF(S296="","",D296-S296)</f>
        <v/>
      </c>
      <c r="X296" s="22">
        <f>IF(T296="","",D296-T296)</f>
        <v/>
      </c>
      <c r="Y296" s="22">
        <f>IF(U296="","",F296-U296)</f>
        <v/>
      </c>
      <c r="Z296" s="22">
        <f>IF(V296="","",F296-V296)</f>
        <v/>
      </c>
      <c r="AA296" s="6" t="n">
        <v>36029708.05407476</v>
      </c>
      <c r="AB296" s="6" t="n">
        <v>31126804.15775599</v>
      </c>
      <c r="AC296" s="6" t="n">
        <v>4014185.998284466</v>
      </c>
      <c r="AD296" s="6" t="n">
        <v>4052998.052087657</v>
      </c>
      <c r="AE296" s="6" t="n">
        <v>2952220.997533441</v>
      </c>
      <c r="AF296" s="6" t="n">
        <v>35890142.73583718</v>
      </c>
      <c r="AG296" s="6" t="n">
        <v>5065568.048415663</v>
      </c>
      <c r="AH296" s="6" t="n">
        <v>5556638.895446682</v>
      </c>
      <c r="AI296" s="6" t="n">
        <v>10115842.58052659</v>
      </c>
      <c r="AJ296" s="6" t="n">
        <v>9520545.194393396</v>
      </c>
      <c r="AK296" s="6" t="n">
        <v>9607198.064101912</v>
      </c>
      <c r="AL296" s="6" t="n">
        <v>5270063.64676387</v>
      </c>
      <c r="AM296" s="6" t="n">
        <v>4505774.518696535</v>
      </c>
      <c r="AN296" s="6" t="n">
        <v>4838359.125316665</v>
      </c>
      <c r="AO296" s="6" t="n">
        <v>8216731.519698669</v>
      </c>
      <c r="AP296" s="6" t="n">
        <v>7720341.418319594</v>
      </c>
      <c r="AQ296" s="6" t="n">
        <v>7775308.503207293</v>
      </c>
      <c r="AR296" s="6" t="n">
        <v>4674300.830197003</v>
      </c>
    </row>
    <row r="297">
      <c r="A297" t="inlineStr">
        <is>
          <t>Diversos</t>
        </is>
      </c>
      <c r="B297" s="8" t="n">
        <v>202405</v>
      </c>
      <c r="C297" s="8" t="n">
        <v>2024</v>
      </c>
      <c r="D297" s="9" t="n">
        <v>4623876.589759321</v>
      </c>
      <c r="E297" s="10" t="n">
        <v>0.1936065346764488</v>
      </c>
      <c r="F297" s="22">
        <f>D297*(1-E297)</f>
        <v/>
      </c>
      <c r="G297" s="10" t="n">
        <v>0.80292</v>
      </c>
      <c r="H297" s="10" t="n">
        <v>0.03518075792758073</v>
      </c>
      <c r="I297" s="10" t="n">
        <v>0.2235646319694178</v>
      </c>
      <c r="J297" s="10" t="n">
        <v>0.2193322792559358</v>
      </c>
      <c r="K297" s="9" t="n">
        <v>27791915.47718674</v>
      </c>
      <c r="L297" s="18" t="n">
        <v>34613554.87120353</v>
      </c>
      <c r="M297" s="18" t="n">
        <v>35070311.2496674</v>
      </c>
      <c r="N297" s="23">
        <f>IF(L297=0,"",M297/L297)</f>
        <v/>
      </c>
      <c r="O297" s="9" t="n">
        <v>34982945.48331586</v>
      </c>
      <c r="P297" s="22">
        <f>M297*G297*(1+H297+I297)</f>
        <v/>
      </c>
      <c r="Q297" s="9" t="n">
        <v>28887281.31681617</v>
      </c>
      <c r="R297" s="22">
        <f>P297-M297*G297*J297</f>
        <v/>
      </c>
      <c r="S297" s="22">
        <f>IF(A297=A296,O297-O296,"")</f>
        <v/>
      </c>
      <c r="T297" s="22">
        <f>IF(A297=A296,P297-P296,"")</f>
        <v/>
      </c>
      <c r="U297" s="22">
        <f>IF(A297=A296,Q297-Q296,"")</f>
        <v/>
      </c>
      <c r="V297" s="22">
        <f>IF(A297=A296,R297-R296,"")</f>
        <v/>
      </c>
      <c r="W297" s="22">
        <f>IF(S297="","",D297-S297)</f>
        <v/>
      </c>
      <c r="X297" s="22">
        <f>IF(T297="","",D297-T297)</f>
        <v/>
      </c>
      <c r="Y297" s="22">
        <f>IF(U297="","",F297-U297)</f>
        <v/>
      </c>
      <c r="Z297" s="22">
        <f>IF(V297="","",F297-V297)</f>
        <v/>
      </c>
      <c r="AA297" s="9" t="n">
        <v>35070311.2496674</v>
      </c>
      <c r="AB297" s="9" t="n">
        <v>30167041.91451436</v>
      </c>
      <c r="AC297" s="9" t="n">
        <v>3578190.813788118</v>
      </c>
      <c r="AD297" s="9" t="n">
        <v>4057732.353251714</v>
      </c>
      <c r="AE297" s="9" t="n">
        <v>2939045.842401395</v>
      </c>
      <c r="AF297" s="9" t="n">
        <v>35004135.58791264</v>
      </c>
      <c r="AG297" s="9" t="n">
        <v>2359357.187948723</v>
      </c>
      <c r="AH297" s="9" t="n">
        <v>2799828.618817785</v>
      </c>
      <c r="AI297" s="9" t="n">
        <v>4704197.036138386</v>
      </c>
      <c r="AJ297" s="9" t="n">
        <v>4255280.244202811</v>
      </c>
      <c r="AK297" s="9" t="n">
        <v>4372190.491105751</v>
      </c>
      <c r="AL297" s="9" t="n">
        <v>2297712.207537339</v>
      </c>
      <c r="AM297" s="9" t="n">
        <v>1592812.157487163</v>
      </c>
      <c r="AN297" s="9" t="n">
        <v>1992718.782993002</v>
      </c>
      <c r="AO297" s="9" t="n">
        <v>3765362.018530389</v>
      </c>
      <c r="AP297" s="9" t="n">
        <v>3394381.061069348</v>
      </c>
      <c r="AQ297" s="9" t="n">
        <v>3499044.368884531</v>
      </c>
      <c r="AR297" s="9" t="n">
        <v>1542938.67636106</v>
      </c>
    </row>
    <row r="298">
      <c r="A298" s="4" t="inlineStr">
        <is>
          <t>Diversos</t>
        </is>
      </c>
      <c r="B298" s="5" t="n">
        <v>202406</v>
      </c>
      <c r="C298" s="5" t="n">
        <v>2024</v>
      </c>
      <c r="D298" s="6" t="n">
        <v>3384892.758455398</v>
      </c>
      <c r="E298" s="11" t="n">
        <v>0.1936065346764488</v>
      </c>
      <c r="F298" s="22">
        <f>D298*(1-E298)</f>
        <v/>
      </c>
      <c r="G298" s="11" t="n">
        <v>0.86089</v>
      </c>
      <c r="H298" s="11" t="n">
        <v>0.03281135401747246</v>
      </c>
      <c r="I298" s="11" t="n">
        <v>0.1876068592865985</v>
      </c>
      <c r="J298" s="11" t="n">
        <v>0.2382736527423449</v>
      </c>
      <c r="K298" s="6" t="n">
        <v>27696446.25892749</v>
      </c>
      <c r="L298" s="18" t="n">
        <v>32171875.91786116</v>
      </c>
      <c r="M298" s="18" t="n">
        <v>33035863.03724359</v>
      </c>
      <c r="N298" s="23">
        <f>IF(L298=0,"",M298/L298)</f>
        <v/>
      </c>
      <c r="O298" s="6" t="n">
        <v>33801247.45819251</v>
      </c>
      <c r="P298" s="22">
        <f>M298*G298*(1+H298+I298)</f>
        <v/>
      </c>
      <c r="Q298" s="6" t="n">
        <v>27201914.04009581</v>
      </c>
      <c r="R298" s="22">
        <f>P298-M298*G298*J298</f>
        <v/>
      </c>
      <c r="S298" s="22">
        <f>IF(A298=A297,O298-O297,"")</f>
        <v/>
      </c>
      <c r="T298" s="22">
        <f>IF(A298=A297,P298-P297,"")</f>
        <v/>
      </c>
      <c r="U298" s="22">
        <f>IF(A298=A297,Q298-Q297,"")</f>
        <v/>
      </c>
      <c r="V298" s="22">
        <f>IF(A298=A297,R298-R297,"")</f>
        <v/>
      </c>
      <c r="W298" s="22">
        <f>IF(S298="","",D298-S298)</f>
        <v/>
      </c>
      <c r="X298" s="22">
        <f>IF(T298="","",D298-T298)</f>
        <v/>
      </c>
      <c r="Y298" s="22">
        <f>IF(U298="","",F298-U298)</f>
        <v/>
      </c>
      <c r="Z298" s="22">
        <f>IF(V298="","",F298-V298)</f>
        <v/>
      </c>
      <c r="AA298" s="6" t="n">
        <v>33035863.03724359</v>
      </c>
      <c r="AB298" s="6" t="n">
        <v>28106565.12346888</v>
      </c>
      <c r="AC298" s="6" t="n">
        <v>3085115.158762606</v>
      </c>
      <c r="AD298" s="6" t="n">
        <v>3517679.773644196</v>
      </c>
      <c r="AE298" s="6" t="n">
        <v>2408255.851514589</v>
      </c>
      <c r="AF298" s="6" t="n">
        <v>32948310.67796056</v>
      </c>
      <c r="AG298" s="6" t="n">
        <v>4120477.127859379</v>
      </c>
      <c r="AH298" s="6" t="n">
        <v>4343827.171214392</v>
      </c>
      <c r="AI298" s="6" t="n">
        <v>3759906.088296504</v>
      </c>
      <c r="AJ298" s="6" t="n">
        <v>3790093.011122192</v>
      </c>
      <c r="AK298" s="6" t="n">
        <v>3825079.671115647</v>
      </c>
      <c r="AL298" s="6" t="n">
        <v>4145581.771153057</v>
      </c>
      <c r="AM298" s="6" t="n">
        <v>4065598.794132686</v>
      </c>
      <c r="AN298" s="6" t="n">
        <v>4141311.239775992</v>
      </c>
      <c r="AO298" s="6" t="n">
        <v>3107268.546782744</v>
      </c>
      <c r="AP298" s="6" t="n">
        <v>3141736.052934509</v>
      </c>
      <c r="AQ298" s="6" t="n">
        <v>3146157.175656911</v>
      </c>
      <c r="AR298" s="6" t="n">
        <v>4084397.99837157</v>
      </c>
    </row>
    <row r="299">
      <c r="A299" t="inlineStr">
        <is>
          <t>Diversos</t>
        </is>
      </c>
      <c r="B299" s="8" t="n">
        <v>202407</v>
      </c>
      <c r="C299" s="8" t="n">
        <v>2024</v>
      </c>
      <c r="D299" s="9" t="n">
        <v>7774042.235028693</v>
      </c>
      <c r="E299" s="10" t="n">
        <v>0.1936065346764488</v>
      </c>
      <c r="F299" s="22">
        <f>D299*(1-E299)</f>
        <v/>
      </c>
      <c r="G299" s="10" t="n">
        <v>0.79861</v>
      </c>
      <c r="H299" s="10" t="n">
        <v>0.03537043236312476</v>
      </c>
      <c r="I299" s="10" t="n">
        <v>0.1665333367105336</v>
      </c>
      <c r="J299" s="10" t="n">
        <v>0.227955676895461</v>
      </c>
      <c r="K299" s="9" t="n">
        <v>26946900.73797767</v>
      </c>
      <c r="L299" s="18" t="n">
        <v>33742253.08721112</v>
      </c>
      <c r="M299" s="18" t="n">
        <v>35078788.34390879</v>
      </c>
      <c r="N299" s="23">
        <f>IF(L299=0,"",M299/L299)</f>
        <v/>
      </c>
      <c r="O299" s="9" t="n">
        <v>32387581.56182911</v>
      </c>
      <c r="P299" s="22">
        <f>M299*G299*(1+H299+I299)</f>
        <v/>
      </c>
      <c r="Q299" s="9" t="n">
        <v>26244882.56386862</v>
      </c>
      <c r="R299" s="22">
        <f>P299-M299*G299*J299</f>
        <v/>
      </c>
      <c r="S299" s="22">
        <f>IF(A299=A298,O299-O298,"")</f>
        <v/>
      </c>
      <c r="T299" s="22">
        <f>IF(A299=A298,P299-P298,"")</f>
        <v/>
      </c>
      <c r="U299" s="22">
        <f>IF(A299=A298,Q299-Q298,"")</f>
        <v/>
      </c>
      <c r="V299" s="22">
        <f>IF(A299=A298,R299-R298,"")</f>
        <v/>
      </c>
      <c r="W299" s="22">
        <f>IF(S299="","",D299-S299)</f>
        <v/>
      </c>
      <c r="X299" s="22">
        <f>IF(T299="","",D299-T299)</f>
        <v/>
      </c>
      <c r="Y299" s="22">
        <f>IF(U299="","",F299-U299)</f>
        <v/>
      </c>
      <c r="Z299" s="22">
        <f>IF(V299="","",F299-V299)</f>
        <v/>
      </c>
      <c r="AA299" s="9" t="n">
        <v>35078788.34390879</v>
      </c>
      <c r="AB299" s="9" t="n">
        <v>29859390.18565769</v>
      </c>
      <c r="AC299" s="9" t="n">
        <v>3987514.220105503</v>
      </c>
      <c r="AD299" s="9" t="n">
        <v>3992055.535358266</v>
      </c>
      <c r="AE299" s="9" t="n">
        <v>2874778.440608388</v>
      </c>
      <c r="AF299" s="9" t="n">
        <v>34922585.28983746</v>
      </c>
      <c r="AG299" s="9" t="n">
        <v>8812576.068007745</v>
      </c>
      <c r="AH299" s="9" t="n">
        <v>8643481.429270998</v>
      </c>
      <c r="AI299" s="9" t="n">
        <v>7187980.65841859</v>
      </c>
      <c r="AJ299" s="9" t="n">
        <v>7638093.877490228</v>
      </c>
      <c r="AK299" s="9" t="n">
        <v>7544903.319980135</v>
      </c>
      <c r="AL299" s="9" t="n">
        <v>8870521.41782409</v>
      </c>
      <c r="AM299" s="9" t="n">
        <v>6916921.98154258</v>
      </c>
      <c r="AN299" s="9" t="n">
        <v>6808782.089864518</v>
      </c>
      <c r="AO299" s="9" t="n">
        <v>5775951.339702964</v>
      </c>
      <c r="AP299" s="9" t="n">
        <v>6138160.437788434</v>
      </c>
      <c r="AQ299" s="9" t="n">
        <v>6069145.423860761</v>
      </c>
      <c r="AR299" s="9" t="n">
        <v>6964390.315521535</v>
      </c>
    </row>
    <row r="300">
      <c r="A300" s="4" t="inlineStr">
        <is>
          <t>Diversos</t>
        </is>
      </c>
      <c r="B300" s="5" t="n">
        <v>202408</v>
      </c>
      <c r="C300" s="5" t="n">
        <v>2024</v>
      </c>
      <c r="D300" s="6" t="n">
        <v>8085255.132163238</v>
      </c>
      <c r="E300" s="11" t="n">
        <v>0.1936065346764488</v>
      </c>
      <c r="F300" s="22">
        <f>D300*(1-E300)</f>
        <v/>
      </c>
      <c r="G300" s="11" t="n">
        <v>0.7025100000000001</v>
      </c>
      <c r="H300" s="11" t="n">
        <v>0.04020823591873778</v>
      </c>
      <c r="I300" s="11" t="n">
        <v>0.1265036683859534</v>
      </c>
      <c r="J300" s="11" t="n">
        <v>0.2347867330206483</v>
      </c>
      <c r="K300" s="6" t="n">
        <v>25987831.81746664</v>
      </c>
      <c r="L300" s="18" t="n">
        <v>36992828.31200501</v>
      </c>
      <c r="M300" s="18" t="n">
        <v>37253328.48473348</v>
      </c>
      <c r="N300" s="23">
        <f>IF(L300=0,"",M300/L300)</f>
        <v/>
      </c>
      <c r="O300" s="6" t="n">
        <v>30320312.74850655</v>
      </c>
      <c r="P300" s="22">
        <f>M300*G300*(1+H300+I300)</f>
        <v/>
      </c>
      <c r="Q300" s="6" t="n">
        <v>24218714.6177935</v>
      </c>
      <c r="R300" s="22">
        <f>P300-M300*G300*J300</f>
        <v/>
      </c>
      <c r="S300" s="22">
        <f>IF(A300=A299,O300-O299,"")</f>
        <v/>
      </c>
      <c r="T300" s="22">
        <f>IF(A300=A299,P300-P299,"")</f>
        <v/>
      </c>
      <c r="U300" s="22">
        <f>IF(A300=A299,Q300-Q299,"")</f>
        <v/>
      </c>
      <c r="V300" s="22">
        <f>IF(A300=A299,R300-R299,"")</f>
        <v/>
      </c>
      <c r="W300" s="22">
        <f>IF(S300="","",D300-S300)</f>
        <v/>
      </c>
      <c r="X300" s="22">
        <f>IF(T300="","",D300-T300)</f>
        <v/>
      </c>
      <c r="Y300" s="22">
        <f>IF(U300="","",F300-U300)</f>
        <v/>
      </c>
      <c r="Z300" s="22">
        <f>IF(V300="","",F300-V300)</f>
        <v/>
      </c>
      <c r="AA300" s="6" t="n">
        <v>37253328.48473348</v>
      </c>
      <c r="AB300" s="6" t="n">
        <v>31814016.43549667</v>
      </c>
      <c r="AC300" s="6" t="n">
        <v>6483599.602174663</v>
      </c>
      <c r="AD300" s="6" t="n">
        <v>4571093.843860866</v>
      </c>
      <c r="AE300" s="6" t="n">
        <v>3416284.375229968</v>
      </c>
      <c r="AF300" s="6" t="n">
        <v>37034055.74933363</v>
      </c>
      <c r="AG300" s="6" t="n">
        <v>11221887.56017067</v>
      </c>
      <c r="AH300" s="6" t="n">
        <v>10670241.69286482</v>
      </c>
      <c r="AI300" s="6" t="n">
        <v>6598548.238785572</v>
      </c>
      <c r="AJ300" s="6" t="n">
        <v>8170448.167203128</v>
      </c>
      <c r="AK300" s="6" t="n">
        <v>8044539.867119763</v>
      </c>
      <c r="AL300" s="6" t="n">
        <v>11251677.49470629</v>
      </c>
      <c r="AM300" s="6" t="n">
        <v>9415082.223648263</v>
      </c>
      <c r="AN300" s="6" t="n">
        <v>8916455.417669473</v>
      </c>
      <c r="AO300" s="6" t="n">
        <v>5376677.38419205</v>
      </c>
      <c r="AP300" s="6" t="n">
        <v>6632301.823718144</v>
      </c>
      <c r="AQ300" s="6" t="n">
        <v>6519316.924266927</v>
      </c>
      <c r="AR300" s="6" t="n">
        <v>9437141.711198917</v>
      </c>
    </row>
    <row r="301">
      <c r="A301" t="inlineStr">
        <is>
          <t>Diversos</t>
        </is>
      </c>
      <c r="B301" s="8" t="n">
        <v>202409</v>
      </c>
      <c r="C301" s="8" t="n">
        <v>2024</v>
      </c>
      <c r="D301" s="9" t="n">
        <v>3731475.536496691</v>
      </c>
      <c r="E301" s="10" t="n">
        <v>0.1936065346764488</v>
      </c>
      <c r="F301" s="22">
        <f>D301*(1-E301)</f>
        <v/>
      </c>
      <c r="G301" s="10" t="n">
        <v>0.6949399999999999</v>
      </c>
      <c r="H301" s="10" t="n">
        <v>0.0406470699815936</v>
      </c>
      <c r="I301" s="10" t="n">
        <v>0.1409460529752814</v>
      </c>
      <c r="J301" s="10" t="n">
        <v>0.2133444135398068</v>
      </c>
      <c r="K301" s="9" t="n">
        <v>23791199.02651317</v>
      </c>
      <c r="L301" s="18" t="n">
        <v>34234896.57598235</v>
      </c>
      <c r="M301" s="18" t="n">
        <v>34991481.71209293</v>
      </c>
      <c r="N301" s="23">
        <f>IF(L301=0,"",M301/L301)</f>
        <v/>
      </c>
      <c r="O301" s="9" t="n">
        <v>28111517.15662626</v>
      </c>
      <c r="P301" s="22">
        <f>M301*G301*(1+H301+I301)</f>
        <v/>
      </c>
      <c r="Q301" s="9" t="n">
        <v>23035797.75290599</v>
      </c>
      <c r="R301" s="22">
        <f>P301-M301*G301*J301</f>
        <v/>
      </c>
      <c r="S301" s="22">
        <f>IF(A301=A300,O301-O300,"")</f>
        <v/>
      </c>
      <c r="T301" s="22">
        <f>IF(A301=A300,P301-P300,"")</f>
        <v/>
      </c>
      <c r="U301" s="22">
        <f>IF(A301=A300,Q301-Q300,"")</f>
        <v/>
      </c>
      <c r="V301" s="22">
        <f>IF(A301=A300,R301-R300,"")</f>
        <v/>
      </c>
      <c r="W301" s="22">
        <f>IF(S301="","",D301-S301)</f>
        <v/>
      </c>
      <c r="X301" s="22">
        <f>IF(T301="","",D301-T301)</f>
        <v/>
      </c>
      <c r="Y301" s="22">
        <f>IF(U301="","",F301-U301)</f>
        <v/>
      </c>
      <c r="Z301" s="22">
        <f>IF(V301="","",F301-V301)</f>
        <v/>
      </c>
      <c r="AA301" s="9" t="n">
        <v>34991481.71209293</v>
      </c>
      <c r="AB301" s="9" t="n">
        <v>29705779.28270181</v>
      </c>
      <c r="AC301" s="9" t="n">
        <v>7152784.960941054</v>
      </c>
      <c r="AD301" s="9" t="n">
        <v>4407011.618355011</v>
      </c>
      <c r="AE301" s="9" t="n">
        <v>3280654.783075326</v>
      </c>
      <c r="AF301" s="9" t="n">
        <v>34851848.30726792</v>
      </c>
      <c r="AG301" s="9" t="n">
        <v>5532524.507996675</v>
      </c>
      <c r="AH301" s="9" t="n">
        <v>5414600.955461271</v>
      </c>
      <c r="AI301" s="9" t="n">
        <v>3172195.845147481</v>
      </c>
      <c r="AJ301" s="9" t="n">
        <v>3859309.140384423</v>
      </c>
      <c r="AK301" s="9" t="n">
        <v>3837688.88643155</v>
      </c>
      <c r="AL301" s="9" t="n">
        <v>5467460.762829307</v>
      </c>
      <c r="AM301" s="9" t="n">
        <v>3853413.325073358</v>
      </c>
      <c r="AN301" s="9" t="n">
        <v>3848983.529698677</v>
      </c>
      <c r="AO301" s="9" t="n">
        <v>2440835.803478432</v>
      </c>
      <c r="AP301" s="9" t="n">
        <v>3036305.193987295</v>
      </c>
      <c r="AQ301" s="9" t="n">
        <v>3038163.816797757</v>
      </c>
      <c r="AR301" s="9" t="n">
        <v>3803814.163612425</v>
      </c>
    </row>
    <row r="302">
      <c r="A302" s="4" t="inlineStr">
        <is>
          <t>Diversos</t>
        </is>
      </c>
      <c r="B302" s="5" t="n">
        <v>202410</v>
      </c>
      <c r="C302" s="5" t="n">
        <v>2024</v>
      </c>
      <c r="D302" s="6" t="n">
        <v>4614033.252006897</v>
      </c>
      <c r="E302" s="11" t="n">
        <v>0.1936065346764488</v>
      </c>
      <c r="F302" s="22">
        <f>D302*(1-E302)</f>
        <v/>
      </c>
      <c r="G302" s="11" t="n">
        <v>0.69689</v>
      </c>
      <c r="H302" s="11" t="n">
        <v>0.04053282517917253</v>
      </c>
      <c r="I302" s="11" t="n">
        <v>0.1296393845959608</v>
      </c>
      <c r="J302" s="11" t="n">
        <v>0.2212159416797241</v>
      </c>
      <c r="K302" s="6" t="n">
        <v>22533982.98777167</v>
      </c>
      <c r="L302" s="18" t="n">
        <v>32335064.33981212</v>
      </c>
      <c r="M302" s="18" t="n">
        <v>33699743.93956174</v>
      </c>
      <c r="N302" s="23">
        <f>IF(L302=0,"",M302/L302)</f>
        <v/>
      </c>
      <c r="O302" s="6" t="n">
        <v>26368640.66783604</v>
      </c>
      <c r="P302" s="22">
        <f>M302*G302*(1+H302+I302)</f>
        <v/>
      </c>
      <c r="Q302" s="6" t="n">
        <v>21383764.40140124</v>
      </c>
      <c r="R302" s="22">
        <f>P302-M302*G302*J302</f>
        <v/>
      </c>
      <c r="S302" s="22">
        <f>IF(A302=A301,O302-O301,"")</f>
        <v/>
      </c>
      <c r="T302" s="22">
        <f>IF(A302=A301,P302-P301,"")</f>
        <v/>
      </c>
      <c r="U302" s="22">
        <f>IF(A302=A301,Q302-Q301,"")</f>
        <v/>
      </c>
      <c r="V302" s="22">
        <f>IF(A302=A301,R302-R301,"")</f>
        <v/>
      </c>
      <c r="W302" s="22">
        <f>IF(S302="","",D302-S302)</f>
        <v/>
      </c>
      <c r="X302" s="22">
        <f>IF(T302="","",D302-T302)</f>
        <v/>
      </c>
      <c r="Y302" s="22">
        <f>IF(U302="","",F302-U302)</f>
        <v/>
      </c>
      <c r="Z302" s="22">
        <f>IF(V302="","",F302-V302)</f>
        <v/>
      </c>
      <c r="AA302" s="6" t="n">
        <v>33699743.93956174</v>
      </c>
      <c r="AB302" s="6" t="n">
        <v>28612164.09257736</v>
      </c>
      <c r="AC302" s="6" t="n">
        <v>7223098.695901243</v>
      </c>
      <c r="AD302" s="6" t="n">
        <v>4072645.993407333</v>
      </c>
      <c r="AE302" s="6" t="n">
        <v>2955021.841403896</v>
      </c>
      <c r="AF302" s="6" t="n">
        <v>33716818.57497266</v>
      </c>
      <c r="AG302" s="6" t="n">
        <v>5865298.569444952</v>
      </c>
      <c r="AH302" s="6" t="n">
        <v>5673842.587041342</v>
      </c>
      <c r="AI302" s="6" t="n">
        <v>4597142.811435071</v>
      </c>
      <c r="AJ302" s="6" t="n">
        <v>4911623.880908858</v>
      </c>
      <c r="AK302" s="6" t="n">
        <v>4898132.977680741</v>
      </c>
      <c r="AL302" s="6" t="n">
        <v>5736716.462503833</v>
      </c>
      <c r="AM302" s="6" t="n">
        <v>4979359.289199965</v>
      </c>
      <c r="AN302" s="6" t="n">
        <v>4787252.354837099</v>
      </c>
      <c r="AO302" s="6" t="n">
        <v>3756888.564788592</v>
      </c>
      <c r="AP302" s="6" t="n">
        <v>3992778.492475719</v>
      </c>
      <c r="AQ302" s="6" t="n">
        <v>3973986.527728298</v>
      </c>
      <c r="AR302" s="6" t="n">
        <v>4874111.729679445</v>
      </c>
    </row>
    <row r="303">
      <c r="A303" t="inlineStr">
        <is>
          <t>Diversos</t>
        </is>
      </c>
      <c r="B303" s="8" t="n">
        <v>202411</v>
      </c>
      <c r="C303" s="8" t="n">
        <v>2024</v>
      </c>
      <c r="D303" s="9" t="n">
        <v>10467291.88734551</v>
      </c>
      <c r="E303" s="10" t="n">
        <v>0.1936065346764488</v>
      </c>
      <c r="F303" s="22">
        <f>D303*(1-E303)</f>
        <v/>
      </c>
      <c r="G303" s="10" t="n">
        <v>0.691015627732278</v>
      </c>
      <c r="H303" s="10" t="n">
        <v>0.04087812358217399</v>
      </c>
      <c r="I303" s="10" t="n">
        <v>0.1320302665562694</v>
      </c>
      <c r="J303" s="10" t="n">
        <v>0.2183337836132818</v>
      </c>
      <c r="K303" s="9" t="n">
        <v>25497434.16760392</v>
      </c>
      <c r="L303" s="18" t="n">
        <v>36898491.35724968</v>
      </c>
      <c r="M303" s="18" t="n">
        <v>38297821.58610279</v>
      </c>
      <c r="N303" s="23">
        <f>IF(L303=0,"",M303/L303)</f>
        <v/>
      </c>
      <c r="O303" s="9" t="n">
        <v>29906154.46218525</v>
      </c>
      <c r="P303" s="22">
        <f>M303*G303*(1+H303+I303)</f>
        <v/>
      </c>
      <c r="Q303" s="9" t="n">
        <v>24339203.18794172</v>
      </c>
      <c r="R303" s="22">
        <f>P303-M303*G303*J303</f>
        <v/>
      </c>
      <c r="S303" s="22">
        <f>IF(A303=A302,O303-O302,"")</f>
        <v/>
      </c>
      <c r="T303" s="22">
        <f>IF(A303=A302,P303-P302,"")</f>
        <v/>
      </c>
      <c r="U303" s="22">
        <f>IF(A303=A302,Q303-Q302,"")</f>
        <v/>
      </c>
      <c r="V303" s="22">
        <f>IF(A303=A302,R303-R302,"")</f>
        <v/>
      </c>
      <c r="W303" s="22">
        <f>IF(S303="","",D303-S303)</f>
        <v/>
      </c>
      <c r="X303" s="22">
        <f>IF(T303="","",D303-T303)</f>
        <v/>
      </c>
      <c r="Y303" s="22">
        <f>IF(U303="","",F303-U303)</f>
        <v/>
      </c>
      <c r="Z303" s="22">
        <f>IF(V303="","",F303-V303)</f>
        <v/>
      </c>
      <c r="AA303" s="9" t="n">
        <v>38297821.58610279</v>
      </c>
      <c r="AB303" s="9" t="n">
        <v>32907558.47791541</v>
      </c>
      <c r="AC303" s="9" t="n">
        <v>11224896.32181024</v>
      </c>
      <c r="AD303" s="9" t="n">
        <v>4199202.666113677</v>
      </c>
      <c r="AE303" s="9" t="n">
        <v>2969774.303611747</v>
      </c>
      <c r="AF303" s="9" t="n">
        <v>38181888.68502374</v>
      </c>
      <c r="AG303" s="9" t="n">
        <v>6908494.412179645</v>
      </c>
      <c r="AH303" s="9" t="n">
        <v>7128465.744174518</v>
      </c>
      <c r="AI303" s="9" t="n">
        <v>7259837.555773784</v>
      </c>
      <c r="AJ303" s="9" t="n">
        <v>10385013.10449805</v>
      </c>
      <c r="AK303" s="9" t="n">
        <v>10470060.75825571</v>
      </c>
      <c r="AL303" s="9" t="n">
        <v>7016381.845899068</v>
      </c>
      <c r="AM303" s="9" t="n">
        <v>5464769.796136893</v>
      </c>
      <c r="AN303" s="9" t="n">
        <v>5655818.523205377</v>
      </c>
      <c r="AO303" s="9" t="n">
        <v>5813288.791464858</v>
      </c>
      <c r="AP303" s="9" t="n">
        <v>8364167.28922941</v>
      </c>
      <c r="AQ303" s="9" t="n">
        <v>8436025.048201613</v>
      </c>
      <c r="AR303" s="9" t="n">
        <v>5552533.914598763</v>
      </c>
    </row>
    <row r="304">
      <c r="A304" s="4" t="inlineStr">
        <is>
          <t>Diversos</t>
        </is>
      </c>
      <c r="B304" s="5" t="n">
        <v>202412</v>
      </c>
      <c r="C304" s="5" t="n">
        <v>2024</v>
      </c>
      <c r="D304" s="6" t="n">
        <v>8080575.267419487</v>
      </c>
      <c r="E304" s="11" t="n">
        <v>0.1936065346764488</v>
      </c>
      <c r="F304" s="22">
        <f>D304*(1-E304)</f>
        <v/>
      </c>
      <c r="G304" s="11" t="n">
        <v>0.7346510000000002</v>
      </c>
      <c r="H304" s="11" t="n">
        <v>0.04140240560661538</v>
      </c>
      <c r="I304" s="11" t="n">
        <v>0.1467026762442103</v>
      </c>
      <c r="J304" s="11" t="n">
        <v>0.2392540376841056</v>
      </c>
      <c r="K304" s="6" t="n">
        <v>28339082.30657619</v>
      </c>
      <c r="L304" s="18" t="n">
        <v>38574891.07967754</v>
      </c>
      <c r="M304" s="18" t="n">
        <v>40361642.73178066</v>
      </c>
      <c r="N304" s="23">
        <f>IF(L304=0,"",M304/L304)</f>
        <v/>
      </c>
      <c r="O304" s="6" t="n">
        <v>33669807.70343199</v>
      </c>
      <c r="P304" s="22">
        <f>M304*G304*(1+H304+I304)</f>
        <v/>
      </c>
      <c r="Q304" s="6" t="n">
        <v>26889567.83732144</v>
      </c>
      <c r="R304" s="22">
        <f>P304-M304*G304*J304</f>
        <v/>
      </c>
      <c r="S304" s="22">
        <f>IF(A304=A303,O304-O303,"")</f>
        <v/>
      </c>
      <c r="T304" s="22">
        <f>IF(A304=A303,P304-P303,"")</f>
        <v/>
      </c>
      <c r="U304" s="22">
        <f>IF(A304=A303,Q304-Q303,"")</f>
        <v/>
      </c>
      <c r="V304" s="22">
        <f>IF(A304=A303,R304-R303,"")</f>
        <v/>
      </c>
      <c r="W304" s="22">
        <f>IF(S304="","",D304-S304)</f>
        <v/>
      </c>
      <c r="X304" s="22">
        <f>IF(T304="","",D304-T304)</f>
        <v/>
      </c>
      <c r="Y304" s="22">
        <f>IF(U304="","",F304-U304)</f>
        <v/>
      </c>
      <c r="Z304" s="22">
        <f>IF(V304="","",F304-V304)</f>
        <v/>
      </c>
      <c r="AA304" s="6" t="n">
        <v>40361642.73178066</v>
      </c>
      <c r="AB304" s="6" t="n">
        <v>34800548.11071745</v>
      </c>
      <c r="AC304" s="6" t="n">
        <v>13599696.29478432</v>
      </c>
      <c r="AD304" s="6" t="n">
        <v>4305196.060678169</v>
      </c>
      <c r="AE304" s="6" t="n">
        <v>3023165.832052763</v>
      </c>
      <c r="AF304" s="6" t="n">
        <v>40175637.66035599</v>
      </c>
      <c r="AG304" s="6" t="n">
        <v>3891523.483025663</v>
      </c>
      <c r="AH304" s="6" t="n">
        <v>4376686.078966759</v>
      </c>
      <c r="AI304" s="6" t="n">
        <v>5307937.5055844</v>
      </c>
      <c r="AJ304" s="6" t="n">
        <v>7726262.280374983</v>
      </c>
      <c r="AK304" s="6" t="n">
        <v>7848823.59834197</v>
      </c>
      <c r="AL304" s="6" t="n">
        <v>3959913.243022569</v>
      </c>
      <c r="AM304" s="6" t="n">
        <v>3643294.223739352</v>
      </c>
      <c r="AN304" s="6" t="n">
        <v>3964233.208208647</v>
      </c>
      <c r="AO304" s="6" t="n">
        <v>4440356.520963235</v>
      </c>
      <c r="AP304" s="6" t="n">
        <v>6284984.402490821</v>
      </c>
      <c r="AQ304" s="6" t="n">
        <v>6367691.937118284</v>
      </c>
      <c r="AR304" s="6" t="n">
        <v>3696481.238992084</v>
      </c>
    </row>
    <row r="305">
      <c r="A305" t="inlineStr">
        <is>
          <t>Diversos</t>
        </is>
      </c>
      <c r="B305" s="8" t="n">
        <v>202501</v>
      </c>
      <c r="C305" s="8" t="n">
        <v>2025</v>
      </c>
      <c r="D305" s="9" t="n">
        <v>7393793.283649564</v>
      </c>
      <c r="E305" s="10" t="n">
        <v>0.2013882100034744</v>
      </c>
      <c r="F305" s="22">
        <f>D305*(1-E305)</f>
        <v/>
      </c>
      <c r="G305" s="10" t="n">
        <v>0.7346510000000001</v>
      </c>
      <c r="H305" s="10" t="n">
        <v>0.03886071922024956</v>
      </c>
      <c r="I305" s="10" t="n">
        <v>0.1629046865342778</v>
      </c>
      <c r="J305" s="10" t="n">
        <v>0.2470216509364429</v>
      </c>
      <c r="K305" s="9" t="n">
        <v>30289420.50263208</v>
      </c>
      <c r="L305" s="18" t="n">
        <v>41229673.00477652</v>
      </c>
      <c r="M305" s="18" t="n">
        <v>41483708.30542809</v>
      </c>
      <c r="N305" s="23">
        <f>IF(L305=0,"",M305/L305)</f>
        <v/>
      </c>
      <c r="O305" s="9" t="n">
        <v>36400777.72041514</v>
      </c>
      <c r="P305" s="22">
        <f>M305*G305*(1+H305+I305)</f>
        <v/>
      </c>
      <c r="Q305" s="9" t="n">
        <v>28918635.06194682</v>
      </c>
      <c r="R305" s="22">
        <f>P305-M305*G305*J305</f>
        <v/>
      </c>
      <c r="S305" s="22">
        <f>IF(A305=A304,O305-O304,"")</f>
        <v/>
      </c>
      <c r="T305" s="22">
        <f>IF(A305=A304,P305-P304,"")</f>
        <v/>
      </c>
      <c r="U305" s="22">
        <f>IF(A305=A304,Q305-Q304,"")</f>
        <v/>
      </c>
      <c r="V305" s="22">
        <f>IF(A305=A304,R305-R304,"")</f>
        <v/>
      </c>
      <c r="W305" s="22">
        <f>IF(S305="","",D305-S305)</f>
        <v/>
      </c>
      <c r="X305" s="22">
        <f>IF(T305="","",D305-T305)</f>
        <v/>
      </c>
      <c r="Y305" s="22">
        <f>IF(U305="","",F305-U305)</f>
        <v/>
      </c>
      <c r="Z305" s="22">
        <f>IF(V305="","",F305-V305)</f>
        <v/>
      </c>
      <c r="AA305" s="9" t="n">
        <v>41483708.30542809</v>
      </c>
      <c r="AB305" s="9" t="n">
        <v>35601901.6623452</v>
      </c>
      <c r="AC305" s="9" t="n">
        <v>12326387.35143439</v>
      </c>
      <c r="AD305" s="9" t="n">
        <v>4418951.209167511</v>
      </c>
      <c r="AE305" s="9" t="n">
        <v>3120135.380043982</v>
      </c>
      <c r="AF305" s="9" t="n">
        <v>41162623.14480825</v>
      </c>
      <c r="AG305" s="9" t="n">
        <v>5998093.982019298</v>
      </c>
      <c r="AH305" s="9" t="n">
        <v>6337052.378753722</v>
      </c>
      <c r="AI305" s="9" t="n">
        <v>8381489.224452198</v>
      </c>
      <c r="AJ305" s="9" t="n">
        <v>7250156.24870689</v>
      </c>
      <c r="AK305" s="9" t="n">
        <v>7277841.793631986</v>
      </c>
      <c r="AL305" s="9" t="n">
        <v>6119219.909258477</v>
      </c>
      <c r="AM305" s="9" t="n">
        <v>4943020.806586671</v>
      </c>
      <c r="AN305" s="9" t="n">
        <v>5192043.782246306</v>
      </c>
      <c r="AO305" s="9" t="n">
        <v>6738999.528532353</v>
      </c>
      <c r="AP305" s="9" t="n">
        <v>5806344.672018717</v>
      </c>
      <c r="AQ305" s="9" t="n">
        <v>5823668.16901223</v>
      </c>
      <c r="AR305" s="9" t="n">
        <v>5038571.679652977</v>
      </c>
    </row>
    <row r="306">
      <c r="A306" s="4" t="inlineStr">
        <is>
          <t>Diversos</t>
        </is>
      </c>
      <c r="B306" s="5" t="n">
        <v>202502</v>
      </c>
      <c r="C306" s="5" t="n">
        <v>2025</v>
      </c>
      <c r="D306" s="6" t="n">
        <v>5027907.075492001</v>
      </c>
      <c r="E306" s="11" t="n">
        <v>0.2013882100034744</v>
      </c>
      <c r="F306" s="22">
        <f>D306*(1-E306)</f>
        <v/>
      </c>
      <c r="G306" s="11" t="n">
        <v>0.72251</v>
      </c>
      <c r="H306" s="11" t="n">
        <v>0.03911098256143055</v>
      </c>
      <c r="I306" s="11" t="n">
        <v>0.1751766661402544</v>
      </c>
      <c r="J306" s="11" t="n">
        <v>0.239837495664265</v>
      </c>
      <c r="K306" s="6" t="n">
        <v>28748839.95441778</v>
      </c>
      <c r="L306" s="18" t="n">
        <v>39790231.21398704</v>
      </c>
      <c r="M306" s="18" t="n">
        <v>39935007.05552105</v>
      </c>
      <c r="N306" s="23">
        <f>IF(L306=0,"",M306/L306)</f>
        <v/>
      </c>
      <c r="O306" s="6" t="n">
        <v>34909361.27115102</v>
      </c>
      <c r="P306" s="22">
        <f>M306*G306*(1+H306+I306)</f>
        <v/>
      </c>
      <c r="Q306" s="6" t="n">
        <v>28014311.4932307</v>
      </c>
      <c r="R306" s="22">
        <f>P306-M306*G306*J306</f>
        <v/>
      </c>
      <c r="S306" s="22">
        <f>IF(A306=A305,O306-O305,"")</f>
        <v/>
      </c>
      <c r="T306" s="22">
        <f>IF(A306=A305,P306-P305,"")</f>
        <v/>
      </c>
      <c r="U306" s="22">
        <f>IF(A306=A305,Q306-Q305,"")</f>
        <v/>
      </c>
      <c r="V306" s="22">
        <f>IF(A306=A305,R306-R305,"")</f>
        <v/>
      </c>
      <c r="W306" s="22">
        <f>IF(S306="","",D306-S306)</f>
        <v/>
      </c>
      <c r="X306" s="22">
        <f>IF(T306="","",D306-T306)</f>
        <v/>
      </c>
      <c r="Y306" s="22">
        <f>IF(U306="","",F306-U306)</f>
        <v/>
      </c>
      <c r="Z306" s="22">
        <f>IF(V306="","",F306-V306)</f>
        <v/>
      </c>
      <c r="AA306" s="6" t="n">
        <v>39935007.05552105</v>
      </c>
      <c r="AB306" s="6" t="n">
        <v>34051085.45300848</v>
      </c>
      <c r="AC306" s="6" t="n">
        <v>10821403.68375508</v>
      </c>
      <c r="AD306" s="6" t="n">
        <v>4190931.501749193</v>
      </c>
      <c r="AE306" s="6" t="n">
        <v>2908919.230395043</v>
      </c>
      <c r="AF306" s="6" t="n">
        <v>39690339.92242183</v>
      </c>
      <c r="AG306" s="6" t="n">
        <v>6616588.834381095</v>
      </c>
      <c r="AH306" s="6" t="n">
        <v>6585840.402012232</v>
      </c>
      <c r="AI306" s="6" t="n">
        <v>6416609.357953328</v>
      </c>
      <c r="AJ306" s="6" t="n">
        <v>5252451.815935565</v>
      </c>
      <c r="AK306" s="6" t="n">
        <v>5230509.886730282</v>
      </c>
      <c r="AL306" s="6" t="n">
        <v>6547764.791148393</v>
      </c>
      <c r="AM306" s="6" t="n">
        <v>4995921.247235231</v>
      </c>
      <c r="AN306" s="6" t="n">
        <v>5012976.637706384</v>
      </c>
      <c r="AO306" s="6" t="n">
        <v>5042307.487966537</v>
      </c>
      <c r="AP306" s="6" t="n">
        <v>4164188.27135268</v>
      </c>
      <c r="AQ306" s="6" t="n">
        <v>4155795.076506458</v>
      </c>
      <c r="AR306" s="6" t="n">
        <v>4942968.896659974</v>
      </c>
    </row>
    <row r="307">
      <c r="A307" t="inlineStr">
        <is>
          <t>Diversos</t>
        </is>
      </c>
      <c r="B307" s="8" t="n">
        <v>202503</v>
      </c>
      <c r="C307" s="8" t="n">
        <v>2025</v>
      </c>
      <c r="D307" s="9" t="n">
        <v>6543803.917230729</v>
      </c>
      <c r="E307" s="10" t="n">
        <v>0.2013882100034744</v>
      </c>
      <c r="F307" s="22">
        <f>D307*(1-E307)</f>
        <v/>
      </c>
      <c r="G307" s="10" t="n">
        <v>0.7234599999999999</v>
      </c>
      <c r="H307" s="10" t="n">
        <v>0.03905966678383682</v>
      </c>
      <c r="I307" s="10" t="n">
        <v>0.1667394023018957</v>
      </c>
      <c r="J307" s="10" t="n">
        <v>0.2331510995044869</v>
      </c>
      <c r="K307" s="9" t="n">
        <v>28494206.34982698</v>
      </c>
      <c r="L307" s="18" t="n">
        <v>39386014.9141998</v>
      </c>
      <c r="M307" s="18" t="n">
        <v>39882135.66550226</v>
      </c>
      <c r="N307" s="23">
        <f>IF(L307=0,"",M307/L307)</f>
        <v/>
      </c>
      <c r="O307" s="9" t="n">
        <v>34358287.49095815</v>
      </c>
      <c r="P307" s="22">
        <f>M307*G307*(1+H307+I307)</f>
        <v/>
      </c>
      <c r="Q307" s="9" t="n">
        <v>27714831.95098825</v>
      </c>
      <c r="R307" s="22">
        <f>P307-M307*G307*J307</f>
        <v/>
      </c>
      <c r="S307" s="22">
        <f>IF(A307=A306,O307-O306,"")</f>
        <v/>
      </c>
      <c r="T307" s="22">
        <f>IF(A307=A306,P307-P306,"")</f>
        <v/>
      </c>
      <c r="U307" s="22">
        <f>IF(A307=A306,Q307-Q306,"")</f>
        <v/>
      </c>
      <c r="V307" s="22">
        <f>IF(A307=A306,R307-R306,"")</f>
        <v/>
      </c>
      <c r="W307" s="22">
        <f>IF(S307="","",D307-S307)</f>
        <v/>
      </c>
      <c r="X307" s="22">
        <f>IF(T307="","",D307-T307)</f>
        <v/>
      </c>
      <c r="Y307" s="22">
        <f>IF(U307="","",F307-U307)</f>
        <v/>
      </c>
      <c r="Z307" s="22">
        <f>IF(V307="","",F307-V307)</f>
        <v/>
      </c>
      <c r="AA307" s="9" t="n">
        <v>39882135.66550226</v>
      </c>
      <c r="AB307" s="9" t="n">
        <v>34104445.63271499</v>
      </c>
      <c r="AC307" s="9" t="n">
        <v>9368934.661182776</v>
      </c>
      <c r="AD307" s="9" t="n">
        <v>3790512.871074649</v>
      </c>
      <c r="AE307" s="9" t="n">
        <v>2491243.49169887</v>
      </c>
      <c r="AF307" s="9" t="n">
        <v>39637909.58345084</v>
      </c>
      <c r="AG307" s="9" t="n">
        <v>6789104.961110596</v>
      </c>
      <c r="AH307" s="9" t="n">
        <v>6667087.630449004</v>
      </c>
      <c r="AI307" s="9" t="n">
        <v>7864834.042223076</v>
      </c>
      <c r="AJ307" s="9" t="n">
        <v>6914010.649685524</v>
      </c>
      <c r="AK307" s="9" t="n">
        <v>6922670.711137133</v>
      </c>
      <c r="AL307" s="9" t="n">
        <v>6787499.915813718</v>
      </c>
      <c r="AM307" s="9" t="n">
        <v>5278261.698580381</v>
      </c>
      <c r="AN307" s="9" t="n">
        <v>5201284.934997376</v>
      </c>
      <c r="AO307" s="9" t="n">
        <v>6252111.952918045</v>
      </c>
      <c r="AP307" s="9" t="n">
        <v>5509306.805770434</v>
      </c>
      <c r="AQ307" s="9" t="n">
        <v>5520965.444565024</v>
      </c>
      <c r="AR307" s="9" t="n">
        <v>5277858.8396024</v>
      </c>
    </row>
    <row r="308">
      <c r="A308" s="4" t="inlineStr">
        <is>
          <t>Diversos</t>
        </is>
      </c>
      <c r="B308" s="5" t="n">
        <v>202504</v>
      </c>
      <c r="C308" s="5" t="n">
        <v>2025</v>
      </c>
      <c r="D308" s="6" t="n">
        <v>9670084.531453282</v>
      </c>
      <c r="E308" s="11" t="n">
        <v>0.2013882100034744</v>
      </c>
      <c r="F308" s="22">
        <f>D308*(1-E308)</f>
        <v/>
      </c>
      <c r="G308" s="11" t="n">
        <v>0.7271300000000001</v>
      </c>
      <c r="H308" s="11" t="n">
        <v>0.03886237959171802</v>
      </c>
      <c r="I308" s="11" t="n">
        <v>0.1671511341392572</v>
      </c>
      <c r="J308" s="11" t="n">
        <v>0.2152259468162767</v>
      </c>
      <c r="K308" s="6" t="n">
        <v>30593075.70716237</v>
      </c>
      <c r="L308" s="18" t="n">
        <v>42073736.06805161</v>
      </c>
      <c r="M308" s="18" t="n">
        <v>42897405.58871111</v>
      </c>
      <c r="N308" s="23">
        <f>IF(L308=0,"",M308/L308)</f>
        <v/>
      </c>
      <c r="O308" s="6" t="n">
        <v>36895662.72943264</v>
      </c>
      <c r="P308" s="22">
        <f>M308*G308*(1+H308+I308)</f>
        <v/>
      </c>
      <c r="Q308" s="6" t="n">
        <v>30311239.04433658</v>
      </c>
      <c r="R308" s="22">
        <f>P308-M308*G308*J308</f>
        <v/>
      </c>
      <c r="S308" s="22">
        <f>IF(A308=A307,O308-O307,"")</f>
        <v/>
      </c>
      <c r="T308" s="22">
        <f>IF(A308=A307,P308-P307,"")</f>
        <v/>
      </c>
      <c r="U308" s="22">
        <f>IF(A308=A307,Q308-Q307,"")</f>
        <v/>
      </c>
      <c r="V308" s="22">
        <f>IF(A308=A307,R308-R307,"")</f>
        <v/>
      </c>
      <c r="W308" s="22">
        <f>IF(S308="","",D308-S308)</f>
        <v/>
      </c>
      <c r="X308" s="22">
        <f>IF(T308="","",D308-T308)</f>
        <v/>
      </c>
      <c r="Y308" s="22">
        <f>IF(U308="","",F308-U308)</f>
        <v/>
      </c>
      <c r="Z308" s="22">
        <f>IF(V308="","",F308-V308)</f>
        <v/>
      </c>
      <c r="AA308" s="6" t="n">
        <v>42897405.58871111</v>
      </c>
      <c r="AB308" s="6" t="n">
        <v>36972947.27397733</v>
      </c>
      <c r="AC308" s="6" t="n">
        <v>8565553.331992928</v>
      </c>
      <c r="AD308" s="6" t="n">
        <v>4667028.379423364</v>
      </c>
      <c r="AE308" s="6" t="n">
        <v>3345864.494763772</v>
      </c>
      <c r="AF308" s="6" t="n">
        <v>42694239.66816516</v>
      </c>
      <c r="AG308" s="6" t="n">
        <v>6843199.572991535</v>
      </c>
      <c r="AH308" s="6" t="n">
        <v>6998373.69920272</v>
      </c>
      <c r="AI308" s="6" t="n">
        <v>10331671.52747922</v>
      </c>
      <c r="AJ308" s="6" t="n">
        <v>8884077.866386129</v>
      </c>
      <c r="AK308" s="6" t="n">
        <v>8909230.012495168</v>
      </c>
      <c r="AL308" s="6" t="n">
        <v>6808311.594179623</v>
      </c>
      <c r="AM308" s="6" t="n">
        <v>4881945.299600677</v>
      </c>
      <c r="AN308" s="6" t="n">
        <v>5084512.758059342</v>
      </c>
      <c r="AO308" s="6" t="n">
        <v>8144406.305415748</v>
      </c>
      <c r="AP308" s="6" t="n">
        <v>7027647.292298442</v>
      </c>
      <c r="AQ308" s="6" t="n">
        <v>7065195.838278906</v>
      </c>
      <c r="AR308" s="6" t="n">
        <v>4856457.369557985</v>
      </c>
    </row>
    <row r="309">
      <c r="A309" t="inlineStr">
        <is>
          <t>Diversos</t>
        </is>
      </c>
      <c r="B309" s="8" t="n">
        <v>202505</v>
      </c>
      <c r="C309" s="8" t="n">
        <v>2025</v>
      </c>
      <c r="D309" s="9" t="n">
        <v>5518320.660127198</v>
      </c>
      <c r="E309" s="10" t="n">
        <v>0.2013882100034744</v>
      </c>
      <c r="F309" s="22">
        <f>D309*(1-E309)</f>
        <v/>
      </c>
      <c r="G309" s="10" t="n">
        <v>0.6645</v>
      </c>
      <c r="H309" s="10" t="n">
        <v>0.04252502796740171</v>
      </c>
      <c r="I309" s="10" t="n">
        <v>0.1481596496985641</v>
      </c>
      <c r="J309" s="10" t="n">
        <v>0.2037153992537095</v>
      </c>
      <c r="K309" s="9" t="n">
        <v>26709133.05938945</v>
      </c>
      <c r="L309" s="18" t="n">
        <v>40194331.16537163</v>
      </c>
      <c r="M309" s="18" t="n">
        <v>41742566.29390004</v>
      </c>
      <c r="N309" s="23">
        <f>IF(L309=0,"",M309/L309)</f>
        <v/>
      </c>
      <c r="O309" s="9" t="n">
        <v>31802155.48755652</v>
      </c>
      <c r="P309" s="22">
        <f>M309*G309*(1+H309+I309)</f>
        <v/>
      </c>
      <c r="Q309" s="9" t="n">
        <v>26361093.78264254</v>
      </c>
      <c r="R309" s="22">
        <f>P309-M309*G309*J309</f>
        <v/>
      </c>
      <c r="S309" s="22">
        <f>IF(A309=A308,O309-O308,"")</f>
        <v/>
      </c>
      <c r="T309" s="22">
        <f>IF(A309=A308,P309-P308,"")</f>
        <v/>
      </c>
      <c r="U309" s="22">
        <f>IF(A309=A308,Q309-Q308,"")</f>
        <v/>
      </c>
      <c r="V309" s="22">
        <f>IF(A309=A308,R309-R308,"")</f>
        <v/>
      </c>
      <c r="W309" s="22">
        <f>IF(S309="","",D309-S309)</f>
        <v/>
      </c>
      <c r="X309" s="22">
        <f>IF(T309="","",D309-T309)</f>
        <v/>
      </c>
      <c r="Y309" s="22">
        <f>IF(U309="","",F309-U309)</f>
        <v/>
      </c>
      <c r="Z309" s="22">
        <f>IF(V309="","",F309-V309)</f>
        <v/>
      </c>
      <c r="AA309" s="9" t="n">
        <v>41742566.29390004</v>
      </c>
      <c r="AB309" s="9" t="n">
        <v>35709050.6174617</v>
      </c>
      <c r="AC309" s="9" t="n">
        <v>8176330.256089724</v>
      </c>
      <c r="AD309" s="9" t="n">
        <v>4934357.223897713</v>
      </c>
      <c r="AE309" s="9" t="n">
        <v>3623841.734529308</v>
      </c>
      <c r="AF309" s="9" t="n">
        <v>41556097.52073836</v>
      </c>
      <c r="AG309" s="9" t="n">
        <v>10109148.19977907</v>
      </c>
      <c r="AH309" s="9" t="n">
        <v>9687598.974264158</v>
      </c>
      <c r="AI309" s="9" t="n">
        <v>6560505.402414381</v>
      </c>
      <c r="AJ309" s="9" t="n">
        <v>5706858.729428177</v>
      </c>
      <c r="AK309" s="9" t="n">
        <v>5585185.244251743</v>
      </c>
      <c r="AL309" s="9" t="n">
        <v>10078522.14434329</v>
      </c>
      <c r="AM309" s="9" t="n">
        <v>7935142.35040946</v>
      </c>
      <c r="AN309" s="9" t="n">
        <v>7624004.239191522</v>
      </c>
      <c r="AO309" s="9" t="n">
        <v>5215515.895920654</v>
      </c>
      <c r="AP309" s="9" t="n">
        <v>4533115.361193127</v>
      </c>
      <c r="AQ309" s="9" t="n">
        <v>4440797.363438739</v>
      </c>
      <c r="AR309" s="9" t="n">
        <v>7911069.131850709</v>
      </c>
    </row>
    <row r="310">
      <c r="A310" s="4" t="inlineStr">
        <is>
          <t>Diversos</t>
        </is>
      </c>
      <c r="B310" s="5" t="n">
        <v>202506</v>
      </c>
      <c r="C310" s="5" t="n">
        <v>2025</v>
      </c>
      <c r="D310" s="6" t="n">
        <v>5401465.434258018</v>
      </c>
      <c r="E310" s="11" t="n">
        <v>0.2013882100034744</v>
      </c>
      <c r="F310" s="22">
        <f>D310*(1-E310)</f>
        <v/>
      </c>
      <c r="G310" s="11" t="n">
        <v>0.6645</v>
      </c>
      <c r="H310" s="11" t="n">
        <v>0.04421474999793083</v>
      </c>
      <c r="I310" s="11" t="n">
        <v>0.1584807347165543</v>
      </c>
      <c r="J310" s="11" t="n">
        <v>0.199062894397918</v>
      </c>
      <c r="K310" s="6" t="n">
        <v>24819389.05485627</v>
      </c>
      <c r="L310" s="18" t="n">
        <v>37350472.61829387</v>
      </c>
      <c r="M310" s="18" t="n">
        <v>40311645.42885125</v>
      </c>
      <c r="N310" s="23">
        <f>IF(L310=0,"",M310/L310)</f>
        <v/>
      </c>
      <c r="O310" s="6" t="n">
        <v>29850167.14964776</v>
      </c>
      <c r="P310" s="22">
        <f>M310*G310*(1+H310+I310)</f>
        <v/>
      </c>
      <c r="Q310" s="6" t="n">
        <v>24909547.72720006</v>
      </c>
      <c r="R310" s="22">
        <f>P310-M310*G310*J310</f>
        <v/>
      </c>
      <c r="S310" s="22">
        <f>IF(A310=A309,O310-O309,"")</f>
        <v/>
      </c>
      <c r="T310" s="22">
        <f>IF(A310=A309,P310-P309,"")</f>
        <v/>
      </c>
      <c r="U310" s="22">
        <f>IF(A310=A309,Q310-Q309,"")</f>
        <v/>
      </c>
      <c r="V310" s="22">
        <f>IF(A310=A309,R310-R309,"")</f>
        <v/>
      </c>
      <c r="W310" s="22">
        <f>IF(S310="","",D310-S310)</f>
        <v/>
      </c>
      <c r="X310" s="22">
        <f>IF(T310="","",D310-T310)</f>
        <v/>
      </c>
      <c r="Y310" s="22">
        <f>IF(U310="","",F310-U310)</f>
        <v/>
      </c>
      <c r="Z310" s="22">
        <f>IF(V310="","",F310-V310)</f>
        <v/>
      </c>
      <c r="AA310" s="6" t="n">
        <v>40311645.42885125</v>
      </c>
      <c r="AB310" s="6" t="n">
        <v>34262465.50041018</v>
      </c>
      <c r="AC310" s="6" t="n">
        <v>7229844.634837952</v>
      </c>
      <c r="AD310" s="6" t="n">
        <v>4943768.923113666</v>
      </c>
      <c r="AE310" s="6" t="n">
        <v>3638613.587833846</v>
      </c>
      <c r="AF310" s="6" t="n">
        <v>40179227.78839855</v>
      </c>
      <c r="AG310" s="6" t="n">
        <v>6211889.736532446</v>
      </c>
      <c r="AH310" s="6" t="n">
        <v>6272563.05048997</v>
      </c>
      <c r="AI310" s="6" t="n">
        <v>6092631.591969664</v>
      </c>
      <c r="AJ310" s="6" t="n">
        <v>5354561.688019333</v>
      </c>
      <c r="AK310" s="6" t="n">
        <v>5360737.362007082</v>
      </c>
      <c r="AL310" s="6" t="n">
        <v>6170180.790728327</v>
      </c>
      <c r="AM310" s="6" t="n">
        <v>4805769.06365364</v>
      </c>
      <c r="AN310" s="6" t="n">
        <v>4883023.506326869</v>
      </c>
      <c r="AO310" s="6" t="n">
        <v>4854363.724038766</v>
      </c>
      <c r="AP310" s="6" t="n">
        <v>4252760.18004882</v>
      </c>
      <c r="AQ310" s="6" t="n">
        <v>4263696.456607173</v>
      </c>
      <c r="AR310" s="6" t="n">
        <v>4771786.340282384</v>
      </c>
    </row>
    <row r="311">
      <c r="A311" t="inlineStr">
        <is>
          <t>Diversos</t>
        </is>
      </c>
      <c r="B311" s="8" t="n">
        <v>202507</v>
      </c>
      <c r="C311" s="8" t="n">
        <v>2025</v>
      </c>
      <c r="D311" s="9" t="n">
        <v>7012301.928595835</v>
      </c>
      <c r="E311" s="10" t="n">
        <v>0.2013882100034744</v>
      </c>
      <c r="F311" s="22">
        <f>D311*(1-E311)</f>
        <v/>
      </c>
      <c r="G311" s="10" t="n">
        <v>0.629165</v>
      </c>
      <c r="H311" s="10" t="n">
        <v>0.04491333877977643</v>
      </c>
      <c r="I311" s="10" t="n">
        <v>0.1365174384409656</v>
      </c>
      <c r="J311" s="10" t="n">
        <v>0.1940829285068484</v>
      </c>
      <c r="K311" s="9" t="n">
        <v>24306265.2761289</v>
      </c>
      <c r="L311" s="18" t="n">
        <v>38632576.94901798</v>
      </c>
      <c r="M311" s="18" t="n">
        <v>40545579.61787785</v>
      </c>
      <c r="N311" s="23">
        <f>IF(L311=0,"",M311/L311)</f>
        <v/>
      </c>
      <c r="O311" s="9" t="n">
        <v>28716169.87651049</v>
      </c>
      <c r="P311" s="22">
        <f>M311*G311*(1+H311+I311)</f>
        <v/>
      </c>
      <c r="Q311" s="9" t="n">
        <v>23998738.73065508</v>
      </c>
      <c r="R311" s="22">
        <f>P311-M311*G311*J311</f>
        <v/>
      </c>
      <c r="S311" s="22">
        <f>IF(A311=A310,O311-O310,"")</f>
        <v/>
      </c>
      <c r="T311" s="22">
        <f>IF(A311=A310,P311-P310,"")</f>
        <v/>
      </c>
      <c r="U311" s="22">
        <f>IF(A311=A310,Q311-Q310,"")</f>
        <v/>
      </c>
      <c r="V311" s="22">
        <f>IF(A311=A310,R311-R310,"")</f>
        <v/>
      </c>
      <c r="W311" s="22">
        <f>IF(S311="","",D311-S311)</f>
        <v/>
      </c>
      <c r="X311" s="22">
        <f>IF(T311="","",D311-T311)</f>
        <v/>
      </c>
      <c r="Y311" s="22">
        <f>IF(U311="","",F311-U311)</f>
        <v/>
      </c>
      <c r="Z311" s="22">
        <f>IF(V311="","",F311-V311)</f>
        <v/>
      </c>
      <c r="AA311" s="9" t="n">
        <v>40545579.61787785</v>
      </c>
      <c r="AB311" s="9" t="n">
        <v>34604128.11244389</v>
      </c>
      <c r="AC311" s="9" t="n">
        <v>7114514.048319608</v>
      </c>
      <c r="AD311" s="9" t="n">
        <v>5204249.732516082</v>
      </c>
      <c r="AE311" s="9" t="n">
        <v>3916997.19280085</v>
      </c>
      <c r="AF311" s="9" t="n">
        <v>40421939.13989151</v>
      </c>
      <c r="AG311" s="9" t="n">
        <v>9090878.926502505</v>
      </c>
      <c r="AH311" s="9" t="n">
        <v>8672797.267010828</v>
      </c>
      <c r="AI311" s="9" t="n">
        <v>7502005.511241521</v>
      </c>
      <c r="AJ311" s="9" t="n">
        <v>7094921.954360868</v>
      </c>
      <c r="AK311" s="9" t="n">
        <v>7008687.347894106</v>
      </c>
      <c r="AL311" s="9" t="n">
        <v>9076955.729108738</v>
      </c>
      <c r="AM311" s="9" t="n">
        <v>7297396.903217006</v>
      </c>
      <c r="AN311" s="9" t="n">
        <v>6953972.644770714</v>
      </c>
      <c r="AO311" s="9" t="n">
        <v>6002220.930068836</v>
      </c>
      <c r="AP311" s="9" t="n">
        <v>5664270.550311001</v>
      </c>
      <c r="AQ311" s="9" t="n">
        <v>5593491.71228143</v>
      </c>
      <c r="AR311" s="9" t="n">
        <v>7285891.791162445</v>
      </c>
    </row>
    <row r="312">
      <c r="A312" s="4" t="inlineStr">
        <is>
          <t>Diversos</t>
        </is>
      </c>
      <c r="B312" s="5" t="n">
        <v>202508</v>
      </c>
      <c r="C312" s="5" t="n">
        <v>2025</v>
      </c>
      <c r="D312" s="6" t="n">
        <v>3928491.479125944</v>
      </c>
      <c r="E312" s="11" t="n">
        <v>0.2013882100034744</v>
      </c>
      <c r="F312" s="22">
        <f>D312*(1-E312)</f>
        <v/>
      </c>
      <c r="G312" s="11" t="n">
        <v>0.605356</v>
      </c>
      <c r="H312" s="11" t="n">
        <v>0.04667992104833316</v>
      </c>
      <c r="I312" s="11" t="n">
        <v>0.1121011732072505</v>
      </c>
      <c r="J312" s="11" t="n">
        <v>0.2020698160224497</v>
      </c>
      <c r="K312" s="6" t="n">
        <v>23342301.5261367</v>
      </c>
      <c r="L312" s="18" t="n">
        <v>38559626.94040646</v>
      </c>
      <c r="M312" s="18" t="n">
        <v>37873485.51383765</v>
      </c>
      <c r="N312" s="23">
        <f>IF(L312=0,"",M312/L312)</f>
        <v/>
      </c>
      <c r="O312" s="6" t="n">
        <v>27048617.70490046</v>
      </c>
      <c r="P312" s="22">
        <f>M312*G312*(1+H312+I312)</f>
        <v/>
      </c>
      <c r="Q312" s="6" t="n">
        <v>22331843.12997347</v>
      </c>
      <c r="R312" s="22">
        <f>P312-M312*G312*J312</f>
        <v/>
      </c>
      <c r="S312" s="22">
        <f>IF(A312=A311,O312-O311,"")</f>
        <v/>
      </c>
      <c r="T312" s="22">
        <f>IF(A312=A311,P312-P311,"")</f>
        <v/>
      </c>
      <c r="U312" s="22">
        <f>IF(A312=A311,Q312-Q311,"")</f>
        <v/>
      </c>
      <c r="V312" s="22">
        <f>IF(A312=A311,R312-R311,"")</f>
        <v/>
      </c>
      <c r="W312" s="22">
        <f>IF(S312="","",D312-S312)</f>
        <v/>
      </c>
      <c r="X312" s="22">
        <f>IF(T312="","",D312-T312)</f>
        <v/>
      </c>
      <c r="Y312" s="22">
        <f>IF(U312="","",F312-U312)</f>
        <v/>
      </c>
      <c r="Z312" s="22">
        <f>IF(V312="","",F312-V312)</f>
        <v/>
      </c>
      <c r="AA312" s="6" t="n">
        <v>37873485.51383765</v>
      </c>
      <c r="AB312" s="6" t="n">
        <v>32114799.20758323</v>
      </c>
      <c r="AC312" s="6" t="n">
        <v>5920346.557005521</v>
      </c>
      <c r="AD312" s="6" t="n">
        <v>4932844.981710959</v>
      </c>
      <c r="AE312" s="6" t="n">
        <v>3661423.274539083</v>
      </c>
      <c r="AF312" s="6" t="n">
        <v>37873012.27926517</v>
      </c>
      <c r="AG312" s="6" t="n">
        <v>7499318.146226213</v>
      </c>
      <c r="AH312" s="6" t="n">
        <v>7122523.728600116</v>
      </c>
      <c r="AI312" s="6" t="n">
        <v>5063840.118950018</v>
      </c>
      <c r="AJ312" s="6" t="n">
        <v>4336619.954244515</v>
      </c>
      <c r="AK312" s="6" t="n">
        <v>4271656.621955102</v>
      </c>
      <c r="AL312" s="6" t="n">
        <v>7407746.299583648</v>
      </c>
      <c r="AM312" s="6" t="n">
        <v>6389980.912822418</v>
      </c>
      <c r="AN312" s="6" t="n">
        <v>6034271.687283024</v>
      </c>
      <c r="AO312" s="6" t="n">
        <v>4128135.131794343</v>
      </c>
      <c r="AP312" s="6" t="n">
        <v>3513382.381404115</v>
      </c>
      <c r="AQ312" s="6" t="n">
        <v>3450080.083696421</v>
      </c>
      <c r="AR312" s="6" t="n">
        <v>6313448.939879607</v>
      </c>
    </row>
    <row r="313">
      <c r="A313" t="inlineStr">
        <is>
          <t>Diversos</t>
        </is>
      </c>
      <c r="B313" s="8" t="n">
        <v>202509</v>
      </c>
      <c r="C313" s="8" t="n">
        <v>2025</v>
      </c>
      <c r="D313" s="9" t="n">
        <v>5312769.301480533</v>
      </c>
      <c r="E313" s="10" t="n">
        <v>0.2013882100034744</v>
      </c>
      <c r="F313" s="22">
        <f>D313*(1-E313)</f>
        <v/>
      </c>
      <c r="G313" s="10" t="n">
        <v>0.556256818</v>
      </c>
      <c r="H313" s="10" t="n">
        <v>0.05080031381609955</v>
      </c>
      <c r="I313" s="10" t="n">
        <v>0.1203393309229545</v>
      </c>
      <c r="J313" s="10" t="n">
        <v>0.2045420260031492</v>
      </c>
      <c r="K313" s="9" t="n">
        <v>21114284.10347972</v>
      </c>
      <c r="L313" s="18" t="n">
        <v>37957798.30509821</v>
      </c>
      <c r="M313" s="18" t="n">
        <v>36613568.28782679</v>
      </c>
      <c r="N313" s="23">
        <f>IF(L313=0,"",M313/L313)</f>
        <v/>
      </c>
      <c r="O313" s="9" t="n">
        <v>24727775.1838687</v>
      </c>
      <c r="P313" s="22">
        <f>M313*G313*(1+H313+I313)</f>
        <v/>
      </c>
      <c r="Q313" s="9" t="n">
        <v>20409016.73573687</v>
      </c>
      <c r="R313" s="22">
        <f>P313-M313*G313*J313</f>
        <v/>
      </c>
      <c r="S313" s="22">
        <f>IF(A313=A312,O313-O312,"")</f>
        <v/>
      </c>
      <c r="T313" s="22">
        <f>IF(A313=A312,P313-P312,"")</f>
        <v/>
      </c>
      <c r="U313" s="22">
        <f>IF(A313=A312,Q313-Q312,"")</f>
        <v/>
      </c>
      <c r="V313" s="22">
        <f>IF(A313=A312,R313-R312,"")</f>
        <v/>
      </c>
      <c r="W313" s="22">
        <f>IF(S313="","",D313-S313)</f>
        <v/>
      </c>
      <c r="X313" s="22">
        <f>IF(T313="","",D313-T313)</f>
        <v/>
      </c>
      <c r="Y313" s="22">
        <f>IF(U313="","",F313-U313)</f>
        <v/>
      </c>
      <c r="Z313" s="22">
        <f>IF(V313="","",F313-V313)</f>
        <v/>
      </c>
      <c r="AA313" s="9" t="n">
        <v>36613568.28782679</v>
      </c>
      <c r="AB313" s="9" t="n">
        <v>30760444.00686658</v>
      </c>
      <c r="AC313" s="9" t="n">
        <v>6666560.502949354</v>
      </c>
      <c r="AD313" s="9" t="n">
        <v>4694014.439778132</v>
      </c>
      <c r="AE313" s="9" t="n">
        <v>3421082.825878683</v>
      </c>
      <c r="AF313" s="9" t="n">
        <v>36689171.66850851</v>
      </c>
      <c r="AG313" s="9" t="n">
        <v>8028005.280649786</v>
      </c>
      <c r="AH313" s="9" t="n">
        <v>7801473.934744482</v>
      </c>
      <c r="AI313" s="9" t="n">
        <v>5122784.67015149</v>
      </c>
      <c r="AJ313" s="9" t="n">
        <v>5715100.751781173</v>
      </c>
      <c r="AK313" s="9" t="n">
        <v>5652487.014062205</v>
      </c>
      <c r="AL313" s="9" t="n">
        <v>7978421.162462798</v>
      </c>
      <c r="AM313" s="9" t="n">
        <v>6491048.074562442</v>
      </c>
      <c r="AN313" s="9" t="n">
        <v>6302987.114482997</v>
      </c>
      <c r="AO313" s="9" t="n">
        <v>4087161.289947723</v>
      </c>
      <c r="AP313" s="9" t="n">
        <v>4575840.545748075</v>
      </c>
      <c r="AQ313" s="9" t="n">
        <v>4523920.938674557</v>
      </c>
      <c r="AR313" s="9" t="n">
        <v>6450123.838029034</v>
      </c>
    </row>
    <row r="314">
      <c r="A314" s="4" t="inlineStr">
        <is>
          <t>Diversos</t>
        </is>
      </c>
      <c r="B314" s="5" t="n">
        <v>202510</v>
      </c>
      <c r="C314" s="5" t="n">
        <v>2025</v>
      </c>
      <c r="D314" s="6" t="n">
        <v>4492821.038858716</v>
      </c>
      <c r="E314" s="11" t="n">
        <v>0.2013882100034744</v>
      </c>
      <c r="F314" s="22">
        <f>D314*(1-E314)</f>
        <v/>
      </c>
      <c r="G314" s="11" t="n">
        <v>0.5949989999999999</v>
      </c>
      <c r="H314" s="11" t="n">
        <v>0.0474925892151708</v>
      </c>
      <c r="I314" s="11" t="n">
        <v>0.09873022380986077</v>
      </c>
      <c r="J314" s="11" t="n">
        <v>0.2098854282577877</v>
      </c>
      <c r="K314" s="6" t="n">
        <v>21458259.98783612</v>
      </c>
      <c r="L314" s="18" t="n">
        <v>36064363.11293989</v>
      </c>
      <c r="M314" s="18" t="n">
        <v>34473584.47987833</v>
      </c>
      <c r="N314" s="23">
        <f>IF(L314=0,"",M314/L314)</f>
        <v/>
      </c>
      <c r="O314" s="6" t="n">
        <v>24595947.12588</v>
      </c>
      <c r="P314" s="22">
        <f>M314*G314*(1+H314+I314)</f>
        <v/>
      </c>
      <c r="Q314" s="6" t="n">
        <v>20092171.03866607</v>
      </c>
      <c r="R314" s="22">
        <f>P314-M314*G314*J314</f>
        <v/>
      </c>
      <c r="S314" s="22">
        <f>IF(A314=A313,O314-O313,"")</f>
        <v/>
      </c>
      <c r="T314" s="22">
        <f>IF(A314=A313,P314-P313,"")</f>
        <v/>
      </c>
      <c r="U314" s="22">
        <f>IF(A314=A313,Q314-Q313,"")</f>
        <v/>
      </c>
      <c r="V314" s="22">
        <f>IF(A314=A313,R314-R313,"")</f>
        <v/>
      </c>
      <c r="W314" s="22">
        <f>IF(S314="","",D314-S314)</f>
        <v/>
      </c>
      <c r="X314" s="22">
        <f>IF(T314="","",D314-T314)</f>
        <v/>
      </c>
      <c r="Y314" s="22">
        <f>IF(U314="","",F314-U314)</f>
        <v/>
      </c>
      <c r="Z314" s="22">
        <f>IF(V314="","",F314-V314)</f>
        <v/>
      </c>
      <c r="AA314" s="6" t="n">
        <v>34473584.47987833</v>
      </c>
      <c r="AB314" s="6" t="n">
        <v>28853687.59221354</v>
      </c>
      <c r="AC314" s="6" t="n">
        <v>6435054.191858314</v>
      </c>
      <c r="AD314" s="6" t="n">
        <v>4121849.141088824</v>
      </c>
      <c r="AE314" s="6" t="n">
        <v>2864799.226030101</v>
      </c>
      <c r="AF314" s="6" t="n">
        <v>34706312.63214102</v>
      </c>
      <c r="AG314" s="6" t="n">
        <v>4833857.819690061</v>
      </c>
      <c r="AH314" s="6" t="n">
        <v>4853591.881551159</v>
      </c>
      <c r="AI314" s="6" t="n">
        <v>4447065.147749806</v>
      </c>
      <c r="AJ314" s="6" t="n">
        <v>4739650.45838487</v>
      </c>
      <c r="AK314" s="6" t="n">
        <v>4767703.378603434</v>
      </c>
      <c r="AL314" s="6" t="n">
        <v>4724389.043544733</v>
      </c>
      <c r="AM314" s="6" t="n">
        <v>4068358.923066981</v>
      </c>
      <c r="AN314" s="6" t="n">
        <v>4052227.326595193</v>
      </c>
      <c r="AO314" s="6" t="n">
        <v>3587376.721544088</v>
      </c>
      <c r="AP314" s="6" t="n">
        <v>3815517.380093206</v>
      </c>
      <c r="AQ314" s="6" t="n">
        <v>3831419.352047227</v>
      </c>
      <c r="AR314" s="6" t="n">
        <v>3979351.6219544</v>
      </c>
    </row>
    <row r="315">
      <c r="A315" t="inlineStr">
        <is>
          <t>Diversos</t>
        </is>
      </c>
      <c r="B315" s="8" t="n">
        <v>202511</v>
      </c>
      <c r="C315" s="8" t="n">
        <v>2025</v>
      </c>
      <c r="D315" s="9" t="n">
        <v>4199895.528716599</v>
      </c>
      <c r="E315" s="10" t="n">
        <v>0.2013882100034744</v>
      </c>
      <c r="F315" s="22">
        <f>D315*(1-E315)</f>
        <v/>
      </c>
      <c r="G315" s="10" t="n">
        <v>0.6565778</v>
      </c>
      <c r="H315" s="10" t="n">
        <v>0.04303846118146958</v>
      </c>
      <c r="I315" s="10" t="n">
        <v>0.1330620194454253</v>
      </c>
      <c r="J315" s="10" t="n">
        <v>0.1815944307529307</v>
      </c>
      <c r="K315" s="9" t="n">
        <v>23221346.24247758</v>
      </c>
      <c r="L315" s="18" t="n">
        <v>35367242.45394465</v>
      </c>
      <c r="M315" s="18" t="n">
        <v>32341044.32094627</v>
      </c>
      <c r="N315" s="23">
        <f>IF(L315=0,"",M315/L315)</f>
        <v/>
      </c>
      <c r="O315" s="9" t="n">
        <v>27310636.47658142</v>
      </c>
      <c r="P315" s="22">
        <f>M315*G315*(1+H315+I315)</f>
        <v/>
      </c>
      <c r="Q315" s="9" t="n">
        <v>23093769.324362</v>
      </c>
      <c r="R315" s="22">
        <f>P315-M315*G315*J315</f>
        <v/>
      </c>
      <c r="S315" s="22">
        <f>IF(A315=A314,O315-O314,"")</f>
        <v/>
      </c>
      <c r="T315" s="22">
        <f>IF(A315=A314,P315-P314,"")</f>
        <v/>
      </c>
      <c r="U315" s="22">
        <f>IF(A315=A314,Q315-Q314,"")</f>
        <v/>
      </c>
      <c r="V315" s="22">
        <f>IF(A315=A314,R315-R314,"")</f>
        <v/>
      </c>
      <c r="W315" s="22">
        <f>IF(S315="","",D315-S315)</f>
        <v/>
      </c>
      <c r="X315" s="22">
        <f>IF(T315="","",D315-T315)</f>
        <v/>
      </c>
      <c r="Y315" s="22">
        <f>IF(U315="","",F315-U315)</f>
        <v/>
      </c>
      <c r="Z315" s="22">
        <f>IF(V315="","",F315-V315)</f>
        <v/>
      </c>
      <c r="AA315" s="9" t="n">
        <v>32341044.32094627</v>
      </c>
      <c r="AB315" s="9" t="n">
        <v>27099674.31510283</v>
      </c>
      <c r="AC315" s="9" t="n">
        <v>7068106.075328384</v>
      </c>
      <c r="AD315" s="9" t="n">
        <v>3778349.140496996</v>
      </c>
      <c r="AE315" s="9" t="n">
        <v>2548656.952279075</v>
      </c>
      <c r="AF315" s="9" t="n">
        <v>32832537.91339611</v>
      </c>
      <c r="AG315" s="9" t="n">
        <v>2737127.514546175</v>
      </c>
      <c r="AH315" s="9" t="n">
        <v>2951743.417745222</v>
      </c>
      <c r="AI315" s="9" t="n">
        <v>3130609.79951322</v>
      </c>
      <c r="AJ315" s="9" t="n">
        <v>4093355.781076045</v>
      </c>
      <c r="AK315" s="9" t="n">
        <v>4185616.05518699</v>
      </c>
      <c r="AL315" s="9" t="n">
        <v>2516316.373922491</v>
      </c>
      <c r="AM315" s="9" t="n">
        <v>1442251.90771943</v>
      </c>
      <c r="AN315" s="9" t="n">
        <v>1733756.522666298</v>
      </c>
      <c r="AO315" s="9" t="n">
        <v>2323916.814570756</v>
      </c>
      <c r="AP315" s="9" t="n">
        <v>3183299.002630692</v>
      </c>
      <c r="AQ315" s="9" t="n">
        <v>3285924.434773312</v>
      </c>
      <c r="AR315" s="9" t="n">
        <v>1250978.507967949</v>
      </c>
    </row>
    <row r="316">
      <c r="A316" s="4" t="inlineStr">
        <is>
          <t>Diversos</t>
        </is>
      </c>
      <c r="B316" s="5" t="n">
        <v>202512</v>
      </c>
      <c r="C316" s="5" t="n">
        <v>2025</v>
      </c>
      <c r="D316" s="6" t="n">
        <v>6535304.502129465</v>
      </c>
      <c r="E316" s="11" t="n">
        <v>0.2013882100034744</v>
      </c>
      <c r="F316" s="22">
        <f>D316*(1-E316)</f>
        <v/>
      </c>
      <c r="G316" s="11" t="n">
        <v>0.693127</v>
      </c>
      <c r="H316" s="11" t="n">
        <v>0.04076904918850485</v>
      </c>
      <c r="I316" s="11" t="n">
        <v>0.180096338813123</v>
      </c>
      <c r="J316" s="11" t="n">
        <v>0.230590292121115</v>
      </c>
      <c r="K316" s="6" t="n">
        <v>24704626.70924034</v>
      </c>
      <c r="L316" s="18" t="n">
        <v>35642280.14381252</v>
      </c>
      <c r="M316" s="18" t="n">
        <v>32836098.24352889</v>
      </c>
      <c r="N316" s="23">
        <f>IF(L316=0,"",M316/L316)</f>
        <v/>
      </c>
      <c r="O316" s="6" t="n">
        <v>30161023.67281209</v>
      </c>
      <c r="P316" s="22">
        <f>M316*G316*(1+H316+I316)</f>
        <v/>
      </c>
      <c r="Q316" s="6" t="n">
        <v>24464376.58318526</v>
      </c>
      <c r="R316" s="22">
        <f>P316-M316*G316*J316</f>
        <v/>
      </c>
      <c r="S316" s="22">
        <f>IF(A316=A315,O316-O315,"")</f>
        <v/>
      </c>
      <c r="T316" s="22">
        <f>IF(A316=A315,P316-P315,"")</f>
        <v/>
      </c>
      <c r="U316" s="22">
        <f>IF(A316=A315,Q316-Q315,"")</f>
        <v/>
      </c>
      <c r="V316" s="22">
        <f>IF(A316=A315,R316-R315,"")</f>
        <v/>
      </c>
      <c r="W316" s="22">
        <f>IF(S316="","",D316-S316)</f>
        <v/>
      </c>
      <c r="X316" s="22">
        <f>IF(T316="","",D316-T316)</f>
        <v/>
      </c>
      <c r="Y316" s="22">
        <f>IF(U316="","",F316-U316)</f>
        <v/>
      </c>
      <c r="Z316" s="22">
        <f>IF(V316="","",F316-V316)</f>
        <v/>
      </c>
      <c r="AA316" s="6" t="n">
        <v>32836098.24352889</v>
      </c>
      <c r="AB316" s="6" t="n">
        <v>27735048.88258648</v>
      </c>
      <c r="AC316" s="6" t="n">
        <v>9803458.290772472</v>
      </c>
      <c r="AD316" s="6" t="n">
        <v>4029576.420532824</v>
      </c>
      <c r="AE316" s="6" t="n">
        <v>2773924.873589721</v>
      </c>
      <c r="AF316" s="6" t="n">
        <v>33447904.44649793</v>
      </c>
      <c r="AG316" s="6" t="n">
        <v>3722715.224638849</v>
      </c>
      <c r="AH316" s="6" t="n">
        <v>3991904.901545398</v>
      </c>
      <c r="AI316" s="6" t="n">
        <v>3697475.234549033</v>
      </c>
      <c r="AJ316" s="6" t="n">
        <v>6043064.189171331</v>
      </c>
      <c r="AK316" s="6" t="n">
        <v>6156044.955715801</v>
      </c>
      <c r="AL316" s="6" t="n">
        <v>3584527.855801091</v>
      </c>
      <c r="AM316" s="6" t="n">
        <v>3798670.68457299</v>
      </c>
      <c r="AN316" s="6" t="n">
        <v>3877501.136479753</v>
      </c>
      <c r="AO316" s="6" t="n">
        <v>3105476.144969234</v>
      </c>
      <c r="AP316" s="6" t="n">
        <v>4920475.631877398</v>
      </c>
      <c r="AQ316" s="6" t="n">
        <v>4979384.945889508</v>
      </c>
      <c r="AR316" s="6" t="n">
        <v>3699666.086677595</v>
      </c>
    </row>
    <row r="317">
      <c r="A317" t="inlineStr">
        <is>
          <t>Diversos</t>
        </is>
      </c>
      <c r="B317" s="8" t="n">
        <v>202601</v>
      </c>
      <c r="C317" s="8" t="n">
        <v>2026</v>
      </c>
      <c r="D317" s="9" t="n">
        <v>5926298.634900637</v>
      </c>
      <c r="E317" s="10" t="n">
        <v>0.2013882100034744</v>
      </c>
      <c r="F317" s="22">
        <f>D317*(1-E317)</f>
        <v/>
      </c>
      <c r="G317" s="10" t="n">
        <v>0.675685</v>
      </c>
      <c r="H317" s="10" t="n">
        <v>0.04182133985374269</v>
      </c>
      <c r="I317" s="10" t="n">
        <v>0.1737133975316746</v>
      </c>
      <c r="J317" s="10" t="n">
        <v>0.2438520021994637</v>
      </c>
      <c r="K317" s="9" t="n">
        <v>25915926.02855322</v>
      </c>
      <c r="L317" s="18" t="n">
        <v>38355041.22268989</v>
      </c>
      <c r="M317" s="18" t="n">
        <v>32930598.83650928</v>
      </c>
      <c r="N317" s="23">
        <f>IF(L317=0,"",M317/L317)</f>
        <v/>
      </c>
      <c r="O317" s="9" t="n">
        <v>31501708.33921733</v>
      </c>
      <c r="P317" s="22">
        <f>M317*G317*(1+H317+I317)</f>
        <v/>
      </c>
      <c r="Q317" s="9" t="n">
        <v>25182057.88830144</v>
      </c>
      <c r="R317" s="22">
        <f>P317-M317*G317*J317</f>
        <v/>
      </c>
      <c r="S317" s="22">
        <f>IF(A317=A316,O317-O316,"")</f>
        <v/>
      </c>
      <c r="T317" s="22">
        <f>IF(A317=A316,P317-P316,"")</f>
        <v/>
      </c>
      <c r="U317" s="22">
        <f>IF(A317=A316,Q317-Q316,"")</f>
        <v/>
      </c>
      <c r="V317" s="22">
        <f>IF(A317=A316,R317-R316,"")</f>
        <v/>
      </c>
      <c r="W317" s="22">
        <f>IF(S317="","",D317-S317)</f>
        <v/>
      </c>
      <c r="X317" s="22">
        <f>IF(T317="","",D317-T317)</f>
        <v/>
      </c>
      <c r="Y317" s="22">
        <f>IF(U317="","",F317-U317)</f>
        <v/>
      </c>
      <c r="Z317" s="22">
        <f>IF(V317="","",F317-V317)</f>
        <v/>
      </c>
      <c r="AA317" s="9" t="n">
        <v>32930598.83650928</v>
      </c>
      <c r="AB317" s="9" t="n">
        <v>27868923.49287093</v>
      </c>
      <c r="AC317" s="9" t="n">
        <v>8942543.5668632</v>
      </c>
      <c r="AD317" s="9" t="n">
        <v>4025418.81139689</v>
      </c>
      <c r="AE317" s="9" t="n">
        <v>2779097.940125497</v>
      </c>
      <c r="AF317" s="9" t="n">
        <v>33560646.08267944</v>
      </c>
      <c r="AG317" s="9" t="n">
        <v>6666176.781490602</v>
      </c>
      <c r="AH317" s="9" t="n">
        <v>6506841.552808963</v>
      </c>
      <c r="AI317" s="9" t="n">
        <v>6877452.512068182</v>
      </c>
      <c r="AJ317" s="9" t="n">
        <v>6030034.395340793</v>
      </c>
      <c r="AK317" s="9" t="n">
        <v>5991110.017614125</v>
      </c>
      <c r="AL317" s="9" t="n">
        <v>6666426.707774065</v>
      </c>
      <c r="AM317" s="9" t="n">
        <v>5650431.053817141</v>
      </c>
      <c r="AN317" s="9" t="n">
        <v>5472390.395030043</v>
      </c>
      <c r="AO317" s="9" t="n">
        <v>5590532.531303645</v>
      </c>
      <c r="AP317" s="9" t="n">
        <v>4855763.886255591</v>
      </c>
      <c r="AQ317" s="9" t="n">
        <v>4812175.507138453</v>
      </c>
      <c r="AR317" s="9" t="n">
        <v>5656708.082511841</v>
      </c>
    </row>
    <row r="318">
      <c r="A318" s="4" t="inlineStr">
        <is>
          <t>Diversos</t>
        </is>
      </c>
      <c r="B318" s="5" t="n">
        <v>202602</v>
      </c>
      <c r="C318" s="5" t="n">
        <v>2026</v>
      </c>
      <c r="D318" s="6" t="n">
        <v>6382361.905652973</v>
      </c>
      <c r="E318" s="11" t="n">
        <v>0.2013882100034744</v>
      </c>
      <c r="F318" s="22">
        <f>D318*(1-E318)</f>
        <v/>
      </c>
      <c r="G318" s="11" t="n">
        <v>0.668221</v>
      </c>
      <c r="H318" s="11" t="n">
        <v>0.04182133985374269</v>
      </c>
      <c r="I318" s="11" t="n">
        <v>0.1737133975316745</v>
      </c>
      <c r="J318" s="11" t="n">
        <v>0.2438520021994636</v>
      </c>
      <c r="K318" s="6" t="n">
        <v>26199121.56652236</v>
      </c>
      <c r="L318" s="18" t="n">
        <v>39207270.59838341</v>
      </c>
      <c r="M318" s="18" t="n">
        <v>33499251.33964224</v>
      </c>
      <c r="N318" s="23">
        <f>IF(L318=0,"",M318/L318)</f>
        <v/>
      </c>
      <c r="O318" s="6" t="n">
        <v>31845942.35309137</v>
      </c>
      <c r="P318" s="22">
        <f>M318*G318*(1+H318+I318)</f>
        <v/>
      </c>
      <c r="Q318" s="6" t="n">
        <v>25457234.10322775</v>
      </c>
      <c r="R318" s="22">
        <f>P318-M318*G318*J318</f>
        <v/>
      </c>
      <c r="S318" s="22">
        <f>IF(A318=A317,O318-O317,"")</f>
        <v/>
      </c>
      <c r="T318" s="22">
        <f>IF(A318=A317,P318-P317,"")</f>
        <v/>
      </c>
      <c r="U318" s="22">
        <f>IF(A318=A317,Q318-Q317,"")</f>
        <v/>
      </c>
      <c r="V318" s="22">
        <f>IF(A318=A317,R318-R317,"")</f>
        <v/>
      </c>
      <c r="W318" s="22">
        <f>IF(S318="","",D318-S318)</f>
        <v/>
      </c>
      <c r="X318" s="22">
        <f>IF(T318="","",D318-T318)</f>
        <v/>
      </c>
      <c r="Y318" s="22">
        <f>IF(U318="","",F318-U318)</f>
        <v/>
      </c>
      <c r="Z318" s="22">
        <f>IF(V318="","",F318-V318)</f>
        <v/>
      </c>
      <c r="AA318" s="6" t="n">
        <v>33499251.33964224</v>
      </c>
      <c r="AB318" s="6" t="n">
        <v>28396480.42820854</v>
      </c>
      <c r="AC318" s="6" t="n">
        <v>7892635.925645563</v>
      </c>
      <c r="AD318" s="6" t="n">
        <v>3883674.717425041</v>
      </c>
      <c r="AE318" s="6" t="n">
        <v>2630530.035111585</v>
      </c>
      <c r="AF318" s="6" t="n">
        <v>34065167.02090925</v>
      </c>
      <c r="AG318" s="6" t="n">
        <v>6219247.409596867</v>
      </c>
      <c r="AH318" s="6" t="n">
        <v>6206703.792036477</v>
      </c>
      <c r="AI318" s="6" t="n">
        <v>7316278.490845685</v>
      </c>
      <c r="AJ318" s="6" t="n">
        <v>6534014.579680324</v>
      </c>
      <c r="AK318" s="6" t="n">
        <v>6528249.632516911</v>
      </c>
      <c r="AL318" s="6" t="n">
        <v>6277054.268216918</v>
      </c>
      <c r="AM318" s="6" t="n">
        <v>4966637.849085715</v>
      </c>
      <c r="AN318" s="6" t="n">
        <v>4956610.643572506</v>
      </c>
      <c r="AO318" s="6" t="n">
        <v>5843590.295467232</v>
      </c>
      <c r="AP318" s="6" t="n">
        <v>5218258.65050462</v>
      </c>
      <c r="AQ318" s="6" t="n">
        <v>5213650.226363655</v>
      </c>
      <c r="AR318" s="6" t="n">
        <v>5012847.903614685</v>
      </c>
    </row>
    <row r="319">
      <c r="A319" t="inlineStr">
        <is>
          <t>Diversos</t>
        </is>
      </c>
      <c r="B319" s="8" t="n">
        <v>202603</v>
      </c>
      <c r="C319" s="8" t="n">
        <v>2026</v>
      </c>
      <c r="D319" s="9" t="n">
        <v>3961209.124093929</v>
      </c>
      <c r="E319" s="10" t="n">
        <v>0.2013882100034744</v>
      </c>
      <c r="F319" s="22">
        <f>D319*(1-E319)</f>
        <v/>
      </c>
      <c r="G319" s="10" t="n">
        <v>0.671582</v>
      </c>
      <c r="H319" s="10" t="n">
        <v>0.03907120980029284</v>
      </c>
      <c r="I319" s="10" t="n">
        <v>0.1410480966659671</v>
      </c>
      <c r="J319" s="10" t="n">
        <v>0.2359354036448347</v>
      </c>
      <c r="K319" s="9" t="n">
        <v>23102655.10454555</v>
      </c>
      <c r="L319" s="18" t="n">
        <v>34400348.88449296</v>
      </c>
      <c r="M319" s="18" t="n">
        <v>31698063.42329572</v>
      </c>
      <c r="N319" s="23">
        <f>IF(L319=0,"",M319/L319)</f>
        <v/>
      </c>
      <c r="O319" s="9" t="n">
        <v>27263889.3195055</v>
      </c>
      <c r="P319" s="22">
        <f>M319*G319*(1+H319+I319)</f>
        <v/>
      </c>
      <c r="Q319" s="9" t="n">
        <v>21813155.06214714</v>
      </c>
      <c r="R319" s="22">
        <f>P319-M319*G319*J319</f>
        <v/>
      </c>
      <c r="S319" s="22">
        <f>IF(A319=A318,O319-O318,"")</f>
        <v/>
      </c>
      <c r="T319" s="22">
        <f>IF(A319=A318,P319-P318,"")</f>
        <v/>
      </c>
      <c r="U319" s="22">
        <f>IF(A319=A318,Q319-Q318,"")</f>
        <v/>
      </c>
      <c r="V319" s="22">
        <f>IF(A319=A318,R319-R318,"")</f>
        <v/>
      </c>
      <c r="W319" s="22">
        <f>IF(S319="","",D319-S319)</f>
        <v/>
      </c>
      <c r="X319" s="22">
        <f>IF(T319="","",D319-T319)</f>
        <v/>
      </c>
      <c r="Y319" s="22">
        <f>IF(U319="","",F319-U319)</f>
        <v/>
      </c>
      <c r="Z319" s="22">
        <f>IF(V319="","",F319-V319)</f>
        <v/>
      </c>
      <c r="AA319" s="9" t="n">
        <v>31698063.42329572</v>
      </c>
      <c r="AB319" s="9" t="n">
        <v>26911287.13190898</v>
      </c>
      <c r="AC319" s="9" t="n">
        <v>6739197.463323449</v>
      </c>
      <c r="AD319" s="9" t="n">
        <v>3534395.875688786</v>
      </c>
      <c r="AE319" s="9" t="n">
        <v>2303299.698902397</v>
      </c>
      <c r="AF319" s="9" t="n">
        <v>32300713.53752065</v>
      </c>
      <c r="AG319" s="9" t="n">
        <v>6048635.195121704</v>
      </c>
      <c r="AH319" s="9" t="n">
        <v>5697675.395819468</v>
      </c>
      <c r="AI319" s="9" t="n">
        <v>5030839.852854326</v>
      </c>
      <c r="AJ319" s="9" t="n">
        <v>4314533.310133491</v>
      </c>
      <c r="AK319" s="9" t="n">
        <v>4272373.196734286</v>
      </c>
      <c r="AL319" s="9" t="n">
        <v>6030669.381531974</v>
      </c>
      <c r="AM319" s="9" t="n">
        <v>4814848.115056977</v>
      </c>
      <c r="AN319" s="9" t="n">
        <v>4536905.113258105</v>
      </c>
      <c r="AO319" s="9" t="n">
        <v>4014843.102298161</v>
      </c>
      <c r="AP319" s="9" t="n">
        <v>3443984.160658082</v>
      </c>
      <c r="AQ319" s="9" t="n">
        <v>3410953.097262976</v>
      </c>
      <c r="AR319" s="9" t="n">
        <v>4800157.915345583</v>
      </c>
    </row>
    <row r="320">
      <c r="A320" s="4" t="inlineStr">
        <is>
          <t>Diversos</t>
        </is>
      </c>
      <c r="B320" s="5" t="n">
        <v>202604</v>
      </c>
      <c r="C320" s="5" t="n">
        <v>2026</v>
      </c>
      <c r="D320" s="6" t="n">
        <v>6420157.310030431</v>
      </c>
      <c r="E320" s="11" t="n">
        <v>0.2013882100034744</v>
      </c>
      <c r="F320" s="22">
        <f>D320*(1-E320)</f>
        <v/>
      </c>
      <c r="G320" s="11" t="n">
        <v>0.66997</v>
      </c>
      <c r="H320" s="11" t="n">
        <v>0.0391650865141061</v>
      </c>
      <c r="I320" s="11" t="n">
        <v>0.133644765262678</v>
      </c>
      <c r="J320" s="11" t="n">
        <v>0.2831956624965497</v>
      </c>
      <c r="K320" s="6" t="n">
        <v>24176576.01094522</v>
      </c>
      <c r="L320" s="18" t="n">
        <v>36086057.60100485</v>
      </c>
      <c r="M320" s="18" t="n">
        <v>32541989.9043886</v>
      </c>
      <c r="N320" s="23">
        <f>IF(L320=0,"",M320/L320)</f>
        <v/>
      </c>
      <c r="O320" s="6" t="n">
        <v>28354526.52786681</v>
      </c>
      <c r="P320" s="22">
        <f>M320*G320*(1+H320+I320)</f>
        <v/>
      </c>
      <c r="Q320" s="6" t="n">
        <v>21507825.067549</v>
      </c>
      <c r="R320" s="22">
        <f>P320-M320*G320*J320</f>
        <v/>
      </c>
      <c r="S320" s="22">
        <f>IF(A320=A319,O320-O319,"")</f>
        <v/>
      </c>
      <c r="T320" s="22">
        <f>IF(A320=A319,P320-P319,"")</f>
        <v/>
      </c>
      <c r="U320" s="22">
        <f>IF(A320=A319,Q320-Q319,"")</f>
        <v/>
      </c>
      <c r="V320" s="22">
        <f>IF(A320=A319,R320-R319,"")</f>
        <v/>
      </c>
      <c r="W320" s="22">
        <f>IF(S320="","",D320-S320)</f>
        <v/>
      </c>
      <c r="X320" s="22">
        <f>IF(T320="","",D320-T320)</f>
        <v/>
      </c>
      <c r="Y320" s="22">
        <f>IF(U320="","",F320-U320)</f>
        <v/>
      </c>
      <c r="Z320" s="22">
        <f>IF(V320="","",F320-V320)</f>
        <v/>
      </c>
      <c r="AA320" s="6" t="n">
        <v>32541989.9043886</v>
      </c>
      <c r="AB320" s="6" t="n">
        <v>27876697.00657689</v>
      </c>
      <c r="AC320" s="6" t="n">
        <v>6142247.729723006</v>
      </c>
      <c r="AD320" s="6" t="n">
        <v>3835212.209297091</v>
      </c>
      <c r="AE320" s="6" t="n">
        <v>2602294.662527593</v>
      </c>
      <c r="AF320" s="6" t="n">
        <v>33219892.95599819</v>
      </c>
      <c r="AG320" s="6" t="n">
        <v>5972574.215660278</v>
      </c>
      <c r="AH320" s="6" t="n">
        <v>5844571.422337554</v>
      </c>
      <c r="AI320" s="6" t="n">
        <v>6935031.976267839</v>
      </c>
      <c r="AJ320" s="6" t="n">
        <v>6207823.663614565</v>
      </c>
      <c r="AK320" s="6" t="n">
        <v>6200884.001707653</v>
      </c>
      <c r="AL320" s="6" t="n">
        <v>5917542.114508379</v>
      </c>
      <c r="AM320" s="6" t="n">
        <v>5831349.309370492</v>
      </c>
      <c r="AN320" s="6" t="n">
        <v>5576652.93506841</v>
      </c>
      <c r="AO320" s="6" t="n">
        <v>5739646.969420762</v>
      </c>
      <c r="AP320" s="6" t="n">
        <v>5082519.530012112</v>
      </c>
      <c r="AQ320" s="6" t="n">
        <v>5036722.371420805</v>
      </c>
      <c r="AR320" s="6" t="n">
        <v>5809447.622724053</v>
      </c>
    </row>
    <row r="321">
      <c r="A321" t="inlineStr">
        <is>
          <t>Diversos</t>
        </is>
      </c>
      <c r="B321" s="8" t="n">
        <v>202605</v>
      </c>
      <c r="C321" s="8" t="n">
        <v>2026</v>
      </c>
      <c r="D321" s="9" t="n">
        <v>4211616.941633693</v>
      </c>
      <c r="E321" s="10" t="n">
        <v>0.2013882100034744</v>
      </c>
      <c r="F321" s="22">
        <f>D321*(1-E321)</f>
        <v/>
      </c>
      <c r="G321" s="10" t="n">
        <v>0.6808070000000001</v>
      </c>
      <c r="H321" s="10" t="n">
        <v>0.03854178821726214</v>
      </c>
      <c r="I321" s="10" t="n">
        <v>0.1295939327294742</v>
      </c>
      <c r="J321" s="10" t="n">
        <v>0.2946498102692673</v>
      </c>
      <c r="K321" s="9" t="n">
        <v>23166174.20199422</v>
      </c>
      <c r="L321" s="18" t="n">
        <v>34027520.5777764</v>
      </c>
      <c r="M321" s="18" t="n">
        <v>31249465.37614941</v>
      </c>
      <c r="N321" s="23">
        <f>IF(L321=0,"",M321/L321)</f>
        <v/>
      </c>
      <c r="O321" s="9" t="n">
        <v>27061235.6030242</v>
      </c>
      <c r="P321" s="22">
        <f>M321*G321*(1+H321+I321)</f>
        <v/>
      </c>
      <c r="Q321" s="9" t="n">
        <v>20235326.76974181</v>
      </c>
      <c r="R321" s="22">
        <f>P321-M321*G321*J321</f>
        <v/>
      </c>
      <c r="S321" s="22">
        <f>IF(A321=A320,O321-O320,"")</f>
        <v/>
      </c>
      <c r="T321" s="22">
        <f>IF(A321=A320,P321-P320,"")</f>
        <v/>
      </c>
      <c r="U321" s="22">
        <f>IF(A321=A320,Q321-Q320,"")</f>
        <v/>
      </c>
      <c r="V321" s="22">
        <f>IF(A321=A320,R321-R320,"")</f>
        <v/>
      </c>
      <c r="W321" s="22">
        <f>IF(S321="","",D321-S321)</f>
        <v/>
      </c>
      <c r="X321" s="22">
        <f>IF(T321="","",D321-T321)</f>
        <v/>
      </c>
      <c r="Y321" s="22">
        <f>IF(U321="","",F321-U321)</f>
        <v/>
      </c>
      <c r="Z321" s="22">
        <f>IF(V321="","",F321-V321)</f>
        <v/>
      </c>
      <c r="AA321" s="9" t="n">
        <v>31249465.37614941</v>
      </c>
      <c r="AB321" s="9" t="n">
        <v>26717646.37097592</v>
      </c>
      <c r="AC321" s="9" t="n">
        <v>5310990.050392995</v>
      </c>
      <c r="AD321" s="9" t="n">
        <v>3531632.232983102</v>
      </c>
      <c r="AE321" s="9" t="n">
        <v>2311533.453604021</v>
      </c>
      <c r="AF321" s="9" t="n">
        <v>32065113.56553813</v>
      </c>
      <c r="AG321" s="9" t="n">
        <v>4929483.613494742</v>
      </c>
      <c r="AH321" s="9" t="n">
        <v>4867784.02184978</v>
      </c>
      <c r="AI321" s="9" t="n">
        <v>4814174.74247683</v>
      </c>
      <c r="AJ321" s="9" t="n">
        <v>4416506.287898775</v>
      </c>
      <c r="AK321" s="9" t="n">
        <v>4418058.538105133</v>
      </c>
      <c r="AL321" s="9" t="n">
        <v>4813479.590809758</v>
      </c>
      <c r="AM321" s="9" t="n">
        <v>4175669.250423393</v>
      </c>
      <c r="AN321" s="9" t="n">
        <v>4090046.479105672</v>
      </c>
      <c r="AO321" s="9" t="n">
        <v>3866002.889257091</v>
      </c>
      <c r="AP321" s="9" t="n">
        <v>3549115.716242819</v>
      </c>
      <c r="AQ321" s="9" t="n">
        <v>3539841.223488217</v>
      </c>
      <c r="AR321" s="9" t="n">
        <v>4094663.664633876</v>
      </c>
    </row>
    <row r="322">
      <c r="A322" s="4" t="inlineStr">
        <is>
          <t>Incendio</t>
        </is>
      </c>
      <c r="B322" s="5" t="n">
        <v>202201</v>
      </c>
      <c r="C322" s="5" t="n">
        <v>2022</v>
      </c>
      <c r="D322" s="6" t="n">
        <v>9997620.417515792</v>
      </c>
      <c r="E322" s="11" t="n">
        <v>0.2398908494669131</v>
      </c>
      <c r="F322" s="22">
        <f>D322*(1-E322)</f>
        <v/>
      </c>
      <c r="G322" s="11" t="n">
        <v>0.7001656986555076</v>
      </c>
      <c r="H322" s="11" t="n">
        <v>0.05440963423932985</v>
      </c>
      <c r="I322" s="11" t="n">
        <v>0.08248670080874483</v>
      </c>
      <c r="J322" s="11" t="n">
        <v>0.1907554316196801</v>
      </c>
      <c r="K322" s="6" t="n">
        <v>48473193.85739373</v>
      </c>
      <c r="L322" s="18" t="n">
        <v>69231031.95497055</v>
      </c>
      <c r="M322" s="18" t="n">
        <v>65153811.02175301</v>
      </c>
      <c r="N322" s="23">
        <f>IF(L322=0,"",M322/L322)</f>
        <v/>
      </c>
      <c r="O322" s="6" t="n">
        <v>55108996.44454578</v>
      </c>
      <c r="P322" s="22">
        <f>M322*G322*(1+H322+I322)</f>
        <v/>
      </c>
      <c r="Q322" s="6" t="n">
        <v>45862471.42829421</v>
      </c>
      <c r="R322" s="22">
        <f>P322-M322*G322*J322</f>
        <v/>
      </c>
      <c r="S322" s="22">
        <f>IF(A322=A321,O322-O321,"")</f>
        <v/>
      </c>
      <c r="T322" s="22">
        <f>IF(A322=A321,P322-P321,"")</f>
        <v/>
      </c>
      <c r="U322" s="22">
        <f>IF(A322=A321,Q322-Q321,"")</f>
        <v/>
      </c>
      <c r="V322" s="22">
        <f>IF(A322=A321,R322-R321,"")</f>
        <v/>
      </c>
      <c r="W322" s="22">
        <f>IF(S322="","",D322-S322)</f>
        <v/>
      </c>
      <c r="X322" s="22">
        <f>IF(T322="","",D322-T322)</f>
        <v/>
      </c>
      <c r="Y322" s="22">
        <f>IF(U322="","",F322-U322)</f>
        <v/>
      </c>
      <c r="Z322" s="22">
        <f>IF(V322="","",F322-V322)</f>
        <v/>
      </c>
      <c r="AA322" s="6" t="n">
        <v>65153811.02175301</v>
      </c>
      <c r="AB322" s="6" t="n">
        <v>57898433.67691614</v>
      </c>
      <c r="AC322" s="6" t="n">
        <v>28862529.39754476</v>
      </c>
      <c r="AD322" s="6" t="n">
        <v>17171949.48054375</v>
      </c>
      <c r="AE322" s="6" t="n">
        <v>15794063.96713474</v>
      </c>
      <c r="AF322" s="6" t="n">
        <v>64821894.24899632</v>
      </c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</row>
    <row r="323">
      <c r="A323" t="inlineStr">
        <is>
          <t>Incendio</t>
        </is>
      </c>
      <c r="B323" s="8" t="n">
        <v>202202</v>
      </c>
      <c r="C323" s="8" t="n">
        <v>2022</v>
      </c>
      <c r="D323" s="9" t="n">
        <v>9926914.954307735</v>
      </c>
      <c r="E323" s="10" t="n">
        <v>0.2398908494669131</v>
      </c>
      <c r="F323" s="22">
        <f>D323*(1-E323)</f>
        <v/>
      </c>
      <c r="G323" s="10" t="n">
        <v>0.615599627944294</v>
      </c>
      <c r="H323" s="10" t="n">
        <v>0.06188397059772451</v>
      </c>
      <c r="I323" s="10" t="n">
        <v>0.1060609195613886</v>
      </c>
      <c r="J323" s="10" t="n">
        <v>0.2137561334512726</v>
      </c>
      <c r="K323" s="9" t="n">
        <v>42967065.90160419</v>
      </c>
      <c r="L323" s="18" t="n">
        <v>69797095.30541222</v>
      </c>
      <c r="M323" s="18" t="n">
        <v>64114989.16654329</v>
      </c>
      <c r="N323" s="23">
        <f>IF(L323=0,"",M323/L323)</f>
        <v/>
      </c>
      <c r="O323" s="9" t="n">
        <v>50183165.06490848</v>
      </c>
      <c r="P323" s="22">
        <f>M323*G323*(1+H323+I323)</f>
        <v/>
      </c>
      <c r="Q323" s="9" t="n">
        <v>40998691.19203556</v>
      </c>
      <c r="R323" s="22">
        <f>P323-M323*G323*J323</f>
        <v/>
      </c>
      <c r="S323" s="22">
        <f>IF(A323=A322,O323-O322,"")</f>
        <v/>
      </c>
      <c r="T323" s="22">
        <f>IF(A323=A322,P323-P322,"")</f>
        <v/>
      </c>
      <c r="U323" s="22">
        <f>IF(A323=A322,Q323-Q322,"")</f>
        <v/>
      </c>
      <c r="V323" s="22">
        <f>IF(A323=A322,R323-R322,"")</f>
        <v/>
      </c>
      <c r="W323" s="22">
        <f>IF(S323="","",D323-S323)</f>
        <v/>
      </c>
      <c r="X323" s="22">
        <f>IF(T323="","",D323-T323)</f>
        <v/>
      </c>
      <c r="Y323" s="22">
        <f>IF(U323="","",F323-U323)</f>
        <v/>
      </c>
      <c r="Z323" s="22">
        <f>IF(V323="","",F323-V323)</f>
        <v/>
      </c>
      <c r="AA323" s="9" t="n">
        <v>64114989.16654329</v>
      </c>
      <c r="AB323" s="9" t="n">
        <v>56639511.28162288</v>
      </c>
      <c r="AC323" s="9" t="n">
        <v>24753887.27072465</v>
      </c>
      <c r="AD323" s="9" t="n">
        <v>15553380.35207711</v>
      </c>
      <c r="AE323" s="9" t="n">
        <v>14211430.6346942</v>
      </c>
      <c r="AF323" s="9" t="n">
        <v>63822035.71056578</v>
      </c>
      <c r="AG323" s="9" t="n">
        <v>15692571.24639637</v>
      </c>
      <c r="AH323" s="9" t="n">
        <v>15291943.35416948</v>
      </c>
      <c r="AI323" s="9" t="n">
        <v>15104235.58451168</v>
      </c>
      <c r="AJ323" s="9" t="n">
        <v>12413388.77803272</v>
      </c>
      <c r="AK323" s="9" t="n">
        <v>12281413.76546631</v>
      </c>
      <c r="AL323" s="9" t="n">
        <v>15638989.80779728</v>
      </c>
      <c r="AM323" s="9" t="n">
        <v>13046001.24419376</v>
      </c>
      <c r="AN323" s="9" t="n">
        <v>12630719.87444294</v>
      </c>
      <c r="AO323" s="9" t="n">
        <v>12125287.63752599</v>
      </c>
      <c r="AP323" s="9" t="n">
        <v>9785161.368745299</v>
      </c>
      <c r="AQ323" s="9" t="n">
        <v>9660632.567622017</v>
      </c>
      <c r="AR323" s="9" t="n">
        <v>12998201.52901781</v>
      </c>
    </row>
    <row r="324">
      <c r="A324" s="4" t="inlineStr">
        <is>
          <t>Incendio</t>
        </is>
      </c>
      <c r="B324" s="5" t="n">
        <v>202203</v>
      </c>
      <c r="C324" s="5" t="n">
        <v>2022</v>
      </c>
      <c r="D324" s="6" t="n">
        <v>14496347.12966151</v>
      </c>
      <c r="E324" s="11" t="n">
        <v>0.2398908494669131</v>
      </c>
      <c r="F324" s="22">
        <f>D324*(1-E324)</f>
        <v/>
      </c>
      <c r="G324" s="11" t="n">
        <v>0.6077995513919751</v>
      </c>
      <c r="H324" s="11" t="n">
        <v>0.06267816027624491</v>
      </c>
      <c r="I324" s="11" t="n">
        <v>0.06146566276036722</v>
      </c>
      <c r="J324" s="11" t="n">
        <v>0.1914408865179697</v>
      </c>
      <c r="K324" s="6" t="n">
        <v>44763197.12735847</v>
      </c>
      <c r="L324" s="18" t="n">
        <v>73647960.12902994</v>
      </c>
      <c r="M324" s="18" t="n">
        <v>67344681.49829504</v>
      </c>
      <c r="N324" s="23">
        <f>IF(L324=0,"",M324/L324)</f>
        <v/>
      </c>
      <c r="O324" s="6" t="n">
        <v>50320271.55009024</v>
      </c>
      <c r="P324" s="22">
        <f>M324*G324*(1+H324+I324)</f>
        <v/>
      </c>
      <c r="Q324" s="6" t="n">
        <v>41750765.4086501</v>
      </c>
      <c r="R324" s="22">
        <f>P324-M324*G324*J324</f>
        <v/>
      </c>
      <c r="S324" s="22">
        <f>IF(A324=A323,O324-O323,"")</f>
        <v/>
      </c>
      <c r="T324" s="22">
        <f>IF(A324=A323,P324-P323,"")</f>
        <v/>
      </c>
      <c r="U324" s="22">
        <f>IF(A324=A323,Q324-Q323,"")</f>
        <v/>
      </c>
      <c r="V324" s="22">
        <f>IF(A324=A323,R324-R323,"")</f>
        <v/>
      </c>
      <c r="W324" s="22">
        <f>IF(S324="","",D324-S324)</f>
        <v/>
      </c>
      <c r="X324" s="22">
        <f>IF(T324="","",D324-T324)</f>
        <v/>
      </c>
      <c r="Y324" s="22">
        <f>IF(U324="","",F324-U324)</f>
        <v/>
      </c>
      <c r="Z324" s="22">
        <f>IF(V324="","",F324-V324)</f>
        <v/>
      </c>
      <c r="AA324" s="6" t="n">
        <v>67344681.49829504</v>
      </c>
      <c r="AB324" s="6" t="n">
        <v>59422720.98793668</v>
      </c>
      <c r="AC324" s="6" t="n">
        <v>21715806.47159843</v>
      </c>
      <c r="AD324" s="6" t="n">
        <v>14018623.63062876</v>
      </c>
      <c r="AE324" s="6" t="n">
        <v>12691332.07226634</v>
      </c>
      <c r="AF324" s="6" t="n">
        <v>66997373.56637222</v>
      </c>
      <c r="AG324" s="6" t="n">
        <v>14580624.42027547</v>
      </c>
      <c r="AH324" s="6" t="n">
        <v>14618569.27827254</v>
      </c>
      <c r="AI324" s="6" t="n">
        <v>17456642.35785431</v>
      </c>
      <c r="AJ324" s="6" t="n">
        <v>16100734.46552126</v>
      </c>
      <c r="AK324" s="6" t="n">
        <v>16042768.22997423</v>
      </c>
      <c r="AL324" s="6" t="n">
        <v>14607294.43031082</v>
      </c>
      <c r="AM324" s="6" t="n">
        <v>10502378.85027725</v>
      </c>
      <c r="AN324" s="6" t="n">
        <v>10602227.37385828</v>
      </c>
      <c r="AO324" s="6" t="n">
        <v>13248582.92300087</v>
      </c>
      <c r="AP324" s="6" t="n">
        <v>12207726.76447006</v>
      </c>
      <c r="AQ324" s="6" t="n">
        <v>12171904.6986796</v>
      </c>
      <c r="AR324" s="6" t="n">
        <v>10527186.13024098</v>
      </c>
    </row>
    <row r="325">
      <c r="A325" t="inlineStr">
        <is>
          <t>Incendio</t>
        </is>
      </c>
      <c r="B325" s="8" t="n">
        <v>202204</v>
      </c>
      <c r="C325" s="8" t="n">
        <v>2022</v>
      </c>
      <c r="D325" s="9" t="n">
        <v>15928923.08794414</v>
      </c>
      <c r="E325" s="10" t="n">
        <v>0.2398908494669131</v>
      </c>
      <c r="F325" s="22">
        <f>D325*(1-E325)</f>
        <v/>
      </c>
      <c r="G325" s="10" t="n">
        <v>0.5976838812078642</v>
      </c>
      <c r="H325" s="10" t="n">
        <v>0.06373902031334125</v>
      </c>
      <c r="I325" s="10" t="n">
        <v>0.1007408877368153</v>
      </c>
      <c r="J325" s="10" t="n">
        <v>0.1912707940677787</v>
      </c>
      <c r="K325" s="9" t="n">
        <v>46814565.20818076</v>
      </c>
      <c r="L325" s="18" t="n">
        <v>78326631.65279417</v>
      </c>
      <c r="M325" s="18" t="n">
        <v>71683540.28736143</v>
      </c>
      <c r="N325" s="23">
        <f>IF(L325=0,"",M325/L325)</f>
        <v/>
      </c>
      <c r="O325" s="9" t="n">
        <v>54514620.5890304</v>
      </c>
      <c r="P325" s="22">
        <f>M325*G325*(1+H325+I325)</f>
        <v/>
      </c>
      <c r="Q325" s="9" t="n">
        <v>45560361.52772386</v>
      </c>
      <c r="R325" s="22">
        <f>P325-M325*G325*J325</f>
        <v/>
      </c>
      <c r="S325" s="22">
        <f>IF(A325=A324,O325-O324,"")</f>
        <v/>
      </c>
      <c r="T325" s="22">
        <f>IF(A325=A324,P325-P324,"")</f>
        <v/>
      </c>
      <c r="U325" s="22">
        <f>IF(A325=A324,Q325-Q324,"")</f>
        <v/>
      </c>
      <c r="V325" s="22">
        <f>IF(A325=A324,R325-R324,"")</f>
        <v/>
      </c>
      <c r="W325" s="22">
        <f>IF(S325="","",D325-S325)</f>
        <v/>
      </c>
      <c r="X325" s="22">
        <f>IF(T325="","",D325-T325)</f>
        <v/>
      </c>
      <c r="Y325" s="22">
        <f>IF(U325="","",F325-U325)</f>
        <v/>
      </c>
      <c r="Z325" s="22">
        <f>IF(V325="","",F325-V325)</f>
        <v/>
      </c>
      <c r="AA325" s="9" t="n">
        <v>71683540.28736143</v>
      </c>
      <c r="AB325" s="9" t="n">
        <v>63349328.8030928</v>
      </c>
      <c r="AC325" s="9" t="n">
        <v>19354106.50164177</v>
      </c>
      <c r="AD325" s="9" t="n">
        <v>13603455.02262406</v>
      </c>
      <c r="AE325" s="9" t="n">
        <v>12159298.15383362</v>
      </c>
      <c r="AF325" s="9" t="n">
        <v>71198465.34015894</v>
      </c>
      <c r="AG325" s="9" t="n">
        <v>12051363.95539466</v>
      </c>
      <c r="AH325" s="9" t="n">
        <v>12439186.97710659</v>
      </c>
      <c r="AI325" s="9" t="n">
        <v>17296055.6986411</v>
      </c>
      <c r="AJ325" s="9" t="n">
        <v>16039324.80868265</v>
      </c>
      <c r="AK325" s="9" t="n">
        <v>16137567.39149867</v>
      </c>
      <c r="AL325" s="9" t="n">
        <v>12151672.11802606</v>
      </c>
      <c r="AM325" s="9" t="n">
        <v>8588914.205849539</v>
      </c>
      <c r="AN325" s="9" t="n">
        <v>8945755.568344381</v>
      </c>
      <c r="AO325" s="9" t="n">
        <v>13160603.04869261</v>
      </c>
      <c r="AP325" s="9" t="n">
        <v>12142087.1022406</v>
      </c>
      <c r="AQ325" s="9" t="n">
        <v>12229675.00938709</v>
      </c>
      <c r="AR325" s="9" t="n">
        <v>8674180.804255884</v>
      </c>
    </row>
    <row r="326">
      <c r="A326" s="4" t="inlineStr">
        <is>
          <t>Incendio</t>
        </is>
      </c>
      <c r="B326" s="5" t="n">
        <v>202205</v>
      </c>
      <c r="C326" s="5" t="n">
        <v>2022</v>
      </c>
      <c r="D326" s="6" t="n">
        <v>13170377.02070712</v>
      </c>
      <c r="E326" s="11" t="n">
        <v>0.2398908494669131</v>
      </c>
      <c r="F326" s="22">
        <f>D326*(1-E326)</f>
        <v/>
      </c>
      <c r="G326" s="11" t="n">
        <v>0.5881938861180145</v>
      </c>
      <c r="H326" s="11" t="n">
        <v>0.06476735104058605</v>
      </c>
      <c r="I326" s="11" t="n">
        <v>0.09467197797816823</v>
      </c>
      <c r="J326" s="11" t="n">
        <v>0.1763012726130133</v>
      </c>
      <c r="K326" s="6" t="n">
        <v>48155411.05077341</v>
      </c>
      <c r="L326" s="18" t="n">
        <v>81869961.9076142</v>
      </c>
      <c r="M326" s="18" t="n">
        <v>72725100.72233434</v>
      </c>
      <c r="N326" s="23">
        <f>IF(L326=0,"",M326/L326)</f>
        <v/>
      </c>
      <c r="O326" s="6" t="n">
        <v>55833277.47733104</v>
      </c>
      <c r="P326" s="22">
        <f>M326*G326*(1+H326+I326)</f>
        <v/>
      </c>
      <c r="Q326" s="6" t="n">
        <v>47343417.22587692</v>
      </c>
      <c r="R326" s="22">
        <f>P326-M326*G326*J326</f>
        <v/>
      </c>
      <c r="S326" s="22">
        <f>IF(A326=A325,O326-O325,"")</f>
        <v/>
      </c>
      <c r="T326" s="22">
        <f>IF(A326=A325,P326-P325,"")</f>
        <v/>
      </c>
      <c r="U326" s="22">
        <f>IF(A326=A325,Q326-Q325,"")</f>
        <v/>
      </c>
      <c r="V326" s="22">
        <f>IF(A326=A325,R326-R325,"")</f>
        <v/>
      </c>
      <c r="W326" s="22">
        <f>IF(S326="","",D326-S326)</f>
        <v/>
      </c>
      <c r="X326" s="22">
        <f>IF(T326="","",D326-T326)</f>
        <v/>
      </c>
      <c r="Y326" s="22">
        <f>IF(U326="","",F326-U326)</f>
        <v/>
      </c>
      <c r="Z326" s="22">
        <f>IF(V326="","",F326-V326)</f>
        <v/>
      </c>
      <c r="AA326" s="6" t="n">
        <v>72725100.72233434</v>
      </c>
      <c r="AB326" s="6" t="n">
        <v>64367472.63152959</v>
      </c>
      <c r="AC326" s="6" t="n">
        <v>19642754.05194232</v>
      </c>
      <c r="AD326" s="6" t="n">
        <v>15446359.47796477</v>
      </c>
      <c r="AE326" s="6" t="n">
        <v>13943234.43000457</v>
      </c>
      <c r="AF326" s="6" t="n">
        <v>72452410.77251419</v>
      </c>
      <c r="AG326" s="6" t="n">
        <v>13464757.03340497</v>
      </c>
      <c r="AH326" s="6" t="n">
        <v>13363916.38213903</v>
      </c>
      <c r="AI326" s="6" t="n">
        <v>13244788.81971731</v>
      </c>
      <c r="AJ326" s="6" t="n">
        <v>12104224.6005184</v>
      </c>
      <c r="AK326" s="6" t="n">
        <v>12124198.49545471</v>
      </c>
      <c r="AL326" s="6" t="n">
        <v>13313117.0609061</v>
      </c>
      <c r="AM326" s="6" t="n">
        <v>9652023.996089337</v>
      </c>
      <c r="AN326" s="6" t="n">
        <v>9637265.550271092</v>
      </c>
      <c r="AO326" s="6" t="n">
        <v>9909725.127607455</v>
      </c>
      <c r="AP326" s="6" t="n">
        <v>8991409.03233467</v>
      </c>
      <c r="AQ326" s="6" t="n">
        <v>9020605.114536431</v>
      </c>
      <c r="AR326" s="6" t="n">
        <v>9527559.769461004</v>
      </c>
    </row>
    <row r="327">
      <c r="A327" t="inlineStr">
        <is>
          <t>Incendio</t>
        </is>
      </c>
      <c r="B327" s="8" t="n">
        <v>202206</v>
      </c>
      <c r="C327" s="8" t="n">
        <v>2022</v>
      </c>
      <c r="D327" s="9" t="n">
        <v>16358394.39224744</v>
      </c>
      <c r="E327" s="10" t="n">
        <v>0.2398908494669131</v>
      </c>
      <c r="F327" s="22">
        <f>D327*(1-E327)</f>
        <v/>
      </c>
      <c r="G327" s="10" t="n">
        <v>0.6970945809558762</v>
      </c>
      <c r="H327" s="10" t="n">
        <v>0.05464934392617897</v>
      </c>
      <c r="I327" s="10" t="n">
        <v>0.09926017797323444</v>
      </c>
      <c r="J327" s="10" t="n">
        <v>0.2010461094604508</v>
      </c>
      <c r="K327" s="9" t="n">
        <v>57572528.11182351</v>
      </c>
      <c r="L327" s="18" t="n">
        <v>82589263.61596212</v>
      </c>
      <c r="M327" s="18" t="n">
        <v>76673421.91121599</v>
      </c>
      <c r="N327" s="23">
        <f>IF(L327=0,"",M327/L327)</f>
        <v/>
      </c>
      <c r="O327" s="9" t="n">
        <v>66433488.3880548</v>
      </c>
      <c r="P327" s="22">
        <f>M327*G327*(1+H327+I327)</f>
        <v/>
      </c>
      <c r="Q327" s="9" t="n">
        <v>54858755.59937025</v>
      </c>
      <c r="R327" s="22">
        <f>P327-M327*G327*J327</f>
        <v/>
      </c>
      <c r="S327" s="22">
        <f>IF(A327=A326,O327-O326,"")</f>
        <v/>
      </c>
      <c r="T327" s="22">
        <f>IF(A327=A326,P327-P326,"")</f>
        <v/>
      </c>
      <c r="U327" s="22">
        <f>IF(A327=A326,Q327-Q326,"")</f>
        <v/>
      </c>
      <c r="V327" s="22">
        <f>IF(A327=A326,R327-R326,"")</f>
        <v/>
      </c>
      <c r="W327" s="22">
        <f>IF(S327="","",D327-S327)</f>
        <v/>
      </c>
      <c r="X327" s="22">
        <f>IF(T327="","",D327-T327)</f>
        <v/>
      </c>
      <c r="Y327" s="22">
        <f>IF(U327="","",F327-U327)</f>
        <v/>
      </c>
      <c r="Z327" s="22">
        <f>IF(V327="","",F327-V327)</f>
        <v/>
      </c>
      <c r="AA327" s="9" t="n">
        <v>76673421.91121599</v>
      </c>
      <c r="AB327" s="9" t="n">
        <v>67960184.74325529</v>
      </c>
      <c r="AC327" s="9" t="n">
        <v>18698062.30738391</v>
      </c>
      <c r="AD327" s="9" t="n">
        <v>14774487.041701</v>
      </c>
      <c r="AE327" s="9" t="n">
        <v>13197224.73212282</v>
      </c>
      <c r="AF327" s="9" t="n">
        <v>76725516.67250627</v>
      </c>
      <c r="AG327" s="9" t="n">
        <v>4280224.490079148</v>
      </c>
      <c r="AH327" s="9" t="n">
        <v>5589319.247421263</v>
      </c>
      <c r="AI327" s="9" t="n">
        <v>14713840.48887177</v>
      </c>
      <c r="AJ327" s="9" t="n">
        <v>15008065.23551313</v>
      </c>
      <c r="AK327" s="9" t="n">
        <v>15251696.0268985</v>
      </c>
      <c r="AL327" s="9" t="n">
        <v>4052352.531205235</v>
      </c>
      <c r="AM327" s="9" t="n">
        <v>3560089.593696283</v>
      </c>
      <c r="AN327" s="9" t="n">
        <v>4514720.690546097</v>
      </c>
      <c r="AO327" s="9" t="n">
        <v>11373169.8196269</v>
      </c>
      <c r="AP327" s="9" t="n">
        <v>11552676.04648146</v>
      </c>
      <c r="AQ327" s="9" t="n">
        <v>11731129.49908969</v>
      </c>
      <c r="AR327" s="9" t="n">
        <v>3367796.384696068</v>
      </c>
    </row>
    <row r="328">
      <c r="A328" s="4" t="inlineStr">
        <is>
          <t>Incendio</t>
        </is>
      </c>
      <c r="B328" s="5" t="n">
        <v>202207</v>
      </c>
      <c r="C328" s="5" t="n">
        <v>2022</v>
      </c>
      <c r="D328" s="6" t="n">
        <v>11959158.49247395</v>
      </c>
      <c r="E328" s="11" t="n">
        <v>0.2398908494669131</v>
      </c>
      <c r="F328" s="22">
        <f>D328*(1-E328)</f>
        <v/>
      </c>
      <c r="G328" s="11" t="n">
        <v>0.7689280892727405</v>
      </c>
      <c r="H328" s="11" t="n">
        <v>0.04594784079510377</v>
      </c>
      <c r="I328" s="11" t="n">
        <v>0.0393438571257655</v>
      </c>
      <c r="J328" s="11" t="n">
        <v>0.2002269271774123</v>
      </c>
      <c r="K328" s="6" t="n">
        <v>57264165.99697484</v>
      </c>
      <c r="L328" s="18" t="n">
        <v>74472719.61560909</v>
      </c>
      <c r="M328" s="18" t="n">
        <v>76490216.56270164</v>
      </c>
      <c r="N328" s="23">
        <f>IF(L328=0,"",M328/L328)</f>
        <v/>
      </c>
      <c r="O328" s="6" t="n">
        <v>62148323.94487934</v>
      </c>
      <c r="P328" s="22">
        <f>M328*G328*(1+H328+I328)</f>
        <v/>
      </c>
      <c r="Q328" s="6" t="n">
        <v>50682495.94992781</v>
      </c>
      <c r="R328" s="22">
        <f>P328-M328*G328*J328</f>
        <v/>
      </c>
      <c r="S328" s="22">
        <f>IF(A328=A327,O328-O327,"")</f>
        <v/>
      </c>
      <c r="T328" s="22">
        <f>IF(A328=A327,P328-P327,"")</f>
        <v/>
      </c>
      <c r="U328" s="22">
        <f>IF(A328=A327,Q328-Q327,"")</f>
        <v/>
      </c>
      <c r="V328" s="22">
        <f>IF(A328=A327,R328-R327,"")</f>
        <v/>
      </c>
      <c r="W328" s="22">
        <f>IF(S328="","",D328-S328)</f>
        <v/>
      </c>
      <c r="X328" s="22">
        <f>IF(T328="","",D328-T328)</f>
        <v/>
      </c>
      <c r="Y328" s="22">
        <f>IF(U328="","",F328-U328)</f>
        <v/>
      </c>
      <c r="Z328" s="22">
        <f>IF(V328="","",F328-V328)</f>
        <v/>
      </c>
      <c r="AA328" s="6" t="n">
        <v>76490216.56270164</v>
      </c>
      <c r="AB328" s="6" t="n">
        <v>67769110.99600571</v>
      </c>
      <c r="AC328" s="6" t="n">
        <v>19054386.18451295</v>
      </c>
      <c r="AD328" s="6" t="n">
        <v>15889235.510197</v>
      </c>
      <c r="AE328" s="6" t="n">
        <v>14222486.55784717</v>
      </c>
      <c r="AF328" s="6" t="n">
        <v>76659318.32513054</v>
      </c>
      <c r="AG328" s="6" t="n">
        <v>9802090.137583995</v>
      </c>
      <c r="AH328" s="6" t="n">
        <v>10071161.81730481</v>
      </c>
      <c r="AI328" s="6" t="n">
        <v>11098481.99483708</v>
      </c>
      <c r="AJ328" s="6" t="n">
        <v>10583774.44949592</v>
      </c>
      <c r="AK328" s="6" t="n">
        <v>10705970.5537978</v>
      </c>
      <c r="AL328" s="6" t="n">
        <v>9702877.007145585</v>
      </c>
      <c r="AM328" s="6" t="n">
        <v>7964000.994013764</v>
      </c>
      <c r="AN328" s="6" t="n">
        <v>8111514.413599133</v>
      </c>
      <c r="AO328" s="6" t="n">
        <v>8542705.765167119</v>
      </c>
      <c r="AP328" s="6" t="n">
        <v>8090573.106794996</v>
      </c>
      <c r="AQ328" s="6" t="n">
        <v>8177206.761649311</v>
      </c>
      <c r="AR328" s="6" t="n">
        <v>7883521.804674387</v>
      </c>
    </row>
    <row r="329">
      <c r="A329" t="inlineStr">
        <is>
          <t>Incendio</t>
        </is>
      </c>
      <c r="B329" s="8" t="n">
        <v>202208</v>
      </c>
      <c r="C329" s="8" t="n">
        <v>2022</v>
      </c>
      <c r="D329" s="9" t="n">
        <v>13404469.96225823</v>
      </c>
      <c r="E329" s="10" t="n">
        <v>0.2398908494669131</v>
      </c>
      <c r="F329" s="22">
        <f>D329*(1-E329)</f>
        <v/>
      </c>
      <c r="G329" s="10" t="n">
        <v>0.7037364956480501</v>
      </c>
      <c r="H329" s="10" t="n">
        <v>0.05020428710296848</v>
      </c>
      <c r="I329" s="10" t="n">
        <v>0.04600510028700309</v>
      </c>
      <c r="J329" s="10" t="n">
        <v>0.2212742904014522</v>
      </c>
      <c r="K329" s="9" t="n">
        <v>52969094.97746138</v>
      </c>
      <c r="L329" s="18" t="n">
        <v>75268364.37363349</v>
      </c>
      <c r="M329" s="18" t="n">
        <v>77768514.67235421</v>
      </c>
      <c r="N329" s="23">
        <f>IF(L329=0,"",M329/L329)</f>
        <v/>
      </c>
      <c r="O329" s="9" t="n">
        <v>58065219.15584416</v>
      </c>
      <c r="P329" s="22">
        <f>M329*G329*(1+H329+I329)</f>
        <v/>
      </c>
      <c r="Q329" s="9" t="n">
        <v>46344520.25149927</v>
      </c>
      <c r="R329" s="22">
        <f>P329-M329*G329*J329</f>
        <v/>
      </c>
      <c r="S329" s="22">
        <f>IF(A329=A328,O329-O328,"")</f>
        <v/>
      </c>
      <c r="T329" s="22">
        <f>IF(A329=A328,P329-P328,"")</f>
        <v/>
      </c>
      <c r="U329" s="22">
        <f>IF(A329=A328,Q329-Q328,"")</f>
        <v/>
      </c>
      <c r="V329" s="22">
        <f>IF(A329=A328,R329-R328,"")</f>
        <v/>
      </c>
      <c r="W329" s="22">
        <f>IF(S329="","",D329-S329)</f>
        <v/>
      </c>
      <c r="X329" s="22">
        <f>IF(T329="","",D329-T329)</f>
        <v/>
      </c>
      <c r="Y329" s="22">
        <f>IF(U329="","",F329-U329)</f>
        <v/>
      </c>
      <c r="Z329" s="22">
        <f>IF(V329="","",F329-V329)</f>
        <v/>
      </c>
      <c r="AA329" s="9" t="n">
        <v>77768514.67235421</v>
      </c>
      <c r="AB329" s="9" t="n">
        <v>68651798.28006996</v>
      </c>
      <c r="AC329" s="9" t="n">
        <v>18724053.60803941</v>
      </c>
      <c r="AD329" s="9" t="n">
        <v>15170737.20990105</v>
      </c>
      <c r="AE329" s="9" t="n">
        <v>13443813.14467902</v>
      </c>
      <c r="AF329" s="9" t="n">
        <v>77933479.82263869</v>
      </c>
      <c r="AG329" s="9" t="n">
        <v>17242476.36525764</v>
      </c>
      <c r="AH329" s="9" t="n">
        <v>16997638.43577935</v>
      </c>
      <c r="AI329" s="9" t="n">
        <v>14861038.29264029</v>
      </c>
      <c r="AJ329" s="9" t="n">
        <v>14960863.85166494</v>
      </c>
      <c r="AK329" s="9" t="n">
        <v>14902165.77335427</v>
      </c>
      <c r="AL329" s="9" t="n">
        <v>17256332.55539467</v>
      </c>
      <c r="AM329" s="9" t="n">
        <v>14360443.92840259</v>
      </c>
      <c r="AN329" s="9" t="n">
        <v>14038664.27937304</v>
      </c>
      <c r="AO329" s="9" t="n">
        <v>11627500.28279118</v>
      </c>
      <c r="AP329" s="9" t="n">
        <v>11661314.63999747</v>
      </c>
      <c r="AQ329" s="9" t="n">
        <v>11590314.87903697</v>
      </c>
      <c r="AR329" s="9" t="n">
        <v>14373953.36704804</v>
      </c>
    </row>
    <row r="330">
      <c r="A330" s="4" t="inlineStr">
        <is>
          <t>Incendio</t>
        </is>
      </c>
      <c r="B330" s="5" t="n">
        <v>202209</v>
      </c>
      <c r="C330" s="5" t="n">
        <v>2022</v>
      </c>
      <c r="D330" s="6" t="n">
        <v>22326393.84234142</v>
      </c>
      <c r="E330" s="11" t="n">
        <v>0.2398908494669131</v>
      </c>
      <c r="F330" s="22">
        <f>D330*(1-E330)</f>
        <v/>
      </c>
      <c r="G330" s="11" t="n">
        <v>0.6177461679257443</v>
      </c>
      <c r="H330" s="11" t="n">
        <v>0.05719271672147291</v>
      </c>
      <c r="I330" s="11" t="n">
        <v>0.03230662644251724</v>
      </c>
      <c r="J330" s="11" t="n">
        <v>0.2587127750466169</v>
      </c>
      <c r="K330" s="6" t="n">
        <v>51852654.25520815</v>
      </c>
      <c r="L330" s="18" t="n">
        <v>83938447.45215976</v>
      </c>
      <c r="M330" s="18" t="n">
        <v>87254485.4764224</v>
      </c>
      <c r="N330" s="23">
        <f>IF(L330=0,"",M330/L330)</f>
        <v/>
      </c>
      <c r="O330" s="6" t="n">
        <v>56493432.75235876</v>
      </c>
      <c r="P330" s="22">
        <f>M330*G330*(1+H330+I330)</f>
        <v/>
      </c>
      <c r="Q330" s="6" t="n">
        <v>43078488.67646109</v>
      </c>
      <c r="R330" s="22">
        <f>P330-M330*G330*J330</f>
        <v/>
      </c>
      <c r="S330" s="22">
        <f>IF(A330=A329,O330-O329,"")</f>
        <v/>
      </c>
      <c r="T330" s="22">
        <f>IF(A330=A329,P330-P329,"")</f>
        <v/>
      </c>
      <c r="U330" s="22">
        <f>IF(A330=A329,Q330-Q329,"")</f>
        <v/>
      </c>
      <c r="V330" s="22">
        <f>IF(A330=A329,R330-R329,"")</f>
        <v/>
      </c>
      <c r="W330" s="22">
        <f>IF(S330="","",D330-S330)</f>
        <v/>
      </c>
      <c r="X330" s="22">
        <f>IF(T330="","",D330-T330)</f>
        <v/>
      </c>
      <c r="Y330" s="22">
        <f>IF(U330="","",F330-U330)</f>
        <v/>
      </c>
      <c r="Z330" s="22">
        <f>IF(V330="","",F330-V330)</f>
        <v/>
      </c>
      <c r="AA330" s="6" t="n">
        <v>87254485.4764224</v>
      </c>
      <c r="AB330" s="6" t="n">
        <v>77284181.18368909</v>
      </c>
      <c r="AC330" s="6" t="n">
        <v>24713215.38375679</v>
      </c>
      <c r="AD330" s="6" t="n">
        <v>16975534.34106328</v>
      </c>
      <c r="AE330" s="6" t="n">
        <v>15138042.16921027</v>
      </c>
      <c r="AF330" s="6" t="n">
        <v>87280984.20702021</v>
      </c>
      <c r="AG330" s="6" t="n">
        <v>23595096.09242031</v>
      </c>
      <c r="AH330" s="6" t="n">
        <v>23272427.34581535</v>
      </c>
      <c r="AI330" s="6" t="n">
        <v>20138090.26123979</v>
      </c>
      <c r="AJ330" s="6" t="n">
        <v>22604633.55310269</v>
      </c>
      <c r="AK330" s="6" t="n">
        <v>22509105.63137637</v>
      </c>
      <c r="AL330" s="6" t="n">
        <v>23704522.68125489</v>
      </c>
      <c r="AM330" s="6" t="n">
        <v>20074088.59295319</v>
      </c>
      <c r="AN330" s="6" t="n">
        <v>19577621.60476669</v>
      </c>
      <c r="AO330" s="6" t="n">
        <v>15816142.68972981</v>
      </c>
      <c r="AP330" s="6" t="n">
        <v>17599377.02936327</v>
      </c>
      <c r="AQ330" s="6" t="n">
        <v>17479097.79934425</v>
      </c>
      <c r="AR330" s="6" t="n">
        <v>20162062.00358041</v>
      </c>
    </row>
    <row r="331">
      <c r="A331" t="inlineStr">
        <is>
          <t>Incendio</t>
        </is>
      </c>
      <c r="B331" s="8" t="n">
        <v>202210</v>
      </c>
      <c r="C331" s="8" t="n">
        <v>2022</v>
      </c>
      <c r="D331" s="9" t="n">
        <v>8550639.260017263</v>
      </c>
      <c r="E331" s="10" t="n">
        <v>0.2398908494669131</v>
      </c>
      <c r="F331" s="22">
        <f>D331*(1-E331)</f>
        <v/>
      </c>
      <c r="G331" s="10" t="n">
        <v>0.6170608882469674</v>
      </c>
      <c r="H331" s="10" t="n">
        <v>0.05725623993413643</v>
      </c>
      <c r="I331" s="10" t="n">
        <v>0.03848925191122712</v>
      </c>
      <c r="J331" s="10" t="n">
        <v>0.2511460814633615</v>
      </c>
      <c r="K331" s="9" t="n">
        <v>48419264.04193778</v>
      </c>
      <c r="L331" s="18" t="n">
        <v>78467562.86805663</v>
      </c>
      <c r="M331" s="18" t="n">
        <v>82679425.61181447</v>
      </c>
      <c r="N331" s="23">
        <f>IF(L331=0,"",M331/L331)</f>
        <v/>
      </c>
      <c r="O331" s="9" t="n">
        <v>53055190.29242364</v>
      </c>
      <c r="P331" s="22">
        <f>M331*G331*(1+H331+I331)</f>
        <v/>
      </c>
      <c r="Q331" s="9" t="n">
        <v>40894881.86095113</v>
      </c>
      <c r="R331" s="22">
        <f>P331-M331*G331*J331</f>
        <v/>
      </c>
      <c r="S331" s="22">
        <f>IF(A331=A330,O331-O330,"")</f>
        <v/>
      </c>
      <c r="T331" s="22">
        <f>IF(A331=A330,P331-P330,"")</f>
        <v/>
      </c>
      <c r="U331" s="22">
        <f>IF(A331=A330,Q331-Q330,"")</f>
        <v/>
      </c>
      <c r="V331" s="22">
        <f>IF(A331=A330,R331-R330,"")</f>
        <v/>
      </c>
      <c r="W331" s="22">
        <f>IF(S331="","",D331-S331)</f>
        <v/>
      </c>
      <c r="X331" s="22">
        <f>IF(T331="","",D331-T331)</f>
        <v/>
      </c>
      <c r="Y331" s="22">
        <f>IF(U331="","",F331-U331)</f>
        <v/>
      </c>
      <c r="Z331" s="22">
        <f>IF(V331="","",F331-V331)</f>
        <v/>
      </c>
      <c r="AA331" s="9" t="n">
        <v>82679425.61181447</v>
      </c>
      <c r="AB331" s="9" t="n">
        <v>72704126.48266637</v>
      </c>
      <c r="AC331" s="9" t="n">
        <v>24956055.39927853</v>
      </c>
      <c r="AD331" s="9" t="n">
        <v>15556541.97845725</v>
      </c>
      <c r="AE331" s="9" t="n">
        <v>13770296.7416856</v>
      </c>
      <c r="AF331" s="9" t="n">
        <v>82745113.66878137</v>
      </c>
      <c r="AG331" s="9" t="n">
        <v>11372872.22330164</v>
      </c>
      <c r="AH331" s="9" t="n">
        <v>11407233.57971844</v>
      </c>
      <c r="AI331" s="9" t="n">
        <v>8309645.169039041</v>
      </c>
      <c r="AJ331" s="9" t="n">
        <v>9457325.260713415</v>
      </c>
      <c r="AK331" s="9" t="n">
        <v>9428385.339987321</v>
      </c>
      <c r="AL331" s="9" t="n">
        <v>11346292.33750207</v>
      </c>
      <c r="AM331" s="9" t="n">
        <v>8189773.740766103</v>
      </c>
      <c r="AN331" s="9" t="n">
        <v>8271681.130671787</v>
      </c>
      <c r="AO331" s="9" t="n">
        <v>6176288.400898836</v>
      </c>
      <c r="AP331" s="9" t="n">
        <v>7103930.207713931</v>
      </c>
      <c r="AQ331" s="9" t="n">
        <v>7091837.373142517</v>
      </c>
      <c r="AR331" s="9" t="n">
        <v>8169138.696391444</v>
      </c>
    </row>
    <row r="332">
      <c r="A332" s="4" t="inlineStr">
        <is>
          <t>Incendio</t>
        </is>
      </c>
      <c r="B332" s="5" t="n">
        <v>202211</v>
      </c>
      <c r="C332" s="5" t="n">
        <v>2022</v>
      </c>
      <c r="D332" s="6" t="n">
        <v>9479393.805589365</v>
      </c>
      <c r="E332" s="11" t="n">
        <v>0.2398908494669131</v>
      </c>
      <c r="F332" s="22">
        <f>D332*(1-E332)</f>
        <v/>
      </c>
      <c r="G332" s="11" t="n">
        <v>0.597200747953241</v>
      </c>
      <c r="H332" s="11" t="n">
        <v>0.05916032035337669</v>
      </c>
      <c r="I332" s="11" t="n">
        <v>0.04950507466399554</v>
      </c>
      <c r="J332" s="11" t="n">
        <v>0.2538496778266436</v>
      </c>
      <c r="K332" s="6" t="n">
        <v>45544861.85745879</v>
      </c>
      <c r="L332" s="18" t="n">
        <v>76263906.25522931</v>
      </c>
      <c r="M332" s="18" t="n">
        <v>78907226.70354293</v>
      </c>
      <c r="N332" s="23">
        <f>IF(L332=0,"",M332/L332)</f>
        <v/>
      </c>
      <c r="O332" s="6" t="n">
        <v>50494012.2622112</v>
      </c>
      <c r="P332" s="22">
        <f>M332*G332*(1+H332+I332)</f>
        <v/>
      </c>
      <c r="Q332" s="6" t="n">
        <v>38932463.75303629</v>
      </c>
      <c r="R332" s="22">
        <f>P332-M332*G332*J332</f>
        <v/>
      </c>
      <c r="S332" s="22">
        <f>IF(A332=A331,O332-O331,"")</f>
        <v/>
      </c>
      <c r="T332" s="22">
        <f>IF(A332=A331,P332-P331,"")</f>
        <v/>
      </c>
      <c r="U332" s="22">
        <f>IF(A332=A331,Q332-Q331,"")</f>
        <v/>
      </c>
      <c r="V332" s="22">
        <f>IF(A332=A331,R332-R331,"")</f>
        <v/>
      </c>
      <c r="W332" s="22">
        <f>IF(S332="","",D332-S332)</f>
        <v/>
      </c>
      <c r="X332" s="22">
        <f>IF(T332="","",D332-T332)</f>
        <v/>
      </c>
      <c r="Y332" s="22">
        <f>IF(U332="","",F332-U332)</f>
        <v/>
      </c>
      <c r="Z332" s="22">
        <f>IF(V332="","",F332-V332)</f>
        <v/>
      </c>
      <c r="AA332" s="6" t="n">
        <v>78907226.70354293</v>
      </c>
      <c r="AB332" s="6" t="n">
        <v>68935503.66788571</v>
      </c>
      <c r="AC332" s="6" t="n">
        <v>24720463.89500251</v>
      </c>
      <c r="AD332" s="6" t="n">
        <v>13823368.75856381</v>
      </c>
      <c r="AE332" s="6" t="n">
        <v>12123839.86646797</v>
      </c>
      <c r="AF332" s="6" t="n">
        <v>79112883.20998134</v>
      </c>
      <c r="AG332" s="6" t="n">
        <v>13138256.43946622</v>
      </c>
      <c r="AH332" s="6" t="n">
        <v>12995776.8349605</v>
      </c>
      <c r="AI332" s="6" t="n">
        <v>9985907.795000231</v>
      </c>
      <c r="AJ332" s="6" t="n">
        <v>10845425.89464477</v>
      </c>
      <c r="AK332" s="6" t="n">
        <v>10762921.97453005</v>
      </c>
      <c r="AL332" s="6" t="n">
        <v>13046506.56328601</v>
      </c>
      <c r="AM332" s="6" t="n">
        <v>10013479.41678164</v>
      </c>
      <c r="AN332" s="6" t="n">
        <v>9905190.690526763</v>
      </c>
      <c r="AO332" s="6" t="n">
        <v>7591990.543031044</v>
      </c>
      <c r="AP332" s="6" t="n">
        <v>8256182.927597439</v>
      </c>
      <c r="AQ332" s="6" t="n">
        <v>8192850.511773564</v>
      </c>
      <c r="AR332" s="6" t="n">
        <v>9942727.06862116</v>
      </c>
    </row>
    <row r="333">
      <c r="A333" t="inlineStr">
        <is>
          <t>Incendio</t>
        </is>
      </c>
      <c r="B333" s="8" t="n">
        <v>202212</v>
      </c>
      <c r="C333" s="8" t="n">
        <v>2022</v>
      </c>
      <c r="D333" s="9" t="n">
        <v>16816115.21460103</v>
      </c>
      <c r="E333" s="10" t="n">
        <v>0.2398908494669131</v>
      </c>
      <c r="F333" s="22">
        <f>D333*(1-E333)</f>
        <v/>
      </c>
      <c r="G333" s="10" t="n">
        <v>0.5965035748484885</v>
      </c>
      <c r="H333" s="10" t="n">
        <v>0.05922948726034702</v>
      </c>
      <c r="I333" s="10" t="n">
        <v>0.04821568634656086</v>
      </c>
      <c r="J333" s="10" t="n">
        <v>0.2465977773652462</v>
      </c>
      <c r="K333" s="9" t="n">
        <v>47360435.70626739</v>
      </c>
      <c r="L333" s="18" t="n">
        <v>79396734.07371768</v>
      </c>
      <c r="M333" s="18" t="n">
        <v>82368503.25455028</v>
      </c>
      <c r="N333" s="23">
        <f>IF(L333=0,"",M333/L333)</f>
        <v/>
      </c>
      <c r="O333" s="9" t="n">
        <v>52449085.94282609</v>
      </c>
      <c r="P333" s="22">
        <f>M333*G333*(1+H333+I333)</f>
        <v/>
      </c>
      <c r="Q333" s="9" t="n">
        <v>40770107.76261091</v>
      </c>
      <c r="R333" s="22">
        <f>P333-M333*G333*J333</f>
        <v/>
      </c>
      <c r="S333" s="22">
        <f>IF(A333=A332,O333-O332,"")</f>
        <v/>
      </c>
      <c r="T333" s="22">
        <f>IF(A333=A332,P333-P332,"")</f>
        <v/>
      </c>
      <c r="U333" s="22">
        <f>IF(A333=A332,Q333-Q332,"")</f>
        <v/>
      </c>
      <c r="V333" s="22">
        <f>IF(A333=A332,R333-R332,"")</f>
        <v/>
      </c>
      <c r="W333" s="22">
        <f>IF(S333="","",D333-S333)</f>
        <v/>
      </c>
      <c r="X333" s="22">
        <f>IF(T333="","",D333-T333)</f>
        <v/>
      </c>
      <c r="Y333" s="22">
        <f>IF(U333="","",F333-U333)</f>
        <v/>
      </c>
      <c r="Z333" s="22">
        <f>IF(V333="","",F333-V333)</f>
        <v/>
      </c>
      <c r="AA333" s="9" t="n">
        <v>82368503.25455028</v>
      </c>
      <c r="AB333" s="9" t="n">
        <v>71839147.1578124</v>
      </c>
      <c r="AC333" s="9" t="n">
        <v>30501025.69654423</v>
      </c>
      <c r="AD333" s="9" t="n">
        <v>13476436.59208214</v>
      </c>
      <c r="AE333" s="9" t="n">
        <v>11806440.62863774</v>
      </c>
      <c r="AF333" s="9" t="n">
        <v>82540696.13024025</v>
      </c>
      <c r="AG333" s="9" t="n">
        <v>14648037.03226706</v>
      </c>
      <c r="AH333" s="9" t="n">
        <v>15001441.10376764</v>
      </c>
      <c r="AI333" s="9" t="n">
        <v>13034605.3883408</v>
      </c>
      <c r="AJ333" s="9" t="n">
        <v>17066042.95682414</v>
      </c>
      <c r="AK333" s="9" t="n">
        <v>17043983.00189233</v>
      </c>
      <c r="AL333" s="9" t="n">
        <v>14670451.5884889</v>
      </c>
      <c r="AM333" s="9" t="n">
        <v>10767845.94206942</v>
      </c>
      <c r="AN333" s="9" t="n">
        <v>11084124.45942157</v>
      </c>
      <c r="AO333" s="9" t="n">
        <v>9739563.019545896</v>
      </c>
      <c r="AP333" s="9" t="n">
        <v>12918734.96552986</v>
      </c>
      <c r="AQ333" s="9" t="n">
        <v>12908671.77336399</v>
      </c>
      <c r="AR333" s="9" t="n">
        <v>10784412.09456751</v>
      </c>
    </row>
    <row r="334">
      <c r="A334" s="4" t="inlineStr">
        <is>
          <t>Incendio</t>
        </is>
      </c>
      <c r="B334" s="5" t="n">
        <v>202301</v>
      </c>
      <c r="C334" s="5" t="n">
        <v>2023</v>
      </c>
      <c r="D334" s="6" t="n">
        <v>16991247.06522639</v>
      </c>
      <c r="E334" s="11" t="n">
        <v>0.2398908494669131</v>
      </c>
      <c r="F334" s="22">
        <f>D334*(1-E334)</f>
        <v/>
      </c>
      <c r="G334" s="11" t="n">
        <v>0.6006741220600961</v>
      </c>
      <c r="H334" s="11" t="n">
        <v>0.04827902599537787</v>
      </c>
      <c r="I334" s="11" t="n">
        <v>0.05187775891792697</v>
      </c>
      <c r="J334" s="11" t="n">
        <v>0.2305950416033258</v>
      </c>
      <c r="K334" s="6" t="n">
        <v>49930751.22830299</v>
      </c>
      <c r="L334" s="18" t="n">
        <v>83124525.253491</v>
      </c>
      <c r="M334" s="18" t="n">
        <v>85587893.52402756</v>
      </c>
      <c r="N334" s="23">
        <f>IF(L334=0,"",M334/L334)</f>
        <v/>
      </c>
      <c r="O334" s="6" t="n">
        <v>54931654.73963586</v>
      </c>
      <c r="P334" s="22">
        <f>M334*G334*(1+H334+I334)</f>
        <v/>
      </c>
      <c r="Q334" s="6" t="n">
        <v>43417871.08286002</v>
      </c>
      <c r="R334" s="22">
        <f>P334-M334*G334*J334</f>
        <v/>
      </c>
      <c r="S334" s="22">
        <f>IF(A334=A333,O334-O333,"")</f>
        <v/>
      </c>
      <c r="T334" s="22">
        <f>IF(A334=A333,P334-P333,"")</f>
        <v/>
      </c>
      <c r="U334" s="22">
        <f>IF(A334=A333,Q334-Q333,"")</f>
        <v/>
      </c>
      <c r="V334" s="22">
        <f>IF(A334=A333,R334-R333,"")</f>
        <v/>
      </c>
      <c r="W334" s="22">
        <f>IF(S334="","",D334-S334)</f>
        <v/>
      </c>
      <c r="X334" s="22">
        <f>IF(T334="","",D334-T334)</f>
        <v/>
      </c>
      <c r="Y334" s="22">
        <f>IF(U334="","",F334-U334)</f>
        <v/>
      </c>
      <c r="Z334" s="22">
        <f>IF(V334="","",F334-V334)</f>
        <v/>
      </c>
      <c r="AA334" s="6" t="n">
        <v>85587893.52402756</v>
      </c>
      <c r="AB334" s="6" t="n">
        <v>74594727.65439069</v>
      </c>
      <c r="AC334" s="6" t="n">
        <v>29135815.96724872</v>
      </c>
      <c r="AD334" s="6" t="n">
        <v>14574552.16224602</v>
      </c>
      <c r="AE334" s="6" t="n">
        <v>12846303.00236625</v>
      </c>
      <c r="AF334" s="6" t="n">
        <v>85640655.40668553</v>
      </c>
      <c r="AG334" s="6" t="n">
        <v>14843932.42301917</v>
      </c>
      <c r="AH334" s="6" t="n">
        <v>15152968.96216468</v>
      </c>
      <c r="AI334" s="6" t="n">
        <v>17886084.63034885</v>
      </c>
      <c r="AJ334" s="6" t="n">
        <v>16262329.22394732</v>
      </c>
      <c r="AK334" s="6" t="n">
        <v>16301226.99430935</v>
      </c>
      <c r="AL334" s="6" t="n">
        <v>14922815.2403624</v>
      </c>
      <c r="AM334" s="6" t="n">
        <v>10506763.72773392</v>
      </c>
      <c r="AN334" s="6" t="n">
        <v>10841940.6264928</v>
      </c>
      <c r="AO334" s="6" t="n">
        <v>13359121.11821042</v>
      </c>
      <c r="AP334" s="6" t="n">
        <v>12222705.75302045</v>
      </c>
      <c r="AQ334" s="6" t="n">
        <v>12267869.94360762</v>
      </c>
      <c r="AR334" s="6" t="n">
        <v>10567625.76226673</v>
      </c>
    </row>
    <row r="335">
      <c r="A335" t="inlineStr">
        <is>
          <t>Incendio</t>
        </is>
      </c>
      <c r="B335" s="8" t="n">
        <v>202302</v>
      </c>
      <c r="C335" s="8" t="n">
        <v>2023</v>
      </c>
      <c r="D335" s="9" t="n">
        <v>9436185.398323083</v>
      </c>
      <c r="E335" s="10" t="n">
        <v>0.2398908494669131</v>
      </c>
      <c r="F335" s="22">
        <f>D335*(1-E335)</f>
        <v/>
      </c>
      <c r="G335" s="10" t="n">
        <v>0.609101088100956</v>
      </c>
      <c r="H335" s="10" t="n">
        <v>0.04761108360503165</v>
      </c>
      <c r="I335" s="10" t="n">
        <v>0.05190771615384534</v>
      </c>
      <c r="J335" s="10" t="n">
        <v>0.2242002856709688</v>
      </c>
      <c r="K335" s="9" t="n">
        <v>47049452.54484238</v>
      </c>
      <c r="L335" s="18" t="n">
        <v>77244078.96156003</v>
      </c>
      <c r="M335" s="18" t="n">
        <v>81035769.9205319</v>
      </c>
      <c r="N335" s="23">
        <f>IF(L335=0,"",M335/L335)</f>
        <v/>
      </c>
      <c r="O335" s="9" t="n">
        <v>51731757.59141733</v>
      </c>
      <c r="P335" s="22">
        <f>M335*G335*(1+H335+I335)</f>
        <v/>
      </c>
      <c r="Q335" s="9" t="n">
        <v>41183256.89020098</v>
      </c>
      <c r="R335" s="22">
        <f>P335-M335*G335*J335</f>
        <v/>
      </c>
      <c r="S335" s="22">
        <f>IF(A335=A334,O335-O334,"")</f>
        <v/>
      </c>
      <c r="T335" s="22">
        <f>IF(A335=A334,P335-P334,"")</f>
        <v/>
      </c>
      <c r="U335" s="22">
        <f>IF(A335=A334,Q335-Q334,"")</f>
        <v/>
      </c>
      <c r="V335" s="22">
        <f>IF(A335=A334,R335-R334,"")</f>
        <v/>
      </c>
      <c r="W335" s="22">
        <f>IF(S335="","",D335-S335)</f>
        <v/>
      </c>
      <c r="X335" s="22">
        <f>IF(T335="","",D335-T335)</f>
        <v/>
      </c>
      <c r="Y335" s="22">
        <f>IF(U335="","",F335-U335)</f>
        <v/>
      </c>
      <c r="Z335" s="22">
        <f>IF(V335="","",F335-V335)</f>
        <v/>
      </c>
      <c r="AA335" s="9" t="n">
        <v>81035769.9205319</v>
      </c>
      <c r="AB335" s="9" t="n">
        <v>70274469.0705592</v>
      </c>
      <c r="AC335" s="9" t="n">
        <v>25330589.0274196</v>
      </c>
      <c r="AD335" s="9" t="n">
        <v>13054391.86623197</v>
      </c>
      <c r="AE335" s="9" t="n">
        <v>11368290.87912779</v>
      </c>
      <c r="AF335" s="9" t="n">
        <v>81161965.28071423</v>
      </c>
      <c r="AG335" s="9" t="n">
        <v>11724600.21415524</v>
      </c>
      <c r="AH335" s="9" t="n">
        <v>11666961.5615215</v>
      </c>
      <c r="AI335" s="9" t="n">
        <v>11725819.16842053</v>
      </c>
      <c r="AJ335" s="9" t="n">
        <v>10324807.45527101</v>
      </c>
      <c r="AK335" s="9" t="n">
        <v>10311931.0380525</v>
      </c>
      <c r="AL335" s="9" t="n">
        <v>11674951.83387828</v>
      </c>
      <c r="AM335" s="9" t="n">
        <v>8672251.230013892</v>
      </c>
      <c r="AN335" s="9" t="n">
        <v>8667733.071611091</v>
      </c>
      <c r="AO335" s="9" t="n">
        <v>8885652.078359969</v>
      </c>
      <c r="AP335" s="9" t="n">
        <v>7825111.725842462</v>
      </c>
      <c r="AQ335" s="9" t="n">
        <v>7821364.349280002</v>
      </c>
      <c r="AR335" s="9" t="n">
        <v>8632527.989721723</v>
      </c>
    </row>
    <row r="336">
      <c r="A336" s="4" t="inlineStr">
        <is>
          <t>Incendio</t>
        </is>
      </c>
      <c r="B336" s="5" t="n">
        <v>202303</v>
      </c>
      <c r="C336" s="5" t="n">
        <v>2023</v>
      </c>
      <c r="D336" s="6" t="n">
        <v>16228218.55275942</v>
      </c>
      <c r="E336" s="11" t="n">
        <v>0.2398908494669131</v>
      </c>
      <c r="F336" s="22">
        <f>D336*(1-E336)</f>
        <v/>
      </c>
      <c r="G336" s="11" t="n">
        <v>0.600858672662555</v>
      </c>
      <c r="H336" s="11" t="n">
        <v>0.0482641223348283</v>
      </c>
      <c r="I336" s="11" t="n">
        <v>0.04802260323870249</v>
      </c>
      <c r="J336" s="11" t="n">
        <v>0.2581675590677883</v>
      </c>
      <c r="K336" s="6" t="n">
        <v>52153184.71873075</v>
      </c>
      <c r="L336" s="18" t="n">
        <v>86797756.4301884</v>
      </c>
      <c r="M336" s="18" t="n">
        <v>83020580.28905517</v>
      </c>
      <c r="N336" s="23">
        <f>IF(L336=0,"",M336/L336)</f>
        <v/>
      </c>
      <c r="O336" s="6" t="n">
        <v>57174844.10352884</v>
      </c>
      <c r="P336" s="22">
        <f>M336*G336*(1+H336+I336)</f>
        <v/>
      </c>
      <c r="Q336" s="6" t="n">
        <v>43710583.70708264</v>
      </c>
      <c r="R336" s="22">
        <f>P336-M336*G336*J336</f>
        <v/>
      </c>
      <c r="S336" s="22">
        <f>IF(A336=A335,O336-O335,"")</f>
        <v/>
      </c>
      <c r="T336" s="22">
        <f>IF(A336=A335,P336-P335,"")</f>
        <v/>
      </c>
      <c r="U336" s="22">
        <f>IF(A336=A335,Q336-Q335,"")</f>
        <v/>
      </c>
      <c r="V336" s="22">
        <f>IF(A336=A335,R336-R335,"")</f>
        <v/>
      </c>
      <c r="W336" s="22">
        <f>IF(S336="","",D336-S336)</f>
        <v/>
      </c>
      <c r="X336" s="22">
        <f>IF(T336="","",D336-T336)</f>
        <v/>
      </c>
      <c r="Y336" s="22">
        <f>IF(U336="","",F336-U336)</f>
        <v/>
      </c>
      <c r="Z336" s="22">
        <f>IF(V336="","",F336-V336)</f>
        <v/>
      </c>
      <c r="AA336" s="6" t="n">
        <v>83020580.28905517</v>
      </c>
      <c r="AB336" s="6" t="n">
        <v>72118222.82591355</v>
      </c>
      <c r="AC336" s="6" t="n">
        <v>21710516.61659595</v>
      </c>
      <c r="AD336" s="6" t="n">
        <v>13804184.80329</v>
      </c>
      <c r="AE336" s="6" t="n">
        <v>12130939.32149305</v>
      </c>
      <c r="AF336" s="6" t="n">
        <v>83328457.54284795</v>
      </c>
      <c r="AG336" s="6" t="n">
        <v>15812572.58373019</v>
      </c>
      <c r="AH336" s="6" t="n">
        <v>15787063.46228632</v>
      </c>
      <c r="AI336" s="6" t="n">
        <v>18891564.51082774</v>
      </c>
      <c r="AJ336" s="6" t="n">
        <v>15877979.71149895</v>
      </c>
      <c r="AK336" s="6" t="n">
        <v>15850956.5647635</v>
      </c>
      <c r="AL336" s="6" t="n">
        <v>15694285.03168208</v>
      </c>
      <c r="AM336" s="6" t="n">
        <v>13731611.4722135</v>
      </c>
      <c r="AN336" s="6" t="n">
        <v>13484474.60131657</v>
      </c>
      <c r="AO336" s="6" t="n">
        <v>14907185.44639056</v>
      </c>
      <c r="AP336" s="6" t="n">
        <v>12343598.24489341</v>
      </c>
      <c r="AQ336" s="6" t="n">
        <v>12287272.57611563</v>
      </c>
      <c r="AR336" s="6" t="n">
        <v>13643849.20340291</v>
      </c>
    </row>
    <row r="337">
      <c r="A337" t="inlineStr">
        <is>
          <t>Incendio</t>
        </is>
      </c>
      <c r="B337" s="8" t="n">
        <v>202304</v>
      </c>
      <c r="C337" s="8" t="n">
        <v>2023</v>
      </c>
      <c r="D337" s="9" t="n">
        <v>14193017.48698369</v>
      </c>
      <c r="E337" s="10" t="n">
        <v>0.2398908494669131</v>
      </c>
      <c r="F337" s="22">
        <f>D337*(1-E337)</f>
        <v/>
      </c>
      <c r="G337" s="10" t="n">
        <v>0.5903476645812551</v>
      </c>
      <c r="H337" s="10" t="n">
        <v>0.04912351262354858</v>
      </c>
      <c r="I337" s="10" t="n">
        <v>0.04549245846737041</v>
      </c>
      <c r="J337" s="10" t="n">
        <v>0.2472433550405251</v>
      </c>
      <c r="K337" s="9" t="n">
        <v>53768756.77610879</v>
      </c>
      <c r="L337" s="18" t="n">
        <v>91079816.18636197</v>
      </c>
      <c r="M337" s="18" t="n">
        <v>83124527.5590501</v>
      </c>
      <c r="N337" s="23">
        <f>IF(L337=0,"",M337/L337)</f>
        <v/>
      </c>
      <c r="O337" s="9" t="n">
        <v>58856139.91283175</v>
      </c>
      <c r="P337" s="22">
        <f>M337*G337*(1+H337+I337)</f>
        <v/>
      </c>
      <c r="Q337" s="9" t="n">
        <v>45562172.09114865</v>
      </c>
      <c r="R337" s="22">
        <f>P337-M337*G337*J337</f>
        <v/>
      </c>
      <c r="S337" s="22">
        <f>IF(A337=A336,O337-O336,"")</f>
        <v/>
      </c>
      <c r="T337" s="22">
        <f>IF(A337=A336,P337-P336,"")</f>
        <v/>
      </c>
      <c r="U337" s="22">
        <f>IF(A337=A336,Q337-Q336,"")</f>
        <v/>
      </c>
      <c r="V337" s="22">
        <f>IF(A337=A336,R337-R336,"")</f>
        <v/>
      </c>
      <c r="W337" s="22">
        <f>IF(S337="","",D337-S337)</f>
        <v/>
      </c>
      <c r="X337" s="22">
        <f>IF(T337="","",D337-T337)</f>
        <v/>
      </c>
      <c r="Y337" s="22">
        <f>IF(U337="","",F337-U337)</f>
        <v/>
      </c>
      <c r="Z337" s="22">
        <f>IF(V337="","",F337-V337)</f>
        <v/>
      </c>
      <c r="AA337" s="9" t="n">
        <v>83124527.5590501</v>
      </c>
      <c r="AB337" s="9" t="n">
        <v>72219478.94094862</v>
      </c>
      <c r="AC337" s="9" t="n">
        <v>19250808.91259567</v>
      </c>
      <c r="AD337" s="9" t="n">
        <v>13540635.96843999</v>
      </c>
      <c r="AE337" s="9" t="n">
        <v>11841932.77348869</v>
      </c>
      <c r="AF337" s="9" t="n">
        <v>83541997.36160083</v>
      </c>
      <c r="AG337" s="9" t="n">
        <v>15164384.37936543</v>
      </c>
      <c r="AH337" s="9" t="n">
        <v>15029741.41339352</v>
      </c>
      <c r="AI337" s="9" t="n">
        <v>16054076.03750091</v>
      </c>
      <c r="AJ337" s="9" t="n">
        <v>14536005.92696739</v>
      </c>
      <c r="AK337" s="9" t="n">
        <v>14531525.4977922</v>
      </c>
      <c r="AL337" s="9" t="n">
        <v>15097416.59909119</v>
      </c>
      <c r="AM337" s="9" t="n">
        <v>11014090.47307231</v>
      </c>
      <c r="AN337" s="9" t="n">
        <v>10978949.51606443</v>
      </c>
      <c r="AO337" s="9" t="n">
        <v>12091356.70938981</v>
      </c>
      <c r="AP337" s="9" t="n">
        <v>10966280.11657425</v>
      </c>
      <c r="AQ337" s="9" t="n">
        <v>10973415.30366782</v>
      </c>
      <c r="AR337" s="9" t="n">
        <v>10960297.78985551</v>
      </c>
    </row>
    <row r="338">
      <c r="A338" s="4" t="inlineStr">
        <is>
          <t>Incendio</t>
        </is>
      </c>
      <c r="B338" s="5" t="n">
        <v>202305</v>
      </c>
      <c r="C338" s="5" t="n">
        <v>2023</v>
      </c>
      <c r="D338" s="6" t="n">
        <v>14221337.04220062</v>
      </c>
      <c r="E338" s="11" t="n">
        <v>0.2398908494669131</v>
      </c>
      <c r="F338" s="22">
        <f>D338*(1-E338)</f>
        <v/>
      </c>
      <c r="G338" s="11" t="n">
        <v>0.580442868</v>
      </c>
      <c r="H338" s="11" t="n">
        <v>0.04996173478518267</v>
      </c>
      <c r="I338" s="11" t="n">
        <v>0.04513459900661828</v>
      </c>
      <c r="J338" s="11" t="n">
        <v>0.2574159194764994</v>
      </c>
      <c r="K338" s="6" t="n">
        <v>49200096.06469704</v>
      </c>
      <c r="L338" s="18" t="n">
        <v>84763029.70906182</v>
      </c>
      <c r="M338" s="18" t="n">
        <v>83781970.99045278</v>
      </c>
      <c r="N338" s="23">
        <f>IF(L338=0,"",M338/L338)</f>
        <v/>
      </c>
      <c r="O338" s="6" t="n">
        <v>53878844.82265414</v>
      </c>
      <c r="P338" s="22">
        <f>M338*G338*(1+H338+I338)</f>
        <v/>
      </c>
      <c r="Q338" s="6" t="n">
        <v>41213956.85582805</v>
      </c>
      <c r="R338" s="22">
        <f>P338-M338*G338*J338</f>
        <v/>
      </c>
      <c r="S338" s="22">
        <f>IF(A338=A337,O338-O337,"")</f>
        <v/>
      </c>
      <c r="T338" s="22">
        <f>IF(A338=A337,P338-P337,"")</f>
        <v/>
      </c>
      <c r="U338" s="22">
        <f>IF(A338=A337,Q338-Q337,"")</f>
        <v/>
      </c>
      <c r="V338" s="22">
        <f>IF(A338=A337,R338-R337,"")</f>
        <v/>
      </c>
      <c r="W338" s="22">
        <f>IF(S338="","",D338-S338)</f>
        <v/>
      </c>
      <c r="X338" s="22">
        <f>IF(T338="","",D338-T338)</f>
        <v/>
      </c>
      <c r="Y338" s="22">
        <f>IF(U338="","",F338-U338)</f>
        <v/>
      </c>
      <c r="Z338" s="22">
        <f>IF(V338="","",F338-V338)</f>
        <v/>
      </c>
      <c r="AA338" s="6" t="n">
        <v>83781970.99045278</v>
      </c>
      <c r="AB338" s="6" t="n">
        <v>72854581.93825877</v>
      </c>
      <c r="AC338" s="6" t="n">
        <v>16872488.92030887</v>
      </c>
      <c r="AD338" s="6" t="n">
        <v>13069011.08954068</v>
      </c>
      <c r="AE338" s="6" t="n">
        <v>11332498.2081924</v>
      </c>
      <c r="AF338" s="6" t="n">
        <v>83710397.06872511</v>
      </c>
      <c r="AG338" s="6" t="n">
        <v>14681493.94667323</v>
      </c>
      <c r="AH338" s="6" t="n">
        <v>14580503.04302643</v>
      </c>
      <c r="AI338" s="6" t="n">
        <v>15936443.10872403</v>
      </c>
      <c r="AJ338" s="6" t="n">
        <v>14664152.52033748</v>
      </c>
      <c r="AK338" s="6" t="n">
        <v>14670242.28688405</v>
      </c>
      <c r="AL338" s="6" t="n">
        <v>14996759.90443355</v>
      </c>
      <c r="AM338" s="6" t="n">
        <v>11655410.59622445</v>
      </c>
      <c r="AN338" s="6" t="n">
        <v>11513397.14389275</v>
      </c>
      <c r="AO338" s="6" t="n">
        <v>12236042.21470676</v>
      </c>
      <c r="AP338" s="6" t="n">
        <v>11228908.29449522</v>
      </c>
      <c r="AQ338" s="6" t="n">
        <v>11223478.51377027</v>
      </c>
      <c r="AR338" s="6" t="n">
        <v>11899048.62049235</v>
      </c>
    </row>
    <row r="339">
      <c r="A339" t="inlineStr">
        <is>
          <t>Incendio</t>
        </is>
      </c>
      <c r="B339" s="8" t="n">
        <v>202306</v>
      </c>
      <c r="C339" s="8" t="n">
        <v>2023</v>
      </c>
      <c r="D339" s="9" t="n">
        <v>17279387.01624191</v>
      </c>
      <c r="E339" s="10" t="n">
        <v>0.2398908494669131</v>
      </c>
      <c r="F339" s="22">
        <f>D339*(1-E339)</f>
        <v/>
      </c>
      <c r="G339" s="10" t="n">
        <v>0.6629654196517042</v>
      </c>
      <c r="H339" s="10" t="n">
        <v>0.04374274846169937</v>
      </c>
      <c r="I339" s="10" t="n">
        <v>0.06443046303560114</v>
      </c>
      <c r="J339" s="10" t="n">
        <v>0.2478873808819941</v>
      </c>
      <c r="K339" s="9" t="n">
        <v>57896521.87478089</v>
      </c>
      <c r="L339" s="18" t="n">
        <v>87329625.5861994</v>
      </c>
      <c r="M339" s="18" t="n">
        <v>86792981.64343122</v>
      </c>
      <c r="N339" s="23">
        <f>IF(L339=0,"",M339/L339)</f>
        <v/>
      </c>
      <c r="O339" s="9" t="n">
        <v>64159374.58049966</v>
      </c>
      <c r="P339" s="22">
        <f>M339*G339*(1+H339+I339)</f>
        <v/>
      </c>
      <c r="Q339" s="9" t="n">
        <v>49807557.41078314</v>
      </c>
      <c r="R339" s="22">
        <f>P339-M339*G339*J339</f>
        <v/>
      </c>
      <c r="S339" s="22">
        <f>IF(A339=A338,O339-O338,"")</f>
        <v/>
      </c>
      <c r="T339" s="22">
        <f>IF(A339=A338,P339-P338,"")</f>
        <v/>
      </c>
      <c r="U339" s="22">
        <f>IF(A339=A338,Q339-Q338,"")</f>
        <v/>
      </c>
      <c r="V339" s="22">
        <f>IF(A339=A338,R339-R338,"")</f>
        <v/>
      </c>
      <c r="W339" s="22">
        <f>IF(S339="","",D339-S339)</f>
        <v/>
      </c>
      <c r="X339" s="22">
        <f>IF(T339="","",D339-T339)</f>
        <v/>
      </c>
      <c r="Y339" s="22">
        <f>IF(U339="","",F339-U339)</f>
        <v/>
      </c>
      <c r="Z339" s="22">
        <f>IF(V339="","",F339-V339)</f>
        <v/>
      </c>
      <c r="AA339" s="9" t="n">
        <v>86792981.64343122</v>
      </c>
      <c r="AB339" s="9" t="n">
        <v>75546624.90953028</v>
      </c>
      <c r="AC339" s="9" t="n">
        <v>17087782.97472623</v>
      </c>
      <c r="AD339" s="9" t="n">
        <v>14072175.58517652</v>
      </c>
      <c r="AE339" s="9" t="n">
        <v>12319430.70372895</v>
      </c>
      <c r="AF339" s="9" t="n">
        <v>86839158.68626891</v>
      </c>
      <c r="AG339" s="9" t="n">
        <v>6769518.103970401</v>
      </c>
      <c r="AH339" s="9" t="n">
        <v>8086102.35829892</v>
      </c>
      <c r="AI339" s="9" t="n">
        <v>15450169.07770414</v>
      </c>
      <c r="AJ339" s="9" t="n">
        <v>15248031.1704935</v>
      </c>
      <c r="AK339" s="9" t="n">
        <v>15431940.15267051</v>
      </c>
      <c r="AL339" s="9" t="n">
        <v>6690097.421283171</v>
      </c>
      <c r="AM339" s="9" t="n">
        <v>4369673.121629694</v>
      </c>
      <c r="AN339" s="9" t="n">
        <v>5470740.944758335</v>
      </c>
      <c r="AO339" s="9" t="n">
        <v>11592214.62459618</v>
      </c>
      <c r="AP339" s="9" t="n">
        <v>11462787.03488889</v>
      </c>
      <c r="AQ339" s="9" t="n">
        <v>11618110.06804634</v>
      </c>
      <c r="AR339" s="9" t="n">
        <v>4308535.443629922</v>
      </c>
    </row>
    <row r="340">
      <c r="A340" s="4" t="inlineStr">
        <is>
          <t>Incendio</t>
        </is>
      </c>
      <c r="B340" s="5" t="n">
        <v>202307</v>
      </c>
      <c r="C340" s="5" t="n">
        <v>2023</v>
      </c>
      <c r="D340" s="6" t="n">
        <v>14000194.21107369</v>
      </c>
      <c r="E340" s="11" t="n">
        <v>0.2398908494669131</v>
      </c>
      <c r="F340" s="22">
        <f>D340*(1-E340)</f>
        <v/>
      </c>
      <c r="G340" s="11" t="n">
        <v>0.667743</v>
      </c>
      <c r="H340" s="11" t="n">
        <v>0.04305519356867876</v>
      </c>
      <c r="I340" s="11" t="n">
        <v>0.07175009655911466</v>
      </c>
      <c r="J340" s="11" t="n">
        <v>0.2004487088558648</v>
      </c>
      <c r="K340" s="6" t="n">
        <v>54367339.01231472</v>
      </c>
      <c r="L340" s="18" t="n">
        <v>81419556.64426991</v>
      </c>
      <c r="M340" s="18" t="n">
        <v>86348211.77603172</v>
      </c>
      <c r="N340" s="23">
        <f>IF(L340=0,"",M340/L340)</f>
        <v/>
      </c>
      <c r="O340" s="6" t="n">
        <v>60608997.14109961</v>
      </c>
      <c r="P340" s="22">
        <f>M340*G340*(1+H340+I340)</f>
        <v/>
      </c>
      <c r="Q340" s="6" t="n">
        <v>49711134.23215203</v>
      </c>
      <c r="R340" s="22">
        <f>P340-M340*G340*J340</f>
        <v/>
      </c>
      <c r="S340" s="22">
        <f>IF(A340=A339,O340-O339,"")</f>
        <v/>
      </c>
      <c r="T340" s="22">
        <f>IF(A340=A339,P340-P339,"")</f>
        <v/>
      </c>
      <c r="U340" s="22">
        <f>IF(A340=A339,Q340-Q339,"")</f>
        <v/>
      </c>
      <c r="V340" s="22">
        <f>IF(A340=A339,R340-R339,"")</f>
        <v/>
      </c>
      <c r="W340" s="22">
        <f>IF(S340="","",D340-S340)</f>
        <v/>
      </c>
      <c r="X340" s="22">
        <f>IF(T340="","",D340-T340)</f>
        <v/>
      </c>
      <c r="Y340" s="22">
        <f>IF(U340="","",F340-U340)</f>
        <v/>
      </c>
      <c r="Z340" s="22">
        <f>IF(V340="","",F340-V340)</f>
        <v/>
      </c>
      <c r="AA340" s="6" t="n">
        <v>86348211.77603172</v>
      </c>
      <c r="AB340" s="6" t="n">
        <v>75082995.04964994</v>
      </c>
      <c r="AC340" s="6" t="n">
        <v>17492084.40998345</v>
      </c>
      <c r="AD340" s="6" t="n">
        <v>14622232.47471697</v>
      </c>
      <c r="AE340" s="6" t="n">
        <v>12860815.9416633</v>
      </c>
      <c r="AF340" s="6" t="n">
        <v>86547903.05354935</v>
      </c>
      <c r="AG340" s="6" t="n">
        <v>13487402.02082616</v>
      </c>
      <c r="AH340" s="6" t="n">
        <v>13610788.78543177</v>
      </c>
      <c r="AI340" s="6" t="n">
        <v>13533087.84950386</v>
      </c>
      <c r="AJ340" s="6" t="n">
        <v>13453907.47073249</v>
      </c>
      <c r="AK340" s="6" t="n">
        <v>13477404.45977661</v>
      </c>
      <c r="AL340" s="6" t="n">
        <v>13372676.52289269</v>
      </c>
      <c r="AM340" s="6" t="n">
        <v>7422813.479477117</v>
      </c>
      <c r="AN340" s="6" t="n">
        <v>7886605.842255393</v>
      </c>
      <c r="AO340" s="6" t="n">
        <v>9707634.502023157</v>
      </c>
      <c r="AP340" s="6" t="n">
        <v>9739916.758508092</v>
      </c>
      <c r="AQ340" s="6" t="n">
        <v>9815698.704573311</v>
      </c>
      <c r="AR340" s="6" t="n">
        <v>7327227.533644313</v>
      </c>
    </row>
    <row r="341">
      <c r="A341" t="inlineStr">
        <is>
          <t>Incendio</t>
        </is>
      </c>
      <c r="B341" s="8" t="n">
        <v>202308</v>
      </c>
      <c r="C341" s="8" t="n">
        <v>2023</v>
      </c>
      <c r="D341" s="9" t="n">
        <v>21680560.8284746</v>
      </c>
      <c r="E341" s="10" t="n">
        <v>0.2398908494669131</v>
      </c>
      <c r="F341" s="22">
        <f>D341*(1-E341)</f>
        <v/>
      </c>
      <c r="G341" s="10" t="n">
        <v>0.6005007975912795</v>
      </c>
      <c r="H341" s="10" t="n">
        <v>0.04370626332300521</v>
      </c>
      <c r="I341" s="10" t="n">
        <v>0.04243533310156664</v>
      </c>
      <c r="J341" s="10" t="n">
        <v>0.2342406634019957</v>
      </c>
      <c r="K341" s="9" t="n">
        <v>57473685.42204137</v>
      </c>
      <c r="L341" s="18" t="n">
        <v>95709590.48277542</v>
      </c>
      <c r="M341" s="18" t="n">
        <v>93169479.22809869</v>
      </c>
      <c r="N341" s="23">
        <f>IF(L341=0,"",M341/L341)</f>
        <v/>
      </c>
      <c r="O341" s="9" t="n">
        <v>62424560.43669966</v>
      </c>
      <c r="P341" s="22">
        <f>M341*G341*(1+H341+I341)</f>
        <v/>
      </c>
      <c r="Q341" s="9" t="n">
        <v>48961886.23528308</v>
      </c>
      <c r="R341" s="22">
        <f>P341-M341*G341*J341</f>
        <v/>
      </c>
      <c r="S341" s="22">
        <f>IF(A341=A340,O341-O340,"")</f>
        <v/>
      </c>
      <c r="T341" s="22">
        <f>IF(A341=A340,P341-P340,"")</f>
        <v/>
      </c>
      <c r="U341" s="22">
        <f>IF(A341=A340,Q341-Q340,"")</f>
        <v/>
      </c>
      <c r="V341" s="22">
        <f>IF(A341=A340,R341-R340,"")</f>
        <v/>
      </c>
      <c r="W341" s="22">
        <f>IF(S341="","",D341-S341)</f>
        <v/>
      </c>
      <c r="X341" s="22">
        <f>IF(T341="","",D341-T341)</f>
        <v/>
      </c>
      <c r="Y341" s="22">
        <f>IF(U341="","",F341-U341)</f>
        <v/>
      </c>
      <c r="Z341" s="22">
        <f>IF(V341="","",F341-V341)</f>
        <v/>
      </c>
      <c r="AA341" s="9" t="n">
        <v>93169479.22809869</v>
      </c>
      <c r="AB341" s="9" t="n">
        <v>81687589.67609586</v>
      </c>
      <c r="AC341" s="9" t="n">
        <v>22912703.83697863</v>
      </c>
      <c r="AD341" s="9" t="n">
        <v>18317499.81021425</v>
      </c>
      <c r="AE341" s="9" t="n">
        <v>16562262.02051006</v>
      </c>
      <c r="AF341" s="9" t="n">
        <v>93304313.95339224</v>
      </c>
      <c r="AG341" s="9" t="n">
        <v>25190639.26924442</v>
      </c>
      <c r="AH341" s="9" t="n">
        <v>24293593.44587574</v>
      </c>
      <c r="AI341" s="9" t="n">
        <v>19757400.93701682</v>
      </c>
      <c r="AJ341" s="9" t="n">
        <v>20618198.16057111</v>
      </c>
      <c r="AK341" s="9" t="n">
        <v>20451810.45769355</v>
      </c>
      <c r="AL341" s="9" t="n">
        <v>25251347.03706005</v>
      </c>
      <c r="AM341" s="9" t="n">
        <v>21537494.29995686</v>
      </c>
      <c r="AN341" s="9" t="n">
        <v>20533215.54476773</v>
      </c>
      <c r="AO341" s="9" t="n">
        <v>15438088.37462904</v>
      </c>
      <c r="AP341" s="9" t="n">
        <v>16036640.94353678</v>
      </c>
      <c r="AQ341" s="9" t="n">
        <v>15859120.97162443</v>
      </c>
      <c r="AR341" s="9" t="n">
        <v>21590439.82766852</v>
      </c>
    </row>
    <row r="342">
      <c r="A342" s="4" t="inlineStr">
        <is>
          <t>Incendio</t>
        </is>
      </c>
      <c r="B342" s="5" t="n">
        <v>202309</v>
      </c>
      <c r="C342" s="5" t="n">
        <v>2023</v>
      </c>
      <c r="D342" s="6" t="n">
        <v>18066843.63751685</v>
      </c>
      <c r="E342" s="11" t="n">
        <v>0.2398908494669131</v>
      </c>
      <c r="F342" s="22">
        <f>D342*(1-E342)</f>
        <v/>
      </c>
      <c r="G342" s="11" t="n">
        <v>0.6029698547007658</v>
      </c>
      <c r="H342" s="11" t="n">
        <v>0.04809518953162139</v>
      </c>
      <c r="I342" s="11" t="n">
        <v>0.04739608869545109</v>
      </c>
      <c r="J342" s="11" t="n">
        <v>0.2679673908472563</v>
      </c>
      <c r="K342" s="6" t="n">
        <v>54073274.73017403</v>
      </c>
      <c r="L342" s="18" t="n">
        <v>89678238.9842836</v>
      </c>
      <c r="M342" s="18" t="n">
        <v>96406012.62648906</v>
      </c>
      <c r="N342" s="23">
        <f>IF(L342=0,"",M342/L342)</f>
        <v/>
      </c>
      <c r="O342" s="6" t="n">
        <v>59236800.85208201</v>
      </c>
      <c r="P342" s="22">
        <f>M342*G342*(1+H342+I342)</f>
        <v/>
      </c>
      <c r="Q342" s="6" t="n">
        <v>44746926.5080704</v>
      </c>
      <c r="R342" s="22">
        <f>P342-M342*G342*J342</f>
        <v/>
      </c>
      <c r="S342" s="22">
        <f>IF(A342=A341,O342-O341,"")</f>
        <v/>
      </c>
      <c r="T342" s="22">
        <f>IF(A342=A341,P342-P341,"")</f>
        <v/>
      </c>
      <c r="U342" s="22">
        <f>IF(A342=A341,Q342-Q341,"")</f>
        <v/>
      </c>
      <c r="V342" s="22">
        <f>IF(A342=A341,R342-R341,"")</f>
        <v/>
      </c>
      <c r="W342" s="22">
        <f>IF(S342="","",D342-S342)</f>
        <v/>
      </c>
      <c r="X342" s="22">
        <f>IF(T342="","",D342-T342)</f>
        <v/>
      </c>
      <c r="Y342" s="22">
        <f>IF(U342="","",F342-U342)</f>
        <v/>
      </c>
      <c r="Z342" s="22">
        <f>IF(V342="","",F342-V342)</f>
        <v/>
      </c>
      <c r="AA342" s="6" t="n">
        <v>96406012.62648906</v>
      </c>
      <c r="AB342" s="6" t="n">
        <v>84867161.56067035</v>
      </c>
      <c r="AC342" s="6" t="n">
        <v>25337427.77758428</v>
      </c>
      <c r="AD342" s="6" t="n">
        <v>19486085.65315132</v>
      </c>
      <c r="AE342" s="6" t="n">
        <v>17615663.09941698</v>
      </c>
      <c r="AF342" s="6" t="n">
        <v>96536894.10005002</v>
      </c>
      <c r="AG342" s="6" t="n">
        <v>15153850.38265992</v>
      </c>
      <c r="AH342" s="6" t="n">
        <v>15286997.74434167</v>
      </c>
      <c r="AI342" s="6" t="n">
        <v>16274578.40316134</v>
      </c>
      <c r="AJ342" s="6" t="n">
        <v>17142547.16523834</v>
      </c>
      <c r="AK342" s="6" t="n">
        <v>17233234.64392626</v>
      </c>
      <c r="AL342" s="6" t="n">
        <v>15155339.96255851</v>
      </c>
      <c r="AM342" s="6" t="n">
        <v>13291324.93299632</v>
      </c>
      <c r="AN342" s="6" t="n">
        <v>13175130.07280961</v>
      </c>
      <c r="AO342" s="6" t="n">
        <v>12811494.7292762</v>
      </c>
      <c r="AP342" s="6" t="n">
        <v>13380394.756527</v>
      </c>
      <c r="AQ342" s="6" t="n">
        <v>13415761.09728346</v>
      </c>
      <c r="AR342" s="6" t="n">
        <v>13294995.76934902</v>
      </c>
    </row>
    <row r="343">
      <c r="A343" t="inlineStr">
        <is>
          <t>Incendio</t>
        </is>
      </c>
      <c r="B343" s="8" t="n">
        <v>202310</v>
      </c>
      <c r="C343" s="8" t="n">
        <v>2023</v>
      </c>
      <c r="D343" s="9" t="n">
        <v>12634763.25498391</v>
      </c>
      <c r="E343" s="10" t="n">
        <v>0.2398908494669131</v>
      </c>
      <c r="F343" s="22">
        <f>D343*(1-E343)</f>
        <v/>
      </c>
      <c r="G343" s="10" t="n">
        <v>0.5856564523852971</v>
      </c>
      <c r="H343" s="10" t="n">
        <v>0.04951695743599228</v>
      </c>
      <c r="I343" s="10" t="n">
        <v>0.05232635595221067</v>
      </c>
      <c r="J343" s="10" t="n">
        <v>0.2583701277198899</v>
      </c>
      <c r="K343" s="9" t="n">
        <v>53847947.15819256</v>
      </c>
      <c r="L343" s="18" t="n">
        <v>91944598.13236476</v>
      </c>
      <c r="M343" s="18" t="n">
        <v>94184839.85638031</v>
      </c>
      <c r="N343" s="23">
        <f>IF(L343=0,"",M343/L343)</f>
        <v/>
      </c>
      <c r="O343" s="9" t="n">
        <v>59332000.51593576</v>
      </c>
      <c r="P343" s="22">
        <f>M343*G343*(1+H343+I343)</f>
        <v/>
      </c>
      <c r="Q343" s="9" t="n">
        <v>45419299.53121966</v>
      </c>
      <c r="R343" s="22">
        <f>P343-M343*G343*J343</f>
        <v/>
      </c>
      <c r="S343" s="22">
        <f>IF(A343=A342,O343-O342,"")</f>
        <v/>
      </c>
      <c r="T343" s="22">
        <f>IF(A343=A342,P343-P342,"")</f>
        <v/>
      </c>
      <c r="U343" s="22">
        <f>IF(A343=A342,Q343-Q342,"")</f>
        <v/>
      </c>
      <c r="V343" s="22">
        <f>IF(A343=A342,R343-R342,"")</f>
        <v/>
      </c>
      <c r="W343" s="22">
        <f>IF(S343="","",D343-S343)</f>
        <v/>
      </c>
      <c r="X343" s="22">
        <f>IF(T343="","",D343-T343)</f>
        <v/>
      </c>
      <c r="Y343" s="22">
        <f>IF(U343="","",F343-U343)</f>
        <v/>
      </c>
      <c r="Z343" s="22">
        <f>IF(V343="","",F343-V343)</f>
        <v/>
      </c>
      <c r="AA343" s="9" t="n">
        <v>94184839.85638031</v>
      </c>
      <c r="AB343" s="9" t="n">
        <v>82337133.40443602</v>
      </c>
      <c r="AC343" s="9" t="n">
        <v>24923874.52632305</v>
      </c>
      <c r="AD343" s="9" t="n">
        <v>17762100.13100045</v>
      </c>
      <c r="AE343" s="9" t="n">
        <v>15898821.10021831</v>
      </c>
      <c r="AF343" s="9" t="n">
        <v>94151131.80348088</v>
      </c>
      <c r="AG343" s="9" t="n">
        <v>15537950.80196411</v>
      </c>
      <c r="AH343" s="9" t="n">
        <v>15561327.78064606</v>
      </c>
      <c r="AI343" s="9" t="n">
        <v>13287938.73663072</v>
      </c>
      <c r="AJ343" s="9" t="n">
        <v>14044349.93571395</v>
      </c>
      <c r="AK343" s="9" t="n">
        <v>14011222.67860007</v>
      </c>
      <c r="AL343" s="9" t="n">
        <v>15646156.18796418</v>
      </c>
      <c r="AM343" s="9" t="n">
        <v>11181749.57129493</v>
      </c>
      <c r="AN343" s="9" t="n">
        <v>11276781.81701048</v>
      </c>
      <c r="AO343" s="9" t="n">
        <v>9934432.158409974</v>
      </c>
      <c r="AP343" s="9" t="n">
        <v>10552589.32383017</v>
      </c>
      <c r="AQ343" s="9" t="n">
        <v>10539733.76865601</v>
      </c>
      <c r="AR343" s="9" t="n">
        <v>11263707.0462652</v>
      </c>
    </row>
    <row r="344">
      <c r="A344" s="4" t="inlineStr">
        <is>
          <t>Incendio</t>
        </is>
      </c>
      <c r="B344" s="5" t="n">
        <v>202311</v>
      </c>
      <c r="C344" s="5" t="n">
        <v>2023</v>
      </c>
      <c r="D344" s="6" t="n">
        <v>33243404.92725274</v>
      </c>
      <c r="E344" s="11" t="n">
        <v>0.2398908494669131</v>
      </c>
      <c r="F344" s="22">
        <f>D344*(1-E344)</f>
        <v/>
      </c>
      <c r="G344" s="11" t="n">
        <v>0.5659964674379482</v>
      </c>
      <c r="H344" s="11" t="n">
        <v>0.05123695742803345</v>
      </c>
      <c r="I344" s="11" t="n">
        <v>0.04263336389286577</v>
      </c>
      <c r="J344" s="11" t="n">
        <v>0.2843579202068069</v>
      </c>
      <c r="K344" s="6" t="n">
        <v>61308004.95361557</v>
      </c>
      <c r="L344" s="18" t="n">
        <v>108318706.0002931</v>
      </c>
      <c r="M344" s="18" t="n">
        <v>108816689.1622531</v>
      </c>
      <c r="N344" s="23">
        <f>IF(L344=0,"",M344/L344)</f>
        <v/>
      </c>
      <c r="O344" s="6" t="n">
        <v>67063007.07815474</v>
      </c>
      <c r="P344" s="22">
        <f>M344*G344*(1+H344+I344)</f>
        <v/>
      </c>
      <c r="Q344" s="6" t="n">
        <v>49629590.297516</v>
      </c>
      <c r="R344" s="22">
        <f>P344-M344*G344*J344</f>
        <v/>
      </c>
      <c r="S344" s="22">
        <f>IF(A344=A343,O344-O343,"")</f>
        <v/>
      </c>
      <c r="T344" s="22">
        <f>IF(A344=A343,P344-P343,"")</f>
        <v/>
      </c>
      <c r="U344" s="22">
        <f>IF(A344=A343,Q344-Q343,"")</f>
        <v/>
      </c>
      <c r="V344" s="22">
        <f>IF(A344=A343,R344-R343,"")</f>
        <v/>
      </c>
      <c r="W344" s="22">
        <f>IF(S344="","",D344-S344)</f>
        <v/>
      </c>
      <c r="X344" s="22">
        <f>IF(T344="","",D344-T344)</f>
        <v/>
      </c>
      <c r="Y344" s="22">
        <f>IF(U344="","",F344-U344)</f>
        <v/>
      </c>
      <c r="Z344" s="22">
        <f>IF(V344="","",F344-V344)</f>
        <v/>
      </c>
      <c r="AA344" s="6" t="n">
        <v>108816689.1622531</v>
      </c>
      <c r="AB344" s="6" t="n">
        <v>95746467.75160348</v>
      </c>
      <c r="AC344" s="6" t="n">
        <v>36482680.02468526</v>
      </c>
      <c r="AD344" s="6" t="n">
        <v>22771236.18432215</v>
      </c>
      <c r="AE344" s="6" t="n">
        <v>20818552.50045127</v>
      </c>
      <c r="AF344" s="6" t="n">
        <v>110701055.8090625</v>
      </c>
      <c r="AG344" s="6" t="n">
        <v>26649715.34649122</v>
      </c>
      <c r="AH344" s="6" t="n">
        <v>27096494.41471586</v>
      </c>
      <c r="AI344" s="6" t="n">
        <v>26739419.51753109</v>
      </c>
      <c r="AJ344" s="6" t="n">
        <v>30607036.20600418</v>
      </c>
      <c r="AK344" s="6" t="n">
        <v>30613617.8594374</v>
      </c>
      <c r="AL344" s="6" t="n">
        <v>25461301.70979654</v>
      </c>
      <c r="AM344" s="6" t="n">
        <v>21936805.9699151</v>
      </c>
      <c r="AN344" s="6" t="n">
        <v>22072739.81251774</v>
      </c>
      <c r="AO344" s="6" t="n">
        <v>20864972.60796571</v>
      </c>
      <c r="AP344" s="6" t="n">
        <v>23609485.04052143</v>
      </c>
      <c r="AQ344" s="6" t="n">
        <v>23583735.06569328</v>
      </c>
      <c r="AR344" s="6" t="n">
        <v>21056773.38516316</v>
      </c>
    </row>
    <row r="345">
      <c r="A345" t="inlineStr">
        <is>
          <t>Incendio</t>
        </is>
      </c>
      <c r="B345" s="8" t="n">
        <v>202312</v>
      </c>
      <c r="C345" s="8" t="n">
        <v>2023</v>
      </c>
      <c r="D345" s="9" t="n">
        <v>25883665.21560849</v>
      </c>
      <c r="E345" s="10" t="n">
        <v>0.2398908494669131</v>
      </c>
      <c r="F345" s="22">
        <f>D345*(1-E345)</f>
        <v/>
      </c>
      <c r="G345" s="10" t="n">
        <v>0.574242522</v>
      </c>
      <c r="H345" s="10" t="n">
        <v>0.05041271660287278</v>
      </c>
      <c r="I345" s="10" t="n">
        <v>0.0545343124172271</v>
      </c>
      <c r="J345" s="10" t="n">
        <v>0.2785389936991921</v>
      </c>
      <c r="K345" s="9" t="n">
        <v>67816715.85055344</v>
      </c>
      <c r="L345" s="18" t="n">
        <v>118097690.8752038</v>
      </c>
      <c r="M345" s="18" t="n">
        <v>117624508.3249888</v>
      </c>
      <c r="N345" s="23">
        <f>IF(L345=0,"",M345/L345)</f>
        <v/>
      </c>
      <c r="O345" s="9" t="n">
        <v>74933878.69696933</v>
      </c>
      <c r="P345" s="22">
        <f>M345*G345*(1+H345+I345)</f>
        <v/>
      </c>
      <c r="Q345" s="9" t="n">
        <v>56044278.90797213</v>
      </c>
      <c r="R345" s="22">
        <f>P345-M345*G345*J345</f>
        <v/>
      </c>
      <c r="S345" s="22">
        <f>IF(A345=A344,O345-O344,"")</f>
        <v/>
      </c>
      <c r="T345" s="22">
        <f>IF(A345=A344,P345-P344,"")</f>
        <v/>
      </c>
      <c r="U345" s="22">
        <f>IF(A345=A344,Q345-Q344,"")</f>
        <v/>
      </c>
      <c r="V345" s="22">
        <f>IF(A345=A344,R345-R344,"")</f>
        <v/>
      </c>
      <c r="W345" s="22">
        <f>IF(S345="","",D345-S345)</f>
        <v/>
      </c>
      <c r="X345" s="22">
        <f>IF(T345="","",D345-T345)</f>
        <v/>
      </c>
      <c r="Y345" s="22">
        <f>IF(U345="","",F345-U345)</f>
        <v/>
      </c>
      <c r="Z345" s="22">
        <f>IF(V345="","",F345-V345)</f>
        <v/>
      </c>
      <c r="AA345" s="9" t="n">
        <v>117624508.3249888</v>
      </c>
      <c r="AB345" s="9" t="n">
        <v>103735180.9780456</v>
      </c>
      <c r="AC345" s="9" t="n">
        <v>48407144.00373427</v>
      </c>
      <c r="AD345" s="9" t="n">
        <v>23069027.08074022</v>
      </c>
      <c r="AE345" s="9" t="n">
        <v>21065417.85906841</v>
      </c>
      <c r="AF345" s="9" t="n">
        <v>118921858.5505827</v>
      </c>
      <c r="AG345" s="9" t="n">
        <v>18621346.19673994</v>
      </c>
      <c r="AH345" s="9" t="n">
        <v>19342105.97839946</v>
      </c>
      <c r="AI345" s="9" t="n">
        <v>17756368.63625685</v>
      </c>
      <c r="AJ345" s="9" t="n">
        <v>25344474.10441839</v>
      </c>
      <c r="AK345" s="9" t="n">
        <v>25406820.64116725</v>
      </c>
      <c r="AL345" s="9" t="n">
        <v>18964829.43412369</v>
      </c>
      <c r="AM345" s="9" t="n">
        <v>13712441.53661404</v>
      </c>
      <c r="AN345" s="9" t="n">
        <v>14315212.55591016</v>
      </c>
      <c r="AO345" s="9" t="n">
        <v>13418059.25684064</v>
      </c>
      <c r="AP345" s="9" t="n">
        <v>19160156.18665808</v>
      </c>
      <c r="AQ345" s="9" t="n">
        <v>19216303.36859935</v>
      </c>
      <c r="AR345" s="9" t="n">
        <v>13960154.08014076</v>
      </c>
    </row>
    <row r="346">
      <c r="A346" s="4" t="inlineStr">
        <is>
          <t>Incendio</t>
        </is>
      </c>
      <c r="B346" s="5" t="n">
        <v>202401</v>
      </c>
      <c r="C346" s="5" t="n">
        <v>2024</v>
      </c>
      <c r="D346" s="6" t="n">
        <v>7840947.118357724</v>
      </c>
      <c r="E346" s="11" t="n">
        <v>0.2675097131880154</v>
      </c>
      <c r="F346" s="22">
        <f>D346*(1-E346)</f>
        <v/>
      </c>
      <c r="G346" s="11" t="n">
        <v>0.57681</v>
      </c>
      <c r="H346" s="11" t="n">
        <v>0.04897248547794374</v>
      </c>
      <c r="I346" s="11" t="n">
        <v>0.06197104325071209</v>
      </c>
      <c r="J346" s="11" t="n">
        <v>0.2756275992290679</v>
      </c>
      <c r="K346" s="6" t="n">
        <v>62399486.18854181</v>
      </c>
      <c r="L346" s="18" t="n">
        <v>108180312.7347685</v>
      </c>
      <c r="M346" s="18" t="n">
        <v>107978158.3830079</v>
      </c>
      <c r="N346" s="23">
        <f>IF(L346=0,"",M346/L346)</f>
        <v/>
      </c>
      <c r="O346" s="6" t="n">
        <v>69322305.37715365</v>
      </c>
      <c r="P346" s="22">
        <f>M346*G346*(1+H346+I346)</f>
        <v/>
      </c>
      <c r="Q346" s="6" t="n">
        <v>52123284.80587849</v>
      </c>
      <c r="R346" s="22">
        <f>P346-M346*G346*J346</f>
        <v/>
      </c>
      <c r="S346" s="22">
        <f>IF(A346=A345,O346-O345,"")</f>
        <v/>
      </c>
      <c r="T346" s="22">
        <f>IF(A346=A345,P346-P345,"")</f>
        <v/>
      </c>
      <c r="U346" s="22">
        <f>IF(A346=A345,Q346-Q345,"")</f>
        <v/>
      </c>
      <c r="V346" s="22">
        <f>IF(A346=A345,R346-R345,"")</f>
        <v/>
      </c>
      <c r="W346" s="22">
        <f>IF(S346="","",D346-S346)</f>
        <v/>
      </c>
      <c r="X346" s="22">
        <f>IF(T346="","",D346-T346)</f>
        <v/>
      </c>
      <c r="Y346" s="22">
        <f>IF(U346="","",F346-U346)</f>
        <v/>
      </c>
      <c r="Z346" s="22">
        <f>IF(V346="","",F346-V346)</f>
        <v/>
      </c>
      <c r="AA346" s="6" t="n">
        <v>107978158.3830079</v>
      </c>
      <c r="AB346" s="6" t="n">
        <v>94576825.15454069</v>
      </c>
      <c r="AC346" s="6" t="n">
        <v>39574359.85242569</v>
      </c>
      <c r="AD346" s="6" t="n">
        <v>21963959.31990178</v>
      </c>
      <c r="AE346" s="6" t="n">
        <v>19918739.13144632</v>
      </c>
      <c r="AF346" s="6" t="n">
        <v>109586176.5951696</v>
      </c>
      <c r="AG346" s="6" t="n">
        <v>13281823.71188064</v>
      </c>
      <c r="AH346" s="6" t="n">
        <v>13056559.43764237</v>
      </c>
      <c r="AI346" s="6" t="n">
        <v>13196264.51865455</v>
      </c>
      <c r="AJ346" s="6" t="n">
        <v>8403840.980144339</v>
      </c>
      <c r="AK346" s="6" t="n">
        <v>8443119.685700133</v>
      </c>
      <c r="AL346" s="6" t="n">
        <v>13074578.81317403</v>
      </c>
      <c r="AM346" s="6" t="n">
        <v>9537260.563811183</v>
      </c>
      <c r="AN346" s="6" t="n">
        <v>9402971.708856247</v>
      </c>
      <c r="AO346" s="6" t="n">
        <v>9647783.837660939</v>
      </c>
      <c r="AP346" s="6" t="n">
        <v>6108379.87293386</v>
      </c>
      <c r="AQ346" s="6" t="n">
        <v>6142974.906455343</v>
      </c>
      <c r="AR346" s="6" t="n">
        <v>9378156.261532694</v>
      </c>
    </row>
    <row r="347">
      <c r="A347" t="inlineStr">
        <is>
          <t>Incendio</t>
        </is>
      </c>
      <c r="B347" s="8" t="n">
        <v>202402</v>
      </c>
      <c r="C347" s="8" t="n">
        <v>2024</v>
      </c>
      <c r="D347" s="9" t="n">
        <v>9785648.031562701</v>
      </c>
      <c r="E347" s="10" t="n">
        <v>0.2675097131880154</v>
      </c>
      <c r="F347" s="22">
        <f>D347*(1-E347)</f>
        <v/>
      </c>
      <c r="G347" s="10" t="n">
        <v>0.582645</v>
      </c>
      <c r="H347" s="10" t="n">
        <v>0.04848208806917522</v>
      </c>
      <c r="I347" s="10" t="n">
        <v>0.06575420620782892</v>
      </c>
      <c r="J347" s="10" t="n">
        <v>0.2676549189446255</v>
      </c>
      <c r="K347" s="9" t="n">
        <v>59093666.54743965</v>
      </c>
      <c r="L347" s="18" t="n">
        <v>101423107.6340476</v>
      </c>
      <c r="M347" s="18" t="n">
        <v>100518441.1696528</v>
      </c>
      <c r="N347" s="23">
        <f>IF(L347=0,"",M347/L347)</f>
        <v/>
      </c>
      <c r="O347" s="9" t="n">
        <v>65844308.02906013</v>
      </c>
      <c r="P347" s="22">
        <f>M347*G347*(1+H347+I347)</f>
        <v/>
      </c>
      <c r="Q347" s="9" t="n">
        <v>50027597.49916444</v>
      </c>
      <c r="R347" s="22">
        <f>P347-M347*G347*J347</f>
        <v/>
      </c>
      <c r="S347" s="22">
        <f>IF(A347=A346,O347-O346,"")</f>
        <v/>
      </c>
      <c r="T347" s="22">
        <f>IF(A347=A346,P347-P346,"")</f>
        <v/>
      </c>
      <c r="U347" s="22">
        <f>IF(A347=A346,Q347-Q346,"")</f>
        <v/>
      </c>
      <c r="V347" s="22">
        <f>IF(A347=A346,R347-R346,"")</f>
        <v/>
      </c>
      <c r="W347" s="22">
        <f>IF(S347="","",D347-S347)</f>
        <v/>
      </c>
      <c r="X347" s="22">
        <f>IF(T347="","",D347-T347)</f>
        <v/>
      </c>
      <c r="Y347" s="22">
        <f>IF(U347="","",F347-U347)</f>
        <v/>
      </c>
      <c r="Z347" s="22">
        <f>IF(V347="","",F347-V347)</f>
        <v/>
      </c>
      <c r="AA347" s="9" t="n">
        <v>100518441.1696528</v>
      </c>
      <c r="AB347" s="9" t="n">
        <v>87292260.43305764</v>
      </c>
      <c r="AC347" s="9" t="n">
        <v>34178197.43248405</v>
      </c>
      <c r="AD347" s="9" t="n">
        <v>18696260.16165441</v>
      </c>
      <c r="AE347" s="9" t="n">
        <v>16717055.81392515</v>
      </c>
      <c r="AF347" s="9" t="n">
        <v>102358596.7186762</v>
      </c>
      <c r="AG347" s="9" t="n">
        <v>13721417.46992007</v>
      </c>
      <c r="AH347" s="9" t="n">
        <v>13720290.57873797</v>
      </c>
      <c r="AI347" s="9" t="n">
        <v>12956400.36126084</v>
      </c>
      <c r="AJ347" s="9" t="n">
        <v>11722535.72581122</v>
      </c>
      <c r="AK347" s="9" t="n">
        <v>11696859.59099006</v>
      </c>
      <c r="AL347" s="9" t="n">
        <v>13557204.18438848</v>
      </c>
      <c r="AM347" s="9" t="n">
        <v>9612410.24536765</v>
      </c>
      <c r="AN347" s="9" t="n">
        <v>9679297.249478135</v>
      </c>
      <c r="AO347" s="9" t="n">
        <v>9376939.243378311</v>
      </c>
      <c r="AP347" s="9" t="n">
        <v>8528485.770077392</v>
      </c>
      <c r="AQ347" s="9" t="n">
        <v>8519315.90261401</v>
      </c>
      <c r="AR347" s="9" t="n">
        <v>9479514.787503038</v>
      </c>
    </row>
    <row r="348">
      <c r="A348" s="4" t="inlineStr">
        <is>
          <t>Incendio</t>
        </is>
      </c>
      <c r="B348" s="5" t="n">
        <v>202403</v>
      </c>
      <c r="C348" s="5" t="n">
        <v>2024</v>
      </c>
      <c r="D348" s="6" t="n">
        <v>14954900.23198092</v>
      </c>
      <c r="E348" s="11" t="n">
        <v>0.2675097131880154</v>
      </c>
      <c r="F348" s="22">
        <f>D348*(1-E348)</f>
        <v/>
      </c>
      <c r="G348" s="11" t="n">
        <v>0.58623</v>
      </c>
      <c r="H348" s="11" t="n">
        <v>0.04818510806856178</v>
      </c>
      <c r="I348" s="11" t="n">
        <v>0.06239926760597692</v>
      </c>
      <c r="J348" s="11" t="n">
        <v>0.2565807047064998</v>
      </c>
      <c r="K348" s="6" t="n">
        <v>57787891.35275471</v>
      </c>
      <c r="L348" s="18" t="n">
        <v>98575459.03954883</v>
      </c>
      <c r="M348" s="18" t="n">
        <v>98649868.62691621</v>
      </c>
      <c r="N348" s="23">
        <f>IF(L348=0,"",M348/L348)</f>
        <v/>
      </c>
      <c r="O348" s="6" t="n">
        <v>64178329.23954717</v>
      </c>
      <c r="P348" s="22">
        <f>M348*G348*(1+H348+I348)</f>
        <v/>
      </c>
      <c r="Q348" s="6" t="n">
        <v>49351071.35275472</v>
      </c>
      <c r="R348" s="22">
        <f>P348-M348*G348*J348</f>
        <v/>
      </c>
      <c r="S348" s="22">
        <f>IF(A348=A347,O348-O347,"")</f>
        <v/>
      </c>
      <c r="T348" s="22">
        <f>IF(A348=A347,P348-P347,"")</f>
        <v/>
      </c>
      <c r="U348" s="22">
        <f>IF(A348=A347,Q348-Q347,"")</f>
        <v/>
      </c>
      <c r="V348" s="22">
        <f>IF(A348=A347,R348-R347,"")</f>
        <v/>
      </c>
      <c r="W348" s="22">
        <f>IF(S348="","",D348-S348)</f>
        <v/>
      </c>
      <c r="X348" s="22">
        <f>IF(T348="","",D348-T348)</f>
        <v/>
      </c>
      <c r="Y348" s="22">
        <f>IF(U348="","",F348-U348)</f>
        <v/>
      </c>
      <c r="Z348" s="22">
        <f>IF(V348="","",F348-V348)</f>
        <v/>
      </c>
      <c r="AA348" s="6" t="n">
        <v>98649868.62691621</v>
      </c>
      <c r="AB348" s="6" t="n">
        <v>85342022.014274</v>
      </c>
      <c r="AC348" s="6" t="n">
        <v>29035212.74017538</v>
      </c>
      <c r="AD348" s="6" t="n">
        <v>16748113.87522166</v>
      </c>
      <c r="AE348" s="6" t="n">
        <v>14796256.31869581</v>
      </c>
      <c r="AF348" s="6" t="n">
        <v>100448237.3785103</v>
      </c>
      <c r="AG348" s="6" t="n">
        <v>15985120.79997668</v>
      </c>
      <c r="AH348" s="6" t="n">
        <v>16062807.02442627</v>
      </c>
      <c r="AI348" s="6" t="n">
        <v>18239925.73776218</v>
      </c>
      <c r="AJ348" s="6" t="n">
        <v>16188599.47005232</v>
      </c>
      <c r="AK348" s="6" t="n">
        <v>16174463.92359507</v>
      </c>
      <c r="AL348" s="6" t="n">
        <v>16008915.37723977</v>
      </c>
      <c r="AM348" s="6" t="n">
        <v>11147360.1710337</v>
      </c>
      <c r="AN348" s="6" t="n">
        <v>11285936.35968132</v>
      </c>
      <c r="AO348" s="6" t="n">
        <v>13276670.3840846</v>
      </c>
      <c r="AP348" s="6" t="n">
        <v>11791550.43533107</v>
      </c>
      <c r="AQ348" s="6" t="n">
        <v>11792478.20049606</v>
      </c>
      <c r="AR348" s="6" t="n">
        <v>11154688.72531871</v>
      </c>
    </row>
    <row r="349">
      <c r="A349" t="inlineStr">
        <is>
          <t>Incendio</t>
        </is>
      </c>
      <c r="B349" s="8" t="n">
        <v>202404</v>
      </c>
      <c r="C349" s="8" t="n">
        <v>2024</v>
      </c>
      <c r="D349" s="9" t="n">
        <v>32845496.38609797</v>
      </c>
      <c r="E349" s="10" t="n">
        <v>0.2675097131880154</v>
      </c>
      <c r="F349" s="22">
        <f>D349*(1-E349)</f>
        <v/>
      </c>
      <c r="G349" s="10" t="n">
        <v>0.58458</v>
      </c>
      <c r="H349" s="10" t="n">
        <v>0.04832180361055805</v>
      </c>
      <c r="I349" s="10" t="n">
        <v>0.06001813301585156</v>
      </c>
      <c r="J349" s="10" t="n">
        <v>0.275946234589125</v>
      </c>
      <c r="K349" s="9" t="n">
        <v>67972323.46264334</v>
      </c>
      <c r="L349" s="18" t="n">
        <v>116275485.7549751</v>
      </c>
      <c r="M349" s="18" t="n">
        <v>113860375.5952283</v>
      </c>
      <c r="N349" s="23">
        <f>IF(L349=0,"",M349/L349)</f>
        <v/>
      </c>
      <c r="O349" s="9" t="n">
        <v>75336440.67893593</v>
      </c>
      <c r="P349" s="22">
        <f>M349*G349*(1+H349+I349)</f>
        <v/>
      </c>
      <c r="Q349" s="9" t="n">
        <v>56579733.96314546</v>
      </c>
      <c r="R349" s="22">
        <f>P349-M349*G349*J349</f>
        <v/>
      </c>
      <c r="S349" s="22">
        <f>IF(A349=A348,O349-O348,"")</f>
        <v/>
      </c>
      <c r="T349" s="22">
        <f>IF(A349=A348,P349-P348,"")</f>
        <v/>
      </c>
      <c r="U349" s="22">
        <f>IF(A349=A348,Q349-Q348,"")</f>
        <v/>
      </c>
      <c r="V349" s="22">
        <f>IF(A349=A348,R349-R348,"")</f>
        <v/>
      </c>
      <c r="W349" s="22">
        <f>IF(S349="","",D349-S349)</f>
        <v/>
      </c>
      <c r="X349" s="22">
        <f>IF(T349="","",D349-T349)</f>
        <v/>
      </c>
      <c r="Y349" s="22">
        <f>IF(U349="","",F349-U349)</f>
        <v/>
      </c>
      <c r="Z349" s="22">
        <f>IF(V349="","",F349-V349)</f>
        <v/>
      </c>
      <c r="AA349" s="9" t="n">
        <v>113860375.5952283</v>
      </c>
      <c r="AB349" s="9" t="n">
        <v>99100297.24461654</v>
      </c>
      <c r="AC349" s="9" t="n">
        <v>25091437.1607166</v>
      </c>
      <c r="AD349" s="9" t="n">
        <v>16623477.70851762</v>
      </c>
      <c r="AE349" s="9" t="n">
        <v>14552754.89267324</v>
      </c>
      <c r="AF349" s="9" t="n">
        <v>115165028.2580676</v>
      </c>
      <c r="AG349" s="9" t="n">
        <v>23300612.03354589</v>
      </c>
      <c r="AH349" s="9" t="n">
        <v>24199685.6100952</v>
      </c>
      <c r="AI349" s="9" t="n">
        <v>35492023.03414399</v>
      </c>
      <c r="AJ349" s="9" t="n">
        <v>32978914.57588657</v>
      </c>
      <c r="AK349" s="9" t="n">
        <v>33049791.31345914</v>
      </c>
      <c r="AL349" s="9" t="n">
        <v>23626152.28719952</v>
      </c>
      <c r="AM349" s="9" t="n">
        <v>18042791.38442237</v>
      </c>
      <c r="AN349" s="9" t="n">
        <v>18562581.43810404</v>
      </c>
      <c r="AO349" s="9" t="n">
        <v>26385759.50828101</v>
      </c>
      <c r="AP349" s="9" t="n">
        <v>24354829.81426867</v>
      </c>
      <c r="AQ349" s="9" t="n">
        <v>24385262.02003109</v>
      </c>
      <c r="AR349" s="9" t="n">
        <v>18308286.42920109</v>
      </c>
    </row>
    <row r="350">
      <c r="A350" s="4" t="inlineStr">
        <is>
          <t>Incendio</t>
        </is>
      </c>
      <c r="B350" s="5" t="n">
        <v>202405</v>
      </c>
      <c r="C350" s="5" t="n">
        <v>2024</v>
      </c>
      <c r="D350" s="6" t="n">
        <v>21241919.96939275</v>
      </c>
      <c r="E350" s="11" t="n">
        <v>0.2675097131880154</v>
      </c>
      <c r="F350" s="22">
        <f>D350*(1-E350)</f>
        <v/>
      </c>
      <c r="G350" s="11" t="n">
        <v>0.58179</v>
      </c>
      <c r="H350" s="11" t="n">
        <v>0.04855307762854078</v>
      </c>
      <c r="I350" s="11" t="n">
        <v>0.05458972424452639</v>
      </c>
      <c r="J350" s="11" t="n">
        <v>0.2829426785513287</v>
      </c>
      <c r="K350" s="6" t="n">
        <v>68214682.3788027</v>
      </c>
      <c r="L350" s="18" t="n">
        <v>117249664.6191971</v>
      </c>
      <c r="M350" s="18" t="n">
        <v>116056731.9486015</v>
      </c>
      <c r="N350" s="23">
        <f>IF(L350=0,"",M350/L350)</f>
        <v/>
      </c>
      <c r="O350" s="6" t="n">
        <v>75250535.84823376</v>
      </c>
      <c r="P350" s="22">
        <f>M350*G350*(1+H350+I350)</f>
        <v/>
      </c>
      <c r="Q350" s="6" t="n">
        <v>55949690.8994472</v>
      </c>
      <c r="R350" s="22">
        <f>P350-M350*G350*J350</f>
        <v/>
      </c>
      <c r="S350" s="22">
        <f>IF(A350=A349,O350-O349,"")</f>
        <v/>
      </c>
      <c r="T350" s="22">
        <f>IF(A350=A349,P350-P349,"")</f>
        <v/>
      </c>
      <c r="U350" s="22">
        <f>IF(A350=A349,Q350-Q349,"")</f>
        <v/>
      </c>
      <c r="V350" s="22">
        <f>IF(A350=A349,R350-R349,"")</f>
        <v/>
      </c>
      <c r="W350" s="22">
        <f>IF(S350="","",D350-S350)</f>
        <v/>
      </c>
      <c r="X350" s="22">
        <f>IF(T350="","",D350-T350)</f>
        <v/>
      </c>
      <c r="Y350" s="22">
        <f>IF(U350="","",F350-U350)</f>
        <v/>
      </c>
      <c r="Z350" s="22">
        <f>IF(V350="","",F350-V350)</f>
        <v/>
      </c>
      <c r="AA350" s="6" t="n">
        <v>116056731.9486015</v>
      </c>
      <c r="AB350" s="6" t="n">
        <v>100851599.2833007</v>
      </c>
      <c r="AC350" s="6" t="n">
        <v>22090390.2729685</v>
      </c>
      <c r="AD350" s="6" t="n">
        <v>17774393.80309052</v>
      </c>
      <c r="AE350" s="6" t="n">
        <v>15543763.25313653</v>
      </c>
      <c r="AF350" s="6" t="n">
        <v>117534598.3611967</v>
      </c>
      <c r="AG350" s="6" t="n">
        <v>20528663.80820066</v>
      </c>
      <c r="AH350" s="6" t="n">
        <v>20724027.23010499</v>
      </c>
      <c r="AI350" s="6" t="n">
        <v>23321441.16906466</v>
      </c>
      <c r="AJ350" s="6" t="n">
        <v>20604932.63835585</v>
      </c>
      <c r="AK350" s="6" t="n">
        <v>20694896.66121437</v>
      </c>
      <c r="AL350" s="6" t="n">
        <v>20425474.80273222</v>
      </c>
      <c r="AM350" s="6" t="n">
        <v>15583597.45279985</v>
      </c>
      <c r="AN350" s="6" t="n">
        <v>15656982.36186096</v>
      </c>
      <c r="AO350" s="6" t="n">
        <v>17227825.3293726</v>
      </c>
      <c r="AP350" s="6" t="n">
        <v>15166835.69589906</v>
      </c>
      <c r="AQ350" s="6" t="n">
        <v>15223642.22362895</v>
      </c>
      <c r="AR350" s="6" t="n">
        <v>15513227.81951673</v>
      </c>
    </row>
    <row r="351">
      <c r="A351" t="inlineStr">
        <is>
          <t>Incendio</t>
        </is>
      </c>
      <c r="B351" s="8" t="n">
        <v>202406</v>
      </c>
      <c r="C351" s="8" t="n">
        <v>2024</v>
      </c>
      <c r="D351" s="9" t="n">
        <v>15650907.25726126</v>
      </c>
      <c r="E351" s="10" t="n">
        <v>0.2675097131880154</v>
      </c>
      <c r="F351" s="22">
        <f>D351*(1-E351)</f>
        <v/>
      </c>
      <c r="G351" s="10" t="n">
        <v>0.6399899999999999</v>
      </c>
      <c r="H351" s="10" t="n">
        <v>0.04413809701918765</v>
      </c>
      <c r="I351" s="10" t="n">
        <v>0.08087904343264159</v>
      </c>
      <c r="J351" s="10" t="n">
        <v>0.269211475665593</v>
      </c>
      <c r="K351" s="9" t="n">
        <v>73248538.00024061</v>
      </c>
      <c r="L351" s="18" t="n">
        <v>114452628.9477033</v>
      </c>
      <c r="M351" s="18" t="n">
        <v>112750678.8179991</v>
      </c>
      <c r="N351" s="23">
        <f>IF(L351=0,"",M351/L351)</f>
        <v/>
      </c>
      <c r="O351" s="9" t="n">
        <v>82405860.76330784</v>
      </c>
      <c r="P351" s="22">
        <f>M351*G351*(1+H351+I351)</f>
        <v/>
      </c>
      <c r="Q351" s="9" t="n">
        <v>62686513.7579158</v>
      </c>
      <c r="R351" s="22">
        <f>P351-M351*G351*J351</f>
        <v/>
      </c>
      <c r="S351" s="22">
        <f>IF(A351=A350,O351-O350,"")</f>
        <v/>
      </c>
      <c r="T351" s="22">
        <f>IF(A351=A350,P351-P350,"")</f>
        <v/>
      </c>
      <c r="U351" s="22">
        <f>IF(A351=A350,Q351-Q350,"")</f>
        <v/>
      </c>
      <c r="V351" s="22">
        <f>IF(A351=A350,R351-R350,"")</f>
        <v/>
      </c>
      <c r="W351" s="22">
        <f>IF(S351="","",D351-S351)</f>
        <v/>
      </c>
      <c r="X351" s="22">
        <f>IF(T351="","",D351-T351)</f>
        <v/>
      </c>
      <c r="Y351" s="22">
        <f>IF(U351="","",F351-U351)</f>
        <v/>
      </c>
      <c r="Z351" s="22">
        <f>IF(V351="","",F351-V351)</f>
        <v/>
      </c>
      <c r="AA351" s="9" t="n">
        <v>112750678.8179991</v>
      </c>
      <c r="AB351" s="9" t="n">
        <v>97571144.41512215</v>
      </c>
      <c r="AC351" s="9" t="n">
        <v>18585043.591624</v>
      </c>
      <c r="AD351" s="9" t="n">
        <v>16232574.73994014</v>
      </c>
      <c r="AE351" s="9" t="n">
        <v>13978429.65617804</v>
      </c>
      <c r="AF351" s="9" t="n">
        <v>114311419.0309323</v>
      </c>
      <c r="AG351" s="9" t="n">
        <v>8955364.811700717</v>
      </c>
      <c r="AH351" s="9" t="n">
        <v>10126009.94504659</v>
      </c>
      <c r="AI351" s="9" t="n">
        <v>16447237.24254703</v>
      </c>
      <c r="AJ351" s="9" t="n">
        <v>15371018.62479882</v>
      </c>
      <c r="AK351" s="9" t="n">
        <v>15562389.45289284</v>
      </c>
      <c r="AL351" s="9" t="n">
        <v>8780123.191917852</v>
      </c>
      <c r="AM351" s="9" t="n">
        <v>5090236.144124296</v>
      </c>
      <c r="AN351" s="9" t="n">
        <v>6148524.897422839</v>
      </c>
      <c r="AO351" s="9" t="n">
        <v>11826163.68977284</v>
      </c>
      <c r="AP351" s="9" t="n">
        <v>11055102.05462282</v>
      </c>
      <c r="AQ351" s="9" t="n">
        <v>11225291.52712833</v>
      </c>
      <c r="AR351" s="9" t="n">
        <v>4940622.244878892</v>
      </c>
    </row>
    <row r="352">
      <c r="A352" s="4" t="inlineStr">
        <is>
          <t>Incendio</t>
        </is>
      </c>
      <c r="B352" s="5" t="n">
        <v>202407</v>
      </c>
      <c r="C352" s="5" t="n">
        <v>2024</v>
      </c>
      <c r="D352" s="6" t="n">
        <v>25664391.99443945</v>
      </c>
      <c r="E352" s="11" t="n">
        <v>0.2675097131880154</v>
      </c>
      <c r="F352" s="22">
        <f>D352*(1-E352)</f>
        <v/>
      </c>
      <c r="G352" s="11" t="n">
        <v>0.66691</v>
      </c>
      <c r="H352" s="11" t="n">
        <v>0.04235592022202073</v>
      </c>
      <c r="I352" s="11" t="n">
        <v>0.08558806204580101</v>
      </c>
      <c r="J352" s="11" t="n">
        <v>0.2783710525761012</v>
      </c>
      <c r="K352" s="6" t="n">
        <v>80134056.80120224</v>
      </c>
      <c r="L352" s="18" t="n">
        <v>120157227.8136514</v>
      </c>
      <c r="M352" s="18" t="n">
        <v>119287135.0827371</v>
      </c>
      <c r="N352" s="23">
        <f>IF(L352=0,"",M352/L352)</f>
        <v/>
      </c>
      <c r="O352" s="6" t="n">
        <v>90386727.14362387</v>
      </c>
      <c r="P352" s="22">
        <f>M352*G352*(1+H352+I352)</f>
        <v/>
      </c>
      <c r="Q352" s="6" t="n">
        <v>68079725.40468013</v>
      </c>
      <c r="R352" s="22">
        <f>P352-M352*G352*J352</f>
        <v/>
      </c>
      <c r="S352" s="22">
        <f>IF(A352=A351,O352-O351,"")</f>
        <v/>
      </c>
      <c r="T352" s="22">
        <f>IF(A352=A351,P352-P351,"")</f>
        <v/>
      </c>
      <c r="U352" s="22">
        <f>IF(A352=A351,Q352-Q351,"")</f>
        <v/>
      </c>
      <c r="V352" s="22">
        <f>IF(A352=A351,R352-R351,"")</f>
        <v/>
      </c>
      <c r="W352" s="22">
        <f>IF(S352="","",D352-S352)</f>
        <v/>
      </c>
      <c r="X352" s="22">
        <f>IF(T352="","",D352-T352)</f>
        <v/>
      </c>
      <c r="Y352" s="22">
        <f>IF(U352="","",F352-U352)</f>
        <v/>
      </c>
      <c r="Z352" s="22">
        <f>IF(V352="","",F352-V352)</f>
        <v/>
      </c>
      <c r="AA352" s="6" t="n">
        <v>119287135.0827371</v>
      </c>
      <c r="AB352" s="6" t="n">
        <v>103510256.6650076</v>
      </c>
      <c r="AC352" s="6" t="n">
        <v>21419415.19670909</v>
      </c>
      <c r="AD352" s="6" t="n">
        <v>20401204.64457409</v>
      </c>
      <c r="AE352" s="6" t="n">
        <v>18045202.92680645</v>
      </c>
      <c r="AF352" s="6" t="n">
        <v>120327668.5260793</v>
      </c>
      <c r="AG352" s="6" t="n">
        <v>17112638.04885522</v>
      </c>
      <c r="AH352" s="6" t="n">
        <v>18051331.13603738</v>
      </c>
      <c r="AI352" s="6" t="n">
        <v>22933138.94568636</v>
      </c>
      <c r="AJ352" s="6" t="n">
        <v>22005297.80635719</v>
      </c>
      <c r="AK352" s="6" t="n">
        <v>22154585.92759462</v>
      </c>
      <c r="AL352" s="6" t="n">
        <v>17453642.68277243</v>
      </c>
      <c r="AM352" s="6" t="n">
        <v>12966520.78578237</v>
      </c>
      <c r="AN352" s="6" t="n">
        <v>13591583.2706921</v>
      </c>
      <c r="AO352" s="6" t="n">
        <v>16842079.33895754</v>
      </c>
      <c r="AP352" s="6" t="n">
        <v>16130522.09831975</v>
      </c>
      <c r="AQ352" s="6" t="n">
        <v>16230794.81431714</v>
      </c>
      <c r="AR352" s="6" t="n">
        <v>13231794.75798861</v>
      </c>
    </row>
    <row r="353">
      <c r="A353" t="inlineStr">
        <is>
          <t>Incendio</t>
        </is>
      </c>
      <c r="B353" s="8" t="n">
        <v>202408</v>
      </c>
      <c r="C353" s="8" t="n">
        <v>2024</v>
      </c>
      <c r="D353" s="9" t="n">
        <v>28105705.22769704</v>
      </c>
      <c r="E353" s="10" t="n">
        <v>0.2675097131880154</v>
      </c>
      <c r="F353" s="22">
        <f>D353*(1-E353)</f>
        <v/>
      </c>
      <c r="G353" s="10" t="n">
        <v>0.61099</v>
      </c>
      <c r="H353" s="10" t="n">
        <v>0.04623297421367258</v>
      </c>
      <c r="I353" s="10" t="n">
        <v>0.05423846587430704</v>
      </c>
      <c r="J353" s="10" t="n">
        <v>0.2966088815702415</v>
      </c>
      <c r="K353" s="9" t="n">
        <v>78197772.44134052</v>
      </c>
      <c r="L353" s="18" t="n">
        <v>127985355.6381291</v>
      </c>
      <c r="M353" s="18" t="n">
        <v>127508044.1808913</v>
      </c>
      <c r="N353" s="23">
        <f>IF(L353=0,"",M353/L353)</f>
        <v/>
      </c>
      <c r="O353" s="9" t="n">
        <v>86054415.25019413</v>
      </c>
      <c r="P353" s="22">
        <f>M353*G353*(1+H353+I353)</f>
        <v/>
      </c>
      <c r="Q353" s="9" t="n">
        <v>62860261.42508387</v>
      </c>
      <c r="R353" s="22">
        <f>P353-M353*G353*J353</f>
        <v/>
      </c>
      <c r="S353" s="22">
        <f>IF(A353=A352,O353-O352,"")</f>
        <v/>
      </c>
      <c r="T353" s="22">
        <f>IF(A353=A352,P353-P352,"")</f>
        <v/>
      </c>
      <c r="U353" s="22">
        <f>IF(A353=A352,Q353-Q352,"")</f>
        <v/>
      </c>
      <c r="V353" s="22">
        <f>IF(A353=A352,R353-R352,"")</f>
        <v/>
      </c>
      <c r="W353" s="22">
        <f>IF(S353="","",D353-S353)</f>
        <v/>
      </c>
      <c r="X353" s="22">
        <f>IF(T353="","",D353-T353)</f>
        <v/>
      </c>
      <c r="Y353" s="22">
        <f>IF(U353="","",F353-U353)</f>
        <v/>
      </c>
      <c r="Z353" s="22">
        <f>IF(V353="","",F353-V353)</f>
        <v/>
      </c>
      <c r="AA353" s="9" t="n">
        <v>127508044.1808913</v>
      </c>
      <c r="AB353" s="9" t="n">
        <v>111136399.3291553</v>
      </c>
      <c r="AC353" s="9" t="n">
        <v>25709480.75853351</v>
      </c>
      <c r="AD353" s="9" t="n">
        <v>23367344.55579094</v>
      </c>
      <c r="AE353" s="9" t="n">
        <v>20922729.81691426</v>
      </c>
      <c r="AF353" s="9" t="n">
        <v>128165680.2139027</v>
      </c>
      <c r="AG353" s="9" t="n">
        <v>32104434.33728214</v>
      </c>
      <c r="AH353" s="9" t="n">
        <v>31244398.92471845</v>
      </c>
      <c r="AI353" s="9" t="n">
        <v>26931719.74784364</v>
      </c>
      <c r="AJ353" s="9" t="n">
        <v>27740582.5927233</v>
      </c>
      <c r="AK353" s="9" t="n">
        <v>27612013.47770178</v>
      </c>
      <c r="AL353" s="9" t="n">
        <v>32444982.84654944</v>
      </c>
      <c r="AM353" s="9" t="n">
        <v>25548067.83829653</v>
      </c>
      <c r="AN353" s="9" t="n">
        <v>24650032.94155758</v>
      </c>
      <c r="AO353" s="9" t="n">
        <v>20095891.8220562</v>
      </c>
      <c r="AP353" s="9" t="n">
        <v>20669330.09102085</v>
      </c>
      <c r="AQ353" s="9" t="n">
        <v>20535123.56233922</v>
      </c>
      <c r="AR353" s="9" t="n">
        <v>25814623.0683225</v>
      </c>
    </row>
    <row r="354">
      <c r="A354" s="4" t="inlineStr">
        <is>
          <t>Incendio</t>
        </is>
      </c>
      <c r="B354" s="5" t="n">
        <v>202409</v>
      </c>
      <c r="C354" s="5" t="n">
        <v>2024</v>
      </c>
      <c r="D354" s="6" t="n">
        <v>13000186.84051549</v>
      </c>
      <c r="E354" s="11" t="n">
        <v>0.2675097131880154</v>
      </c>
      <c r="F354" s="22">
        <f>D354*(1-E354)</f>
        <v/>
      </c>
      <c r="G354" s="11" t="n">
        <v>0.62471</v>
      </c>
      <c r="H354" s="11" t="n">
        <v>0.04521697232727019</v>
      </c>
      <c r="I354" s="11" t="n">
        <v>0.05681496395168836</v>
      </c>
      <c r="J354" s="11" t="n">
        <v>0.3031612183813082</v>
      </c>
      <c r="K354" s="6" t="n">
        <v>75776056.16617832</v>
      </c>
      <c r="L354" s="18" t="n">
        <v>121297972.1249513</v>
      </c>
      <c r="M354" s="18" t="n">
        <v>120496810.8775411</v>
      </c>
      <c r="N354" s="23">
        <f>IF(L354=0,"",M354/L354)</f>
        <v/>
      </c>
      <c r="O354" s="6" t="n">
        <v>83507633.9003966</v>
      </c>
      <c r="P354" s="22">
        <f>M354*G354*(1+H354+I354)</f>
        <v/>
      </c>
      <c r="Q354" s="6" t="n">
        <v>60535272.38892753</v>
      </c>
      <c r="R354" s="22">
        <f>P354-M354*G354*J354</f>
        <v/>
      </c>
      <c r="S354" s="22">
        <f>IF(A354=A353,O354-O353,"")</f>
        <v/>
      </c>
      <c r="T354" s="22">
        <f>IF(A354=A353,P354-P353,"")</f>
        <v/>
      </c>
      <c r="U354" s="22">
        <f>IF(A354=A353,Q354-Q353,"")</f>
        <v/>
      </c>
      <c r="V354" s="22">
        <f>IF(A354=A353,R354-R353,"")</f>
        <v/>
      </c>
      <c r="W354" s="22">
        <f>IF(S354="","",D354-S354)</f>
        <v/>
      </c>
      <c r="X354" s="22">
        <f>IF(T354="","",D354-T354)</f>
        <v/>
      </c>
      <c r="Y354" s="22">
        <f>IF(U354="","",F354-U354)</f>
        <v/>
      </c>
      <c r="Z354" s="22">
        <f>IF(V354="","",F354-V354)</f>
        <v/>
      </c>
      <c r="AA354" s="6" t="n">
        <v>120496810.8775411</v>
      </c>
      <c r="AB354" s="6" t="n">
        <v>104135036.1949935</v>
      </c>
      <c r="AC354" s="6" t="n">
        <v>23447676.70177606</v>
      </c>
      <c r="AD354" s="6" t="n">
        <v>21185749.83211773</v>
      </c>
      <c r="AE354" s="6" t="n">
        <v>18692825.02057225</v>
      </c>
      <c r="AF354" s="6" t="n">
        <v>121225295.9121272</v>
      </c>
      <c r="AG354" s="6" t="n">
        <v>15777594.68100579</v>
      </c>
      <c r="AH354" s="6" t="n">
        <v>16033946.33986175</v>
      </c>
      <c r="AI354" s="6" t="n">
        <v>14144089.82365192</v>
      </c>
      <c r="AJ354" s="6" t="n">
        <v>14126515.59663825</v>
      </c>
      <c r="AK354" s="6" t="n">
        <v>14199067.77307673</v>
      </c>
      <c r="AL354" s="6" t="n">
        <v>15718248.26142011</v>
      </c>
      <c r="AM354" s="6" t="n">
        <v>12012896.71007488</v>
      </c>
      <c r="AN354" s="6" t="n">
        <v>12137479.45533248</v>
      </c>
      <c r="AO354" s="6" t="n">
        <v>10447916.31795738</v>
      </c>
      <c r="AP354" s="6" t="n">
        <v>10426414.41131074</v>
      </c>
      <c r="AQ354" s="6" t="n">
        <v>10469862.38468006</v>
      </c>
      <c r="AR354" s="6" t="n">
        <v>11972336.37120843</v>
      </c>
    </row>
    <row r="355">
      <c r="A355" t="inlineStr">
        <is>
          <t>Incendio</t>
        </is>
      </c>
      <c r="B355" s="8" t="n">
        <v>202410</v>
      </c>
      <c r="C355" s="8" t="n">
        <v>2024</v>
      </c>
      <c r="D355" s="9" t="n">
        <v>18973261.67037308</v>
      </c>
      <c r="E355" s="10" t="n">
        <v>0.2675097131880154</v>
      </c>
      <c r="F355" s="22">
        <f>D355*(1-E355)</f>
        <v/>
      </c>
      <c r="G355" s="10" t="n">
        <v>0.63069</v>
      </c>
      <c r="H355" s="10" t="n">
        <v>0.04478904273605499</v>
      </c>
      <c r="I355" s="10" t="n">
        <v>0.06172665553769385</v>
      </c>
      <c r="J355" s="10" t="n">
        <v>0.3207660844617266</v>
      </c>
      <c r="K355" s="9" t="n">
        <v>74755484.5554173</v>
      </c>
      <c r="L355" s="18" t="n">
        <v>118529681.0721865</v>
      </c>
      <c r="M355" s="18" t="n">
        <v>119565273.7625808</v>
      </c>
      <c r="N355" s="23">
        <f>IF(L355=0,"",M355/L355)</f>
        <v/>
      </c>
      <c r="O355" s="9" t="n">
        <v>82718117.19263001</v>
      </c>
      <c r="P355" s="22">
        <f>M355*G355*(1+H355+I355)</f>
        <v/>
      </c>
      <c r="Q355" s="9" t="n">
        <v>58739093.11974972</v>
      </c>
      <c r="R355" s="22">
        <f>P355-M355*G355*J355</f>
        <v/>
      </c>
      <c r="S355" s="22">
        <f>IF(A355=A354,O355-O354,"")</f>
        <v/>
      </c>
      <c r="T355" s="22">
        <f>IF(A355=A354,P355-P354,"")</f>
        <v/>
      </c>
      <c r="U355" s="22">
        <f>IF(A355=A354,Q355-Q354,"")</f>
        <v/>
      </c>
      <c r="V355" s="22">
        <f>IF(A355=A354,R355-R354,"")</f>
        <v/>
      </c>
      <c r="W355" s="22">
        <f>IF(S355="","",D355-S355)</f>
        <v/>
      </c>
      <c r="X355" s="22">
        <f>IF(T355="","",D355-T355)</f>
        <v/>
      </c>
      <c r="Y355" s="22">
        <f>IF(U355="","",F355-U355)</f>
        <v/>
      </c>
      <c r="Z355" s="22">
        <f>IF(V355="","",F355-V355)</f>
        <v/>
      </c>
      <c r="AA355" s="9" t="n">
        <v>119565273.7625808</v>
      </c>
      <c r="AB355" s="9" t="n">
        <v>103493567.5297252</v>
      </c>
      <c r="AC355" s="9" t="n">
        <v>27078018.48728631</v>
      </c>
      <c r="AD355" s="9" t="n">
        <v>21253220.5940882</v>
      </c>
      <c r="AE355" s="9" t="n">
        <v>18792234.80401107</v>
      </c>
      <c r="AF355" s="9" t="n">
        <v>119900835.5162342</v>
      </c>
      <c r="AG355" s="9" t="n">
        <v>18488511.22106507</v>
      </c>
      <c r="AH355" s="9" t="n">
        <v>18440177.05695212</v>
      </c>
      <c r="AI355" s="9" t="n">
        <v>16218930.34187888</v>
      </c>
      <c r="AJ355" s="9" t="n">
        <v>18726648.2524977</v>
      </c>
      <c r="AK355" s="9" t="n">
        <v>18727837.42199214</v>
      </c>
      <c r="AL355" s="9" t="n">
        <v>18755859.07399081</v>
      </c>
      <c r="AM355" s="9" t="n">
        <v>14780876.70081322</v>
      </c>
      <c r="AN355" s="9" t="n">
        <v>14579893.93592767</v>
      </c>
      <c r="AO355" s="9" t="n">
        <v>12180684.01752394</v>
      </c>
      <c r="AP355" s="9" t="n">
        <v>13938403.69240385</v>
      </c>
      <c r="AQ355" s="9" t="n">
        <v>13913855.3437546</v>
      </c>
      <c r="AR355" s="9" t="n">
        <v>14978143.8153127</v>
      </c>
    </row>
    <row r="356">
      <c r="A356" s="4" t="inlineStr">
        <is>
          <t>Incendio</t>
        </is>
      </c>
      <c r="B356" s="5" t="n">
        <v>202411</v>
      </c>
      <c r="C356" s="5" t="n">
        <v>2024</v>
      </c>
      <c r="D356" s="6" t="n">
        <v>31591133.44800846</v>
      </c>
      <c r="E356" s="11" t="n">
        <v>0.2675097131880154</v>
      </c>
      <c r="F356" s="22">
        <f>D356*(1-E356)</f>
        <v/>
      </c>
      <c r="G356" s="11" t="n">
        <v>0.6438147376544171</v>
      </c>
      <c r="H356" s="11" t="n">
        <v>0.04387758605729531</v>
      </c>
      <c r="I356" s="11" t="n">
        <v>0.05215609801770075</v>
      </c>
      <c r="J356" s="11" t="n">
        <v>0.3336671670043456</v>
      </c>
      <c r="K356" s="6" t="n">
        <v>83857551.52324776</v>
      </c>
      <c r="L356" s="18" t="n">
        <v>130251059.2235935</v>
      </c>
      <c r="M356" s="18" t="n">
        <v>130987681.5654552</v>
      </c>
      <c r="N356" s="23">
        <f>IF(L356=0,"",M356/L356)</f>
        <v/>
      </c>
      <c r="O356" s="6" t="n">
        <v>91910701.13353404</v>
      </c>
      <c r="P356" s="22">
        <f>M356*G356*(1+H356+I356)</f>
        <v/>
      </c>
      <c r="Q356" s="6" t="n">
        <v>63930189.48485102</v>
      </c>
      <c r="R356" s="22">
        <f>P356-M356*G356*J356</f>
        <v/>
      </c>
      <c r="S356" s="22">
        <f>IF(A356=A355,O356-O355,"")</f>
        <v/>
      </c>
      <c r="T356" s="22">
        <f>IF(A356=A355,P356-P355,"")</f>
        <v/>
      </c>
      <c r="U356" s="22">
        <f>IF(A356=A355,Q356-Q355,"")</f>
        <v/>
      </c>
      <c r="V356" s="22">
        <f>IF(A356=A355,R356-R355,"")</f>
        <v/>
      </c>
      <c r="W356" s="22">
        <f>IF(S356="","",D356-S356)</f>
        <v/>
      </c>
      <c r="X356" s="22">
        <f>IF(T356="","",D356-T356)</f>
        <v/>
      </c>
      <c r="Y356" s="22">
        <f>IF(U356="","",F356-U356)</f>
        <v/>
      </c>
      <c r="Z356" s="22">
        <f>IF(V356="","",F356-V356)</f>
        <v/>
      </c>
      <c r="AA356" s="6" t="n">
        <v>130987681.5654552</v>
      </c>
      <c r="AB356" s="6" t="n">
        <v>114535630.0278157</v>
      </c>
      <c r="AC356" s="6" t="n">
        <v>32367997.05815725</v>
      </c>
      <c r="AD356" s="6" t="n">
        <v>19284710.0465783</v>
      </c>
      <c r="AE356" s="6" t="n">
        <v>16870436.33710547</v>
      </c>
      <c r="AF356" s="6" t="n">
        <v>131052680.8764919</v>
      </c>
      <c r="AG356" s="6" t="n">
        <v>22601464.7731479</v>
      </c>
      <c r="AH356" s="6" t="n">
        <v>22994798.14852061</v>
      </c>
      <c r="AI356" s="6" t="n">
        <v>27647787.64296489</v>
      </c>
      <c r="AJ356" s="6" t="n">
        <v>32814970.51062913</v>
      </c>
      <c r="AK356" s="6" t="n">
        <v>32801140.80104145</v>
      </c>
      <c r="AL356" s="6" t="n">
        <v>22789776.42712914</v>
      </c>
      <c r="AM356" s="6" t="n">
        <v>18100753.89021847</v>
      </c>
      <c r="AN356" s="6" t="n">
        <v>18211230.03730862</v>
      </c>
      <c r="AO356" s="6" t="n">
        <v>20672150.11292791</v>
      </c>
      <c r="AP356" s="6" t="n">
        <v>24207163.05400224</v>
      </c>
      <c r="AQ356" s="6" t="n">
        <v>24172566.62871083</v>
      </c>
      <c r="AR356" s="6" t="n">
        <v>18235143.21357428</v>
      </c>
    </row>
    <row r="357">
      <c r="A357" t="inlineStr">
        <is>
          <t>Incendio</t>
        </is>
      </c>
      <c r="B357" s="8" t="n">
        <v>202412</v>
      </c>
      <c r="C357" s="8" t="n">
        <v>2024</v>
      </c>
      <c r="D357" s="9" t="n">
        <v>31514355.82046154</v>
      </c>
      <c r="E357" s="10" t="n">
        <v>0.2675097131880154</v>
      </c>
      <c r="F357" s="22">
        <f>D357*(1-E357)</f>
        <v/>
      </c>
      <c r="G357" s="10" t="n">
        <v>0.6660510000000001</v>
      </c>
      <c r="H357" s="10" t="n">
        <v>0.04566704284126583</v>
      </c>
      <c r="I357" s="10" t="n">
        <v>0.05353447217510057</v>
      </c>
      <c r="J357" s="10" t="n">
        <v>0.3193811779735379</v>
      </c>
      <c r="K357" s="9" t="n">
        <v>93265604.28340892</v>
      </c>
      <c r="L357" s="18" t="n">
        <v>140027722.0264048</v>
      </c>
      <c r="M357" s="18" t="n">
        <v>141936371.5448861</v>
      </c>
      <c r="N357" s="23">
        <f>IF(L357=0,"",M357/L357)</f>
        <v/>
      </c>
      <c r="O357" s="9" t="n">
        <v>102517693.52724</v>
      </c>
      <c r="P357" s="22">
        <f>M357*G357*(1+H357+I357)</f>
        <v/>
      </c>
      <c r="Q357" s="9" t="n">
        <v>72730414.966791</v>
      </c>
      <c r="R357" s="22">
        <f>P357-M357*G357*J357</f>
        <v/>
      </c>
      <c r="S357" s="22">
        <f>IF(A357=A356,O357-O356,"")</f>
        <v/>
      </c>
      <c r="T357" s="22">
        <f>IF(A357=A356,P357-P356,"")</f>
        <v/>
      </c>
      <c r="U357" s="22">
        <f>IF(A357=A356,Q357-Q356,"")</f>
        <v/>
      </c>
      <c r="V357" s="22">
        <f>IF(A357=A356,R357-R356,"")</f>
        <v/>
      </c>
      <c r="W357" s="22">
        <f>IF(S357="","",D357-S357)</f>
        <v/>
      </c>
      <c r="X357" s="22">
        <f>IF(T357="","",D357-T357)</f>
        <v/>
      </c>
      <c r="Y357" s="22">
        <f>IF(U357="","",F357-U357)</f>
        <v/>
      </c>
      <c r="Z357" s="22">
        <f>IF(V357="","",F357-V357)</f>
        <v/>
      </c>
      <c r="AA357" s="9" t="n">
        <v>141936371.5448861</v>
      </c>
      <c r="AB357" s="9" t="n">
        <v>124348935.4118851</v>
      </c>
      <c r="AC357" s="9" t="n">
        <v>36027833.8952666</v>
      </c>
      <c r="AD357" s="9" t="n">
        <v>18106416.48877984</v>
      </c>
      <c r="AE357" s="9" t="n">
        <v>15517465.8076988</v>
      </c>
      <c r="AF357" s="9" t="n">
        <v>141608773.8322757</v>
      </c>
      <c r="AG357" s="9" t="n">
        <v>20029786.92772856</v>
      </c>
      <c r="AH357" s="9" t="n">
        <v>21296706.67723913</v>
      </c>
      <c r="AI357" s="9" t="n">
        <v>27977743.14816175</v>
      </c>
      <c r="AJ357" s="9" t="n">
        <v>31866322.58271644</v>
      </c>
      <c r="AK357" s="9" t="n">
        <v>32058141.7346381</v>
      </c>
      <c r="AL357" s="9" t="n">
        <v>20315495.44872139</v>
      </c>
      <c r="AM357" s="9" t="n">
        <v>13653932.31147793</v>
      </c>
      <c r="AN357" s="9" t="n">
        <v>14713806.67889623</v>
      </c>
      <c r="AO357" s="9" t="n">
        <v>20258049.37421184</v>
      </c>
      <c r="AP357" s="9" t="n">
        <v>23144860.08806326</v>
      </c>
      <c r="AQ357" s="9" t="n">
        <v>23304580.79026208</v>
      </c>
      <c r="AR357" s="9" t="n">
        <v>13855989.74497038</v>
      </c>
    </row>
    <row r="358">
      <c r="A358" s="4" t="inlineStr">
        <is>
          <t>Incendio</t>
        </is>
      </c>
      <c r="B358" s="5" t="n">
        <v>202501</v>
      </c>
      <c r="C358" s="5" t="n">
        <v>2025</v>
      </c>
      <c r="D358" s="6" t="n">
        <v>22395775.76748425</v>
      </c>
      <c r="E358" s="11" t="n">
        <v>0.3336615510738798</v>
      </c>
      <c r="F358" s="22">
        <f>D358*(1-E358)</f>
        <v/>
      </c>
      <c r="G358" s="11" t="n">
        <v>0.6660510000000001</v>
      </c>
      <c r="H358" s="11" t="n">
        <v>0.04359982919662744</v>
      </c>
      <c r="I358" s="11" t="n">
        <v>0.0588771289632154</v>
      </c>
      <c r="J358" s="11" t="n">
        <v>0.3191858053849125</v>
      </c>
      <c r="K358" s="6" t="n">
        <v>90546562.85559601</v>
      </c>
      <c r="L358" s="18" t="n">
        <v>135945389.8509213</v>
      </c>
      <c r="M358" s="18" t="n">
        <v>142812933.6033938</v>
      </c>
      <c r="N358" s="23">
        <f>IF(L358=0,"",M358/L358)</f>
        <v/>
      </c>
      <c r="O358" s="6" t="n">
        <v>99825499.18886648</v>
      </c>
      <c r="P358" s="22">
        <f>M358*G358*(1+H358+I358)</f>
        <v/>
      </c>
      <c r="Q358" s="6" t="n">
        <v>70924321.59896746</v>
      </c>
      <c r="R358" s="22">
        <f>P358-M358*G358*J358</f>
        <v/>
      </c>
      <c r="S358" s="22">
        <f>IF(A358=A357,O358-O357,"")</f>
        <v/>
      </c>
      <c r="T358" s="22">
        <f>IF(A358=A357,P358-P357,"")</f>
        <v/>
      </c>
      <c r="U358" s="22">
        <f>IF(A358=A357,Q358-Q357,"")</f>
        <v/>
      </c>
      <c r="V358" s="22">
        <f>IF(A358=A357,R358-R357,"")</f>
        <v/>
      </c>
      <c r="W358" s="22">
        <f>IF(S358="","",D358-S358)</f>
        <v/>
      </c>
      <c r="X358" s="22">
        <f>IF(T358="","",D358-T358)</f>
        <v/>
      </c>
      <c r="Y358" s="22">
        <f>IF(U358="","",F358-U358)</f>
        <v/>
      </c>
      <c r="Z358" s="22">
        <f>IF(V358="","",F358-V358)</f>
        <v/>
      </c>
      <c r="AA358" s="6" t="n">
        <v>142812933.6033938</v>
      </c>
      <c r="AB358" s="6" t="n">
        <v>124382766.4704332</v>
      </c>
      <c r="AC358" s="6" t="n">
        <v>35007229.44490919</v>
      </c>
      <c r="AD358" s="6" t="n">
        <v>20720004.48360402</v>
      </c>
      <c r="AE358" s="6" t="n">
        <v>17989972.21805764</v>
      </c>
      <c r="AF358" s="6" t="n">
        <v>142053763.4965879</v>
      </c>
      <c r="AG358" s="6" t="n">
        <v>21442460.9762231</v>
      </c>
      <c r="AH358" s="6" t="n">
        <v>22099652.27004188</v>
      </c>
      <c r="AI358" s="6" t="n">
        <v>23066612.85571808</v>
      </c>
      <c r="AJ358" s="6" t="n">
        <v>20437101.55501796</v>
      </c>
      <c r="AK358" s="6" t="n">
        <v>20546346.67845764</v>
      </c>
      <c r="AL358" s="6" t="n">
        <v>21760081.81428516</v>
      </c>
      <c r="AM358" s="6" t="n">
        <v>14137733.64071206</v>
      </c>
      <c r="AN358" s="6" t="n">
        <v>14618053.97916212</v>
      </c>
      <c r="AO358" s="6" t="n">
        <v>15372340.93388141</v>
      </c>
      <c r="AP358" s="6" t="n">
        <v>13517769.31236732</v>
      </c>
      <c r="AQ358" s="6" t="n">
        <v>13597358.22918545</v>
      </c>
      <c r="AR358" s="6" t="n">
        <v>14363647.3961431</v>
      </c>
    </row>
    <row r="359">
      <c r="A359" t="inlineStr">
        <is>
          <t>Incendio</t>
        </is>
      </c>
      <c r="B359" s="8" t="n">
        <v>202502</v>
      </c>
      <c r="C359" s="8" t="n">
        <v>2025</v>
      </c>
      <c r="D359" s="9" t="n">
        <v>23448690.23124587</v>
      </c>
      <c r="E359" s="10" t="n">
        <v>0.3336615510738798</v>
      </c>
      <c r="F359" s="22">
        <f>D359*(1-E359)</f>
        <v/>
      </c>
      <c r="G359" s="10" t="n">
        <v>0.61881</v>
      </c>
      <c r="H359" s="10" t="n">
        <v>0.04566527184329862</v>
      </c>
      <c r="I359" s="10" t="n">
        <v>0.05305570075342329</v>
      </c>
      <c r="J359" s="10" t="n">
        <v>0.333383566448603</v>
      </c>
      <c r="K359" s="9" t="n">
        <v>87696966.87951328</v>
      </c>
      <c r="L359" s="18" t="n">
        <v>141718729.3022305</v>
      </c>
      <c r="M359" s="18" t="n">
        <v>143616358.6048341</v>
      </c>
      <c r="N359" s="23">
        <f>IF(L359=0,"",M359/L359)</f>
        <v/>
      </c>
      <c r="O359" s="9" t="n">
        <v>96354496.74364136</v>
      </c>
      <c r="P359" s="22">
        <f>M359*G359*(1+H359+I359)</f>
        <v/>
      </c>
      <c r="Q359" s="9" t="n">
        <v>67117769.1586242</v>
      </c>
      <c r="R359" s="22">
        <f>P359-M359*G359*J359</f>
        <v/>
      </c>
      <c r="S359" s="22">
        <f>IF(A359=A358,O359-O358,"")</f>
        <v/>
      </c>
      <c r="T359" s="22">
        <f>IF(A359=A358,P359-P358,"")</f>
        <v/>
      </c>
      <c r="U359" s="22">
        <f>IF(A359=A358,Q359-Q358,"")</f>
        <v/>
      </c>
      <c r="V359" s="22">
        <f>IF(A359=A358,R359-R358,"")</f>
        <v/>
      </c>
      <c r="W359" s="22">
        <f>IF(S359="","",D359-S359)</f>
        <v/>
      </c>
      <c r="X359" s="22">
        <f>IF(T359="","",D359-T359)</f>
        <v/>
      </c>
      <c r="Y359" s="22">
        <f>IF(U359="","",F359-U359)</f>
        <v/>
      </c>
      <c r="Z359" s="22">
        <f>IF(V359="","",F359-V359)</f>
        <v/>
      </c>
      <c r="AA359" s="9" t="n">
        <v>143616358.6048341</v>
      </c>
      <c r="AB359" s="9" t="n">
        <v>124320980.7693774</v>
      </c>
      <c r="AC359" s="9" t="n">
        <v>30196686.92110998</v>
      </c>
      <c r="AD359" s="9" t="n">
        <v>21587270.1873115</v>
      </c>
      <c r="AE359" s="9" t="n">
        <v>18775553.60499433</v>
      </c>
      <c r="AF359" s="9" t="n">
        <v>142565630.9975531</v>
      </c>
      <c r="AG359" s="9" t="n">
        <v>30672373.17665724</v>
      </c>
      <c r="AH359" s="9" t="n">
        <v>30257911.29911317</v>
      </c>
      <c r="AI359" s="9" t="n">
        <v>28623991.57540735</v>
      </c>
      <c r="AJ359" s="9" t="n">
        <v>23986336.61916506</v>
      </c>
      <c r="AK359" s="9" t="n">
        <v>23893342.64163057</v>
      </c>
      <c r="AL359" s="9" t="n">
        <v>30829299.30411067</v>
      </c>
      <c r="AM359" s="9" t="n">
        <v>22115481.03489822</v>
      </c>
      <c r="AN359" s="9" t="n">
        <v>21638505.18884328</v>
      </c>
      <c r="AO359" s="9" t="n">
        <v>19587346.68302695</v>
      </c>
      <c r="AP359" s="9" t="n">
        <v>16210938.37414107</v>
      </c>
      <c r="AQ359" s="9" t="n">
        <v>16118272.76299036</v>
      </c>
      <c r="AR359" s="9" t="n">
        <v>22217035.94574966</v>
      </c>
    </row>
    <row r="360">
      <c r="A360" s="4" t="inlineStr">
        <is>
          <t>Incendio</t>
        </is>
      </c>
      <c r="B360" s="5" t="n">
        <v>202503</v>
      </c>
      <c r="C360" s="5" t="n">
        <v>2025</v>
      </c>
      <c r="D360" s="6" t="n">
        <v>18964752.50466067</v>
      </c>
      <c r="E360" s="11" t="n">
        <v>0.3336615510738798</v>
      </c>
      <c r="F360" s="22">
        <f>D360*(1-E360)</f>
        <v/>
      </c>
      <c r="G360" s="11" t="n">
        <v>0.6269</v>
      </c>
      <c r="H360" s="11" t="n">
        <v>0.045076529536433</v>
      </c>
      <c r="I360" s="11" t="n">
        <v>0.05393678203890803</v>
      </c>
      <c r="J360" s="11" t="n">
        <v>0.3257953619170546</v>
      </c>
      <c r="K360" s="6" t="n">
        <v>86160433.87323806</v>
      </c>
      <c r="L360" s="18" t="n">
        <v>137438880.0019749</v>
      </c>
      <c r="M360" s="18" t="n">
        <v>139327323.7364532</v>
      </c>
      <c r="N360" s="23">
        <f>IF(L360=0,"",M360/L360)</f>
        <v/>
      </c>
      <c r="O360" s="6" t="n">
        <v>94691463.75779554</v>
      </c>
      <c r="P360" s="22">
        <f>M360*G360*(1+H360+I360)</f>
        <v/>
      </c>
      <c r="Q360" s="6" t="n">
        <v>66620794.02113351</v>
      </c>
      <c r="R360" s="22">
        <f>P360-M360*G360*J360</f>
        <v/>
      </c>
      <c r="S360" s="22">
        <f>IF(A360=A359,O360-O359,"")</f>
        <v/>
      </c>
      <c r="T360" s="22">
        <f>IF(A360=A359,P360-P359,"")</f>
        <v/>
      </c>
      <c r="U360" s="22">
        <f>IF(A360=A359,Q360-Q359,"")</f>
        <v/>
      </c>
      <c r="V360" s="22">
        <f>IF(A360=A359,R360-R359,"")</f>
        <v/>
      </c>
      <c r="W360" s="22">
        <f>IF(S360="","",D360-S360)</f>
        <v/>
      </c>
      <c r="X360" s="22">
        <f>IF(T360="","",D360-T360)</f>
        <v/>
      </c>
      <c r="Y360" s="22">
        <f>IF(U360="","",F360-U360)</f>
        <v/>
      </c>
      <c r="Z360" s="22">
        <f>IF(V360="","",F360-V360)</f>
        <v/>
      </c>
      <c r="AA360" s="6" t="n">
        <v>139327323.7364532</v>
      </c>
      <c r="AB360" s="6" t="n">
        <v>120387896.3136379</v>
      </c>
      <c r="AC360" s="6" t="n">
        <v>26035664.60040262</v>
      </c>
      <c r="AD360" s="6" t="n">
        <v>20131631.34681453</v>
      </c>
      <c r="AE360" s="6" t="n">
        <v>17289946.29224519</v>
      </c>
      <c r="AF360" s="6" t="n">
        <v>138236349.7965573</v>
      </c>
      <c r="AG360" s="6" t="n">
        <v>20616898.94347758</v>
      </c>
      <c r="AH360" s="6" t="n">
        <v>20546705.39691366</v>
      </c>
      <c r="AI360" s="6" t="n">
        <v>21557636.13851792</v>
      </c>
      <c r="AJ360" s="6" t="n">
        <v>19771808.1124382</v>
      </c>
      <c r="AK360" s="6" t="n">
        <v>19817963.20189538</v>
      </c>
      <c r="AL360" s="6" t="n">
        <v>20654159.634184</v>
      </c>
      <c r="AM360" s="6" t="n">
        <v>13117247.22410478</v>
      </c>
      <c r="AN360" s="6" t="n">
        <v>13159501.33094907</v>
      </c>
      <c r="AO360" s="6" t="n">
        <v>14317771.23396674</v>
      </c>
      <c r="AP360" s="6" t="n">
        <v>13102228.8998938</v>
      </c>
      <c r="AQ360" s="6" t="n">
        <v>13148055.25370864</v>
      </c>
      <c r="AR360" s="6" t="n">
        <v>13148452.42890605</v>
      </c>
    </row>
    <row r="361">
      <c r="A361" t="inlineStr">
        <is>
          <t>Incendio</t>
        </is>
      </c>
      <c r="B361" s="8" t="n">
        <v>202504</v>
      </c>
      <c r="C361" s="8" t="n">
        <v>2025</v>
      </c>
      <c r="D361" s="9" t="n">
        <v>24653351.15101658</v>
      </c>
      <c r="E361" s="10" t="n">
        <v>0.3336615510738798</v>
      </c>
      <c r="F361" s="22">
        <f>D361*(1-E361)</f>
        <v/>
      </c>
      <c r="G361" s="10" t="n">
        <v>0.6237200000000001</v>
      </c>
      <c r="H361" s="10" t="n">
        <v>0.04530614617384194</v>
      </c>
      <c r="I361" s="10" t="n">
        <v>0.04904147749143858</v>
      </c>
      <c r="J361" s="10" t="n">
        <v>0.3818173084960804</v>
      </c>
      <c r="K361" s="9" t="n">
        <v>92199522.17135048</v>
      </c>
      <c r="L361" s="18" t="n">
        <v>147821974.8787124</v>
      </c>
      <c r="M361" s="18" t="n">
        <v>140822167.5664418</v>
      </c>
      <c r="N361" s="23">
        <f>IF(L361=0,"",M361/L361)</f>
        <v/>
      </c>
      <c r="O361" s="9" t="n">
        <v>100898327.9912918</v>
      </c>
      <c r="P361" s="22">
        <f>M361*G361*(1+H361+I361)</f>
        <v/>
      </c>
      <c r="Q361" s="9" t="n">
        <v>65694954.59120201</v>
      </c>
      <c r="R361" s="22">
        <f>P361-M361*G361*J361</f>
        <v/>
      </c>
      <c r="S361" s="22">
        <f>IF(A361=A360,O361-O360,"")</f>
        <v/>
      </c>
      <c r="T361" s="22">
        <f>IF(A361=A360,P361-P360,"")</f>
        <v/>
      </c>
      <c r="U361" s="22">
        <f>IF(A361=A360,Q361-Q360,"")</f>
        <v/>
      </c>
      <c r="V361" s="22">
        <f>IF(A361=A360,R361-R360,"")</f>
        <v/>
      </c>
      <c r="W361" s="22">
        <f>IF(S361="","",D361-S361)</f>
        <v/>
      </c>
      <c r="X361" s="22">
        <f>IF(T361="","",D361-T361)</f>
        <v/>
      </c>
      <c r="Y361" s="22">
        <f>IF(U361="","",F361-U361)</f>
        <v/>
      </c>
      <c r="Z361" s="22">
        <f>IF(V361="","",F361-V361)</f>
        <v/>
      </c>
      <c r="AA361" s="9" t="n">
        <v>140822167.5664418</v>
      </c>
      <c r="AB361" s="9" t="n">
        <v>122262843.0201796</v>
      </c>
      <c r="AC361" s="9" t="n">
        <v>24831378.70164922</v>
      </c>
      <c r="AD361" s="9" t="n">
        <v>22523603.54136435</v>
      </c>
      <c r="AE361" s="9" t="n">
        <v>19610166.87426412</v>
      </c>
      <c r="AF361" s="9" t="n">
        <v>140006390.0007494</v>
      </c>
      <c r="AG361" s="9" t="n">
        <v>24525404.70275379</v>
      </c>
      <c r="AH361" s="9" t="n">
        <v>24144653.21807842</v>
      </c>
      <c r="AI361" s="9" t="n">
        <v>25642113.36658317</v>
      </c>
      <c r="AJ361" s="9" t="n">
        <v>23149613.05792964</v>
      </c>
      <c r="AK361" s="9" t="n">
        <v>23180387.46791886</v>
      </c>
      <c r="AL361" s="9" t="n">
        <v>24330577.24855398</v>
      </c>
      <c r="AM361" s="9" t="n">
        <v>21379551.37939256</v>
      </c>
      <c r="AN361" s="9" t="n">
        <v>20447160.4557263</v>
      </c>
      <c r="AO361" s="9" t="n">
        <v>18012205.50226212</v>
      </c>
      <c r="AP361" s="9" t="n">
        <v>16175961.57026828</v>
      </c>
      <c r="AQ361" s="9" t="n">
        <v>16093298.42786138</v>
      </c>
      <c r="AR361" s="9" t="n">
        <v>21213270.60155381</v>
      </c>
    </row>
    <row r="362">
      <c r="A362" s="4" t="inlineStr">
        <is>
          <t>Incendio</t>
        </is>
      </c>
      <c r="B362" s="5" t="n">
        <v>202505</v>
      </c>
      <c r="C362" s="5" t="n">
        <v>2025</v>
      </c>
      <c r="D362" s="6" t="n">
        <v>24279552.10794636</v>
      </c>
      <c r="E362" s="11" t="n">
        <v>0.3336615510738798</v>
      </c>
      <c r="F362" s="22">
        <f>D362*(1-E362)</f>
        <v/>
      </c>
      <c r="G362" s="11" t="n">
        <v>0.62573</v>
      </c>
      <c r="H362" s="11" t="n">
        <v>0.04516095598853696</v>
      </c>
      <c r="I362" s="11" t="n">
        <v>0.05459342217843324</v>
      </c>
      <c r="J362" s="11" t="n">
        <v>0.3790655096537661</v>
      </c>
      <c r="K362" s="6" t="n">
        <v>91146125.0447264</v>
      </c>
      <c r="L362" s="18" t="n">
        <v>145663664.9109462</v>
      </c>
      <c r="M362" s="18" t="n">
        <v>141762583.5097111</v>
      </c>
      <c r="N362" s="23">
        <f>IF(L362=0,"",M362/L362)</f>
        <v/>
      </c>
      <c r="O362" s="6" t="n">
        <v>100238350.070892</v>
      </c>
      <c r="P362" s="22">
        <f>M362*G362*(1+H362+I362)</f>
        <v/>
      </c>
      <c r="Q362" s="6" t="n">
        <v>65687997.72784688</v>
      </c>
      <c r="R362" s="22">
        <f>P362-M362*G362*J362</f>
        <v/>
      </c>
      <c r="S362" s="22">
        <f>IF(A362=A361,O362-O361,"")</f>
        <v/>
      </c>
      <c r="T362" s="22">
        <f>IF(A362=A361,P362-P361,"")</f>
        <v/>
      </c>
      <c r="U362" s="22">
        <f>IF(A362=A361,Q362-Q361,"")</f>
        <v/>
      </c>
      <c r="V362" s="22">
        <f>IF(A362=A361,R362-R361,"")</f>
        <v/>
      </c>
      <c r="W362" s="22">
        <f>IF(S362="","",D362-S362)</f>
        <v/>
      </c>
      <c r="X362" s="22">
        <f>IF(T362="","",D362-T362)</f>
        <v/>
      </c>
      <c r="Y362" s="22">
        <f>IF(U362="","",F362-U362)</f>
        <v/>
      </c>
      <c r="Z362" s="22">
        <f>IF(V362="","",F362-V362)</f>
        <v/>
      </c>
      <c r="AA362" s="6" t="n">
        <v>141762583.5097111</v>
      </c>
      <c r="AB362" s="6" t="n">
        <v>122859886.5178779</v>
      </c>
      <c r="AC362" s="6" t="n">
        <v>24586739.23594452</v>
      </c>
      <c r="AD362" s="6" t="n">
        <v>23860511.20384746</v>
      </c>
      <c r="AE362" s="6" t="n">
        <v>20908021.64953082</v>
      </c>
      <c r="AF362" s="6" t="n">
        <v>141295018.9203283</v>
      </c>
      <c r="AG362" s="6" t="n">
        <v>22846222.51471483</v>
      </c>
      <c r="AH362" s="6" t="n">
        <v>23186127.15623118</v>
      </c>
      <c r="AI362" s="6" t="n">
        <v>24309271.78650203</v>
      </c>
      <c r="AJ362" s="6" t="n">
        <v>23233815.08999415</v>
      </c>
      <c r="AK362" s="6" t="n">
        <v>23276954.46252446</v>
      </c>
      <c r="AL362" s="6" t="n">
        <v>22611154.32524341</v>
      </c>
      <c r="AM362" s="6" t="n">
        <v>14833724.31579361</v>
      </c>
      <c r="AN362" s="6" t="n">
        <v>15109897.11479441</v>
      </c>
      <c r="AO362" s="6" t="n">
        <v>16126392.26463062</v>
      </c>
      <c r="AP362" s="6" t="n">
        <v>15428269.55105447</v>
      </c>
      <c r="AQ362" s="6" t="n">
        <v>15464926.53756311</v>
      </c>
      <c r="AR362" s="6" t="n">
        <v>14682028.29171799</v>
      </c>
    </row>
    <row r="363">
      <c r="A363" t="inlineStr">
        <is>
          <t>Incendio</t>
        </is>
      </c>
      <c r="B363" s="8" t="n">
        <v>202506</v>
      </c>
      <c r="C363" s="8" t="n">
        <v>2025</v>
      </c>
      <c r="D363" s="9" t="n">
        <v>25066495.3209277</v>
      </c>
      <c r="E363" s="10" t="n">
        <v>0.3336615510738798</v>
      </c>
      <c r="F363" s="22">
        <f>D363*(1-E363)</f>
        <v/>
      </c>
      <c r="G363" s="10" t="n">
        <v>0.62573</v>
      </c>
      <c r="H363" s="10" t="n">
        <v>0.04399400955507052</v>
      </c>
      <c r="I363" s="10" t="n">
        <v>0.0816004712672852</v>
      </c>
      <c r="J363" s="10" t="n">
        <v>0.382663934863341</v>
      </c>
      <c r="K363" s="9" t="n">
        <v>97893626.82916433</v>
      </c>
      <c r="L363" s="18" t="n">
        <v>156447072.7456959</v>
      </c>
      <c r="M363" s="18" t="n">
        <v>143147187.0623761</v>
      </c>
      <c r="N363" s="23">
        <f>IF(L363=0,"",M363/L363)</f>
        <v/>
      </c>
      <c r="O363" s="9" t="n">
        <v>110188526.0665906</v>
      </c>
      <c r="P363" s="22">
        <f>M363*G363*(1+H363+I363)</f>
        <v/>
      </c>
      <c r="Q363" s="9" t="n">
        <v>72728165.62609911</v>
      </c>
      <c r="R363" s="22">
        <f>P363-M363*G363*J363</f>
        <v/>
      </c>
      <c r="S363" s="22">
        <f>IF(A363=A362,O363-O362,"")</f>
        <v/>
      </c>
      <c r="T363" s="22">
        <f>IF(A363=A362,P363-P362,"")</f>
        <v/>
      </c>
      <c r="U363" s="22">
        <f>IF(A363=A362,Q363-Q362,"")</f>
        <v/>
      </c>
      <c r="V363" s="22">
        <f>IF(A363=A362,R363-R362,"")</f>
        <v/>
      </c>
      <c r="W363" s="22">
        <f>IF(S363="","",D363-S363)</f>
        <v/>
      </c>
      <c r="X363" s="22">
        <f>IF(T363="","",D363-T363)</f>
        <v/>
      </c>
      <c r="Y363" s="22">
        <f>IF(U363="","",F363-U363)</f>
        <v/>
      </c>
      <c r="Z363" s="22">
        <f>IF(V363="","",F363-V363)</f>
        <v/>
      </c>
      <c r="AA363" s="9" t="n">
        <v>143147187.0623761</v>
      </c>
      <c r="AB363" s="9" t="n">
        <v>123808188.3284131</v>
      </c>
      <c r="AC363" s="9" t="n">
        <v>23787440.5763392</v>
      </c>
      <c r="AD363" s="9" t="n">
        <v>24200393.95415839</v>
      </c>
      <c r="AE363" s="9" t="n">
        <v>21237542.24970345</v>
      </c>
      <c r="AF363" s="9" t="n">
        <v>142715397.3389167</v>
      </c>
      <c r="AG363" s="9" t="n">
        <v>21799144.86554963</v>
      </c>
      <c r="AH363" s="9" t="n">
        <v>22412076.4742475</v>
      </c>
      <c r="AI363" s="9" t="n">
        <v>25231914.73912882</v>
      </c>
      <c r="AJ363" s="9" t="n">
        <v>24441310.82809043</v>
      </c>
      <c r="AK363" s="9" t="n">
        <v>24496347.66873632</v>
      </c>
      <c r="AL363" s="9" t="n">
        <v>21781507.99306018</v>
      </c>
      <c r="AM363" s="9" t="n">
        <v>14086153.26373596</v>
      </c>
      <c r="AN363" s="9" t="n">
        <v>14552052.78754971</v>
      </c>
      <c r="AO363" s="9" t="n">
        <v>16732162.06877073</v>
      </c>
      <c r="AP363" s="9" t="n">
        <v>16212693.45153721</v>
      </c>
      <c r="AQ363" s="9" t="n">
        <v>16258601.18308028</v>
      </c>
      <c r="AR363" s="9" t="n">
        <v>14076029.69076619</v>
      </c>
    </row>
    <row r="364">
      <c r="A364" s="4" t="inlineStr">
        <is>
          <t>Incendio</t>
        </is>
      </c>
      <c r="B364" s="5" t="n">
        <v>202507</v>
      </c>
      <c r="C364" s="5" t="n">
        <v>2025</v>
      </c>
      <c r="D364" s="6" t="n">
        <v>34822968.67628445</v>
      </c>
      <c r="E364" s="11" t="n">
        <v>0.3336615510738798</v>
      </c>
      <c r="F364" s="22">
        <f>D364*(1-E364)</f>
        <v/>
      </c>
      <c r="G364" s="11" t="n">
        <v>0.60909</v>
      </c>
      <c r="H364" s="11" t="n">
        <v>0.04639436975787535</v>
      </c>
      <c r="I364" s="11" t="n">
        <v>0.07603192930996629</v>
      </c>
      <c r="J364" s="11" t="n">
        <v>0.3637023531207622</v>
      </c>
      <c r="K364" s="6" t="n">
        <v>96999531.66790332</v>
      </c>
      <c r="L364" s="18" t="n">
        <v>159253200.1311848</v>
      </c>
      <c r="M364" s="18" t="n">
        <v>153559927.8286836</v>
      </c>
      <c r="N364" s="23">
        <f>IF(L364=0,"",M364/L364)</f>
        <v/>
      </c>
      <c r="O364" s="6" t="n">
        <v>108874825.3413186</v>
      </c>
      <c r="P364" s="22">
        <f>M364*G364*(1+H364+I364)</f>
        <v/>
      </c>
      <c r="Q364" s="6" t="n">
        <v>73595867.42209032</v>
      </c>
      <c r="R364" s="22">
        <f>P364-M364*G364*J364</f>
        <v/>
      </c>
      <c r="S364" s="22">
        <f>IF(A364=A363,O364-O363,"")</f>
        <v/>
      </c>
      <c r="T364" s="22">
        <f>IF(A364=A363,P364-P363,"")</f>
        <v/>
      </c>
      <c r="U364" s="22">
        <f>IF(A364=A363,Q364-Q363,"")</f>
        <v/>
      </c>
      <c r="V364" s="22">
        <f>IF(A364=A363,R364-R363,"")</f>
        <v/>
      </c>
      <c r="W364" s="22">
        <f>IF(S364="","",D364-S364)</f>
        <v/>
      </c>
      <c r="X364" s="22">
        <f>IF(T364="","",D364-T364)</f>
        <v/>
      </c>
      <c r="Y364" s="22">
        <f>IF(U364="","",F364-U364)</f>
        <v/>
      </c>
      <c r="Z364" s="22">
        <f>IF(V364="","",F364-V364)</f>
        <v/>
      </c>
      <c r="AA364" s="6" t="n">
        <v>153559927.8286836</v>
      </c>
      <c r="AB364" s="6" t="n">
        <v>133615353.110153</v>
      </c>
      <c r="AC364" s="6" t="n">
        <v>25677872.47624084</v>
      </c>
      <c r="AD364" s="6" t="n">
        <v>25813837.95555653</v>
      </c>
      <c r="AE364" s="6" t="n">
        <v>22847256.52330469</v>
      </c>
      <c r="AF364" s="6" t="n">
        <v>153050179.9421275</v>
      </c>
      <c r="AG364" s="6" t="n">
        <v>30661572.1663889</v>
      </c>
      <c r="AH364" s="6" t="n">
        <v>30676043.43911545</v>
      </c>
      <c r="AI364" s="6" t="n">
        <v>34021997.59197566</v>
      </c>
      <c r="AJ364" s="6" t="n">
        <v>34219894.21203788</v>
      </c>
      <c r="AK364" s="6" t="n">
        <v>34161232.74161945</v>
      </c>
      <c r="AL364" s="6" t="n">
        <v>30705948.33475499</v>
      </c>
      <c r="AM364" s="6" t="n">
        <v>18784449.58590213</v>
      </c>
      <c r="AN364" s="6" t="n">
        <v>19011262.84672949</v>
      </c>
      <c r="AO364" s="6" t="n">
        <v>22395498.7272783</v>
      </c>
      <c r="AP364" s="6" t="n">
        <v>22524636.10135177</v>
      </c>
      <c r="AQ364" s="6" t="n">
        <v>22518233.32690169</v>
      </c>
      <c r="AR364" s="6" t="n">
        <v>18819292.18631858</v>
      </c>
    </row>
    <row r="365">
      <c r="A365" t="inlineStr">
        <is>
          <t>Incendio</t>
        </is>
      </c>
      <c r="B365" s="8" t="n">
        <v>202508</v>
      </c>
      <c r="C365" s="8" t="n">
        <v>2025</v>
      </c>
      <c r="D365" s="9" t="n">
        <v>22571322.03015875</v>
      </c>
      <c r="E365" s="10" t="n">
        <v>0.3336615510738798</v>
      </c>
      <c r="F365" s="22">
        <f>D365*(1-E365)</f>
        <v/>
      </c>
      <c r="G365" s="10" t="n">
        <v>0.605205</v>
      </c>
      <c r="H365" s="10" t="n">
        <v>0.04669216522548979</v>
      </c>
      <c r="I365" s="10" t="n">
        <v>0.07689891733712878</v>
      </c>
      <c r="J365" s="10" t="n">
        <v>0.3676987805055119</v>
      </c>
      <c r="K365" s="9" t="n">
        <v>95052688.07062668</v>
      </c>
      <c r="L365" s="18" t="n">
        <v>157058662.8838603</v>
      </c>
      <c r="M365" s="18" t="n">
        <v>152169030.5159607</v>
      </c>
      <c r="N365" s="23">
        <f>IF(L365=0,"",M365/L365)</f>
        <v/>
      </c>
      <c r="O365" s="9" t="n">
        <v>106800352.6897623</v>
      </c>
      <c r="P365" s="22">
        <f>M365*G365*(1+H365+I365)</f>
        <v/>
      </c>
      <c r="Q365" s="9" t="n">
        <v>71849595.2024221</v>
      </c>
      <c r="R365" s="22">
        <f>P365-M365*G365*J365</f>
        <v/>
      </c>
      <c r="S365" s="22">
        <f>IF(A365=A364,O365-O364,"")</f>
        <v/>
      </c>
      <c r="T365" s="22">
        <f>IF(A365=A364,P365-P364,"")</f>
        <v/>
      </c>
      <c r="U365" s="22">
        <f>IF(A365=A364,Q365-Q364,"")</f>
        <v/>
      </c>
      <c r="V365" s="22">
        <f>IF(A365=A364,R365-R364,"")</f>
        <v/>
      </c>
      <c r="W365" s="22">
        <f>IF(S365="","",D365-S365)</f>
        <v/>
      </c>
      <c r="X365" s="22">
        <f>IF(T365="","",D365-T365)</f>
        <v/>
      </c>
      <c r="Y365" s="22">
        <f>IF(U365="","",F365-U365)</f>
        <v/>
      </c>
      <c r="Z365" s="22">
        <f>IF(V365="","",F365-V365)</f>
        <v/>
      </c>
      <c r="AA365" s="9" t="n">
        <v>152169030.5159607</v>
      </c>
      <c r="AB365" s="9" t="n">
        <v>131969007.394461</v>
      </c>
      <c r="AC365" s="9" t="n">
        <v>27562452.91497948</v>
      </c>
      <c r="AD365" s="9" t="n">
        <v>23723471.59045853</v>
      </c>
      <c r="AE365" s="9" t="n">
        <v>20846293.75248985</v>
      </c>
      <c r="AF365" s="9" t="n">
        <v>151328490.2500848</v>
      </c>
      <c r="AG365" s="9" t="n">
        <v>24078504.3047334</v>
      </c>
      <c r="AH365" s="9" t="n">
        <v>24179298.72035333</v>
      </c>
      <c r="AI365" s="9" t="n">
        <v>21383672.21737975</v>
      </c>
      <c r="AJ365" s="9" t="n">
        <v>24087144.78289562</v>
      </c>
      <c r="AK365" s="9" t="n">
        <v>24015505.16374217</v>
      </c>
      <c r="AL365" s="9" t="n">
        <v>24301580.61359894</v>
      </c>
      <c r="AM365" s="9" t="n">
        <v>16392232.49588586</v>
      </c>
      <c r="AN365" s="9" t="n">
        <v>16416123.43207361</v>
      </c>
      <c r="AO365" s="9" t="n">
        <v>14297695.07617678</v>
      </c>
      <c r="AP365" s="9" t="n">
        <v>16116746.98326373</v>
      </c>
      <c r="AQ365" s="9" t="n">
        <v>16062019.21232479</v>
      </c>
      <c r="AR365" s="9" t="n">
        <v>16541183.89744779</v>
      </c>
    </row>
    <row r="366">
      <c r="A366" s="4" t="inlineStr">
        <is>
          <t>Incendio</t>
        </is>
      </c>
      <c r="B366" s="5" t="n">
        <v>202509</v>
      </c>
      <c r="C366" s="5" t="n">
        <v>2025</v>
      </c>
      <c r="D366" s="6" t="n">
        <v>33362889.62798825</v>
      </c>
      <c r="E366" s="11" t="n">
        <v>0.3336615510738798</v>
      </c>
      <c r="F366" s="22">
        <f>D366*(1-E366)</f>
        <v/>
      </c>
      <c r="G366" s="11" t="n">
        <v>0.627752617</v>
      </c>
      <c r="H366" s="11" t="n">
        <v>0.04501510551198289</v>
      </c>
      <c r="I366" s="11" t="n">
        <v>0.08275147007065826</v>
      </c>
      <c r="J366" s="11" t="n">
        <v>0.3550961362182167</v>
      </c>
      <c r="K366" s="6" t="n">
        <v>101998995.051516</v>
      </c>
      <c r="L366" s="18" t="n">
        <v>162482787.4696315</v>
      </c>
      <c r="M366" s="18" t="n">
        <v>159814312.3139854</v>
      </c>
      <c r="N366" s="23">
        <f>IF(L366=0,"",M366/L366)</f>
        <v/>
      </c>
      <c r="O366" s="6" t="n">
        <v>115031057.362119</v>
      </c>
      <c r="P366" s="22">
        <f>M366*G366*(1+H366+I366)</f>
        <v/>
      </c>
      <c r="Q366" s="6" t="n">
        <v>78811608.32118462</v>
      </c>
      <c r="R366" s="22">
        <f>P366-M366*G366*J366</f>
        <v/>
      </c>
      <c r="S366" s="22">
        <f>IF(A366=A365,O366-O365,"")</f>
        <v/>
      </c>
      <c r="T366" s="22">
        <f>IF(A366=A365,P366-P365,"")</f>
        <v/>
      </c>
      <c r="U366" s="22">
        <f>IF(A366=A365,Q366-Q365,"")</f>
        <v/>
      </c>
      <c r="V366" s="22">
        <f>IF(A366=A365,R366-R365,"")</f>
        <v/>
      </c>
      <c r="W366" s="22">
        <f>IF(S366="","",D366-S366)</f>
        <v/>
      </c>
      <c r="X366" s="22">
        <f>IF(T366="","",D366-T366)</f>
        <v/>
      </c>
      <c r="Y366" s="22">
        <f>IF(U366="","",F366-U366)</f>
        <v/>
      </c>
      <c r="Z366" s="22">
        <f>IF(V366="","",F366-V366)</f>
        <v/>
      </c>
      <c r="AA366" s="6" t="n">
        <v>159814312.3139854</v>
      </c>
      <c r="AB366" s="6" t="n">
        <v>138214917.9585524</v>
      </c>
      <c r="AC366" s="6" t="n">
        <v>29971069.85999812</v>
      </c>
      <c r="AD366" s="6" t="n">
        <v>22975087.78009668</v>
      </c>
      <c r="AE366" s="6" t="n">
        <v>19888402.52820811</v>
      </c>
      <c r="AF366" s="6" t="n">
        <v>159150649.0524223</v>
      </c>
      <c r="AG366" s="6" t="n">
        <v>23696390.01728441</v>
      </c>
      <c r="AH366" s="6" t="n">
        <v>25251787.96719779</v>
      </c>
      <c r="AI366" s="6" t="n">
        <v>30887167.43528813</v>
      </c>
      <c r="AJ366" s="6" t="n">
        <v>33229513.25764879</v>
      </c>
      <c r="AK366" s="6" t="n">
        <v>33458268.67715342</v>
      </c>
      <c r="AL366" s="6" t="n">
        <v>23594666.15788588</v>
      </c>
      <c r="AM366" s="6" t="n">
        <v>14326436.77082191</v>
      </c>
      <c r="AN366" s="6" t="n">
        <v>15562233.68697756</v>
      </c>
      <c r="AO366" s="6" t="n">
        <v>20302621.70113128</v>
      </c>
      <c r="AP366" s="6" t="n">
        <v>21939776.03693556</v>
      </c>
      <c r="AQ366" s="6" t="n">
        <v>22120738.06127265</v>
      </c>
      <c r="AR366" s="6" t="n">
        <v>14263822.12056326</v>
      </c>
    </row>
    <row r="367">
      <c r="A367" t="inlineStr">
        <is>
          <t>Incendio</t>
        </is>
      </c>
      <c r="B367" s="8" t="n">
        <v>202510</v>
      </c>
      <c r="C367" s="8" t="n">
        <v>2025</v>
      </c>
      <c r="D367" s="9" t="n">
        <v>35062915.70701267</v>
      </c>
      <c r="E367" s="10" t="n">
        <v>0.3336615510738798</v>
      </c>
      <c r="F367" s="22">
        <f>D367*(1-E367)</f>
        <v/>
      </c>
      <c r="G367" s="10" t="n">
        <v>0.639419</v>
      </c>
      <c r="H367" s="10" t="n">
        <v>0.0441937884922316</v>
      </c>
      <c r="I367" s="10" t="n">
        <v>0.08546138528190188</v>
      </c>
      <c r="J367" s="10" t="n">
        <v>0.3899763451698277</v>
      </c>
      <c r="K367" s="9" t="n">
        <v>107543791.4266184</v>
      </c>
      <c r="L367" s="18" t="n">
        <v>168189858.9604288</v>
      </c>
      <c r="M367" s="18" t="n">
        <v>168137647.2813228</v>
      </c>
      <c r="N367" s="23">
        <f>IF(L367=0,"",M367/L367)</f>
        <v/>
      </c>
      <c r="O367" s="9" t="n">
        <v>121487400.3923658</v>
      </c>
      <c r="P367" s="22">
        <f>M367*G367*(1+H367+I367)</f>
        <v/>
      </c>
      <c r="Q367" s="9" t="n">
        <v>79547865.66610691</v>
      </c>
      <c r="R367" s="22">
        <f>P367-M367*G367*J367</f>
        <v/>
      </c>
      <c r="S367" s="22">
        <f>IF(A367=A366,O367-O366,"")</f>
        <v/>
      </c>
      <c r="T367" s="22">
        <f>IF(A367=A366,P367-P366,"")</f>
        <v/>
      </c>
      <c r="U367" s="22">
        <f>IF(A367=A366,Q367-Q366,"")</f>
        <v/>
      </c>
      <c r="V367" s="22">
        <f>IF(A367=A366,R367-R366,"")</f>
        <v/>
      </c>
      <c r="W367" s="22">
        <f>IF(S367="","",D367-S367)</f>
        <v/>
      </c>
      <c r="X367" s="22">
        <f>IF(T367="","",D367-T367)</f>
        <v/>
      </c>
      <c r="Y367" s="22">
        <f>IF(U367="","",F367-U367)</f>
        <v/>
      </c>
      <c r="Z367" s="22">
        <f>IF(V367="","",F367-V367)</f>
        <v/>
      </c>
      <c r="AA367" s="9" t="n">
        <v>168137647.2813228</v>
      </c>
      <c r="AB367" s="9" t="n">
        <v>146614715.5321934</v>
      </c>
      <c r="AC367" s="9" t="n">
        <v>44376482.61962095</v>
      </c>
      <c r="AD367" s="9" t="n">
        <v>28948990.30987577</v>
      </c>
      <c r="AE367" s="9" t="n">
        <v>25768013.33917515</v>
      </c>
      <c r="AF367" s="9" t="n">
        <v>167357431.7552051</v>
      </c>
      <c r="AG367" s="9" t="n">
        <v>26755116.91965851</v>
      </c>
      <c r="AH367" s="9" t="n">
        <v>27010152.06931911</v>
      </c>
      <c r="AI367" s="9" t="n">
        <v>24227033.70951685</v>
      </c>
      <c r="AJ367" s="9" t="n">
        <v>30417801.53872945</v>
      </c>
      <c r="AK367" s="9" t="n">
        <v>30530249.49702271</v>
      </c>
      <c r="AL367" s="9" t="n">
        <v>26848838.53121404</v>
      </c>
      <c r="AM367" s="9" t="n">
        <v>21357872.89524643</v>
      </c>
      <c r="AN367" s="9" t="n">
        <v>21060762.31952452</v>
      </c>
      <c r="AO367" s="9" t="n">
        <v>16912603.48120581</v>
      </c>
      <c r="AP367" s="9" t="n">
        <v>20815890.34842953</v>
      </c>
      <c r="AQ367" s="9" t="n">
        <v>20823196.16089156</v>
      </c>
      <c r="AR367" s="9" t="n">
        <v>21404980.15745537</v>
      </c>
    </row>
    <row r="368">
      <c r="A368" s="4" t="inlineStr">
        <is>
          <t>Incendio</t>
        </is>
      </c>
      <c r="B368" s="5" t="n">
        <v>202511</v>
      </c>
      <c r="C368" s="5" t="n">
        <v>2025</v>
      </c>
      <c r="D368" s="6" t="n">
        <v>30862858.4359832</v>
      </c>
      <c r="E368" s="11" t="n">
        <v>0.3336615510738798</v>
      </c>
      <c r="F368" s="22">
        <f>D368*(1-E368)</f>
        <v/>
      </c>
      <c r="G368" s="11" t="n">
        <v>0.6481125</v>
      </c>
      <c r="H368" s="11" t="n">
        <v>0.04360099090479661</v>
      </c>
      <c r="I368" s="11" t="n">
        <v>0.06978734431384394</v>
      </c>
      <c r="J368" s="11" t="n">
        <v>0.3925170992723334</v>
      </c>
      <c r="K368" s="6" t="n">
        <v>111007947.845075</v>
      </c>
      <c r="L368" s="18" t="n">
        <v>171278825.5820941</v>
      </c>
      <c r="M368" s="18" t="n">
        <v>171771920.2800696</v>
      </c>
      <c r="N368" s="23">
        <f>IF(L368=0,"",M368/L368)</f>
        <v/>
      </c>
      <c r="O368" s="6" t="n">
        <v>123594954.2472657</v>
      </c>
      <c r="P368" s="22">
        <f>M368*G368*(1+H368+I368)</f>
        <v/>
      </c>
      <c r="Q368" s="6" t="n">
        <v>80022436.56294239</v>
      </c>
      <c r="R368" s="22">
        <f>P368-M368*G368*J368</f>
        <v/>
      </c>
      <c r="S368" s="22">
        <f>IF(A368=A367,O368-O367,"")</f>
        <v/>
      </c>
      <c r="T368" s="22">
        <f>IF(A368=A367,P368-P367,"")</f>
        <v/>
      </c>
      <c r="U368" s="22">
        <f>IF(A368=A367,Q368-Q367,"")</f>
        <v/>
      </c>
      <c r="V368" s="22">
        <f>IF(A368=A367,R368-R367,"")</f>
        <v/>
      </c>
      <c r="W368" s="22">
        <f>IF(S368="","",D368-S368)</f>
        <v/>
      </c>
      <c r="X368" s="22">
        <f>IF(T368="","",D368-T368)</f>
        <v/>
      </c>
      <c r="Y368" s="22">
        <f>IF(U368="","",F368-U368)</f>
        <v/>
      </c>
      <c r="Z368" s="22">
        <f>IF(V368="","",F368-V368)</f>
        <v/>
      </c>
      <c r="AA368" s="6" t="n">
        <v>171771920.2800696</v>
      </c>
      <c r="AB368" s="6" t="n">
        <v>150306375.9533951</v>
      </c>
      <c r="AC368" s="6" t="n">
        <v>52040018.44133307</v>
      </c>
      <c r="AD368" s="6" t="n">
        <v>27276131.321459</v>
      </c>
      <c r="AE368" s="6" t="n">
        <v>24078877.31032611</v>
      </c>
      <c r="AF368" s="6" t="n">
        <v>171118121.2547065</v>
      </c>
      <c r="AG368" s="6" t="n">
        <v>28361773.30879235</v>
      </c>
      <c r="AH368" s="6" t="n">
        <v>28304821.1253693</v>
      </c>
      <c r="AI368" s="6" t="n">
        <v>25364887.66444317</v>
      </c>
      <c r="AJ368" s="6" t="n">
        <v>32090898.59032803</v>
      </c>
      <c r="AK368" s="6" t="n">
        <v>32100347.18425877</v>
      </c>
      <c r="AL368" s="6" t="n">
        <v>28269987.66713544</v>
      </c>
      <c r="AM368" s="6" t="n">
        <v>19835467.4085693</v>
      </c>
      <c r="AN368" s="6" t="n">
        <v>19684704.29823176</v>
      </c>
      <c r="AO368" s="6" t="n">
        <v>17240227.76623368</v>
      </c>
      <c r="AP368" s="6" t="n">
        <v>21513396.74086033</v>
      </c>
      <c r="AQ368" s="6" t="n">
        <v>21502682.09900889</v>
      </c>
      <c r="AR368" s="6" t="n">
        <v>19771911.61317434</v>
      </c>
    </row>
    <row r="369">
      <c r="A369" t="inlineStr">
        <is>
          <t>Incendio</t>
        </is>
      </c>
      <c r="B369" s="8" t="n">
        <v>202512</v>
      </c>
      <c r="C369" s="8" t="n">
        <v>2025</v>
      </c>
      <c r="D369" s="9" t="n">
        <v>19853605.33207562</v>
      </c>
      <c r="E369" s="10" t="n">
        <v>0.3336615510738798</v>
      </c>
      <c r="F369" s="22">
        <f>D369*(1-E369)</f>
        <v/>
      </c>
      <c r="G369" s="10" t="n">
        <v>0.652008</v>
      </c>
      <c r="H369" s="10" t="n">
        <v>0.04334046606960383</v>
      </c>
      <c r="I369" s="10" t="n">
        <v>0.07479021160104393</v>
      </c>
      <c r="J369" s="10" t="n">
        <v>0.3906983972042127</v>
      </c>
      <c r="K369" s="9" t="n">
        <v>109107835.3859396</v>
      </c>
      <c r="L369" s="18" t="n">
        <v>167341252.5397535</v>
      </c>
      <c r="M369" s="18" t="n">
        <v>165169860.5691479</v>
      </c>
      <c r="N369" s="23">
        <f>IF(L369=0,"",M369/L369)</f>
        <v/>
      </c>
      <c r="O369" s="9" t="n">
        <v>121996817.9192581</v>
      </c>
      <c r="P369" s="22">
        <f>M369*G369*(1+H369+I369)</f>
        <v/>
      </c>
      <c r="Q369" s="9" t="n">
        <v>79368561.51155043</v>
      </c>
      <c r="R369" s="22">
        <f>P369-M369*G369*J369</f>
        <v/>
      </c>
      <c r="S369" s="22">
        <f>IF(A369=A368,O369-O368,"")</f>
        <v/>
      </c>
      <c r="T369" s="22">
        <f>IF(A369=A368,P369-P368,"")</f>
        <v/>
      </c>
      <c r="U369" s="22">
        <f>IF(A369=A368,Q369-Q368,"")</f>
        <v/>
      </c>
      <c r="V369" s="22">
        <f>IF(A369=A368,R369-R368,"")</f>
        <v/>
      </c>
      <c r="W369" s="22">
        <f>IF(S369="","",D369-S369)</f>
        <v/>
      </c>
      <c r="X369" s="22">
        <f>IF(T369="","",D369-T369)</f>
        <v/>
      </c>
      <c r="Y369" s="22">
        <f>IF(U369="","",F369-U369)</f>
        <v/>
      </c>
      <c r="Z369" s="22">
        <f>IF(V369="","",F369-V369)</f>
        <v/>
      </c>
      <c r="AA369" s="9" t="n">
        <v>165169860.5691479</v>
      </c>
      <c r="AB369" s="9" t="n">
        <v>144215603.8070666</v>
      </c>
      <c r="AC369" s="9" t="n">
        <v>55289981.74596915</v>
      </c>
      <c r="AD369" s="9" t="n">
        <v>24342834.69019932</v>
      </c>
      <c r="AE369" s="9" t="n">
        <v>21208980.93011973</v>
      </c>
      <c r="AF369" s="9" t="n">
        <v>164598676.6828023</v>
      </c>
      <c r="AG369" s="9" t="n">
        <v>23390569.44392927</v>
      </c>
      <c r="AH369" s="9" t="n">
        <v>23177298.27958127</v>
      </c>
      <c r="AI369" s="9" t="n">
        <v>17097665.82691688</v>
      </c>
      <c r="AJ369" s="9" t="n">
        <v>21789425.82166256</v>
      </c>
      <c r="AK369" s="9" t="n">
        <v>21766958.32501551</v>
      </c>
      <c r="AL369" s="9" t="n">
        <v>23335197.7530637</v>
      </c>
      <c r="AM369" s="9" t="n">
        <v>15143345.3832074</v>
      </c>
      <c r="AN369" s="9" t="n">
        <v>15052950.95849472</v>
      </c>
      <c r="AO369" s="9" t="n">
        <v>11319034.11476659</v>
      </c>
      <c r="AP369" s="9" t="n">
        <v>14427179.8608252</v>
      </c>
      <c r="AQ369" s="9" t="n">
        <v>14419765.41573875</v>
      </c>
      <c r="AR369" s="9" t="n">
        <v>15108794.53600103</v>
      </c>
    </row>
    <row r="370">
      <c r="A370" s="4" t="inlineStr">
        <is>
          <t>Incendio</t>
        </is>
      </c>
      <c r="B370" s="5" t="n">
        <v>202601</v>
      </c>
      <c r="C370" s="5" t="n">
        <v>2026</v>
      </c>
      <c r="D370" s="6" t="n">
        <v>29197875.46890199</v>
      </c>
      <c r="E370" s="11" t="n">
        <v>0.3336615510738798</v>
      </c>
      <c r="F370" s="22">
        <f>D370*(1-E370)</f>
        <v/>
      </c>
      <c r="G370" s="11" t="n">
        <v>0.621777</v>
      </c>
      <c r="H370" s="11" t="n">
        <v>0.04544771319338706</v>
      </c>
      <c r="I370" s="11" t="n">
        <v>0.0668095090748711</v>
      </c>
      <c r="J370" s="11" t="n">
        <v>0.3754079327613009</v>
      </c>
      <c r="K370" s="6" t="n">
        <v>104096908.8116601</v>
      </c>
      <c r="L370" s="18" t="n">
        <v>167418397.2898002</v>
      </c>
      <c r="M370" s="18" t="n">
        <v>167513842.5759303</v>
      </c>
      <c r="N370" s="23">
        <f>IF(L370=0,"",M370/L370)</f>
        <v/>
      </c>
      <c r="O370" s="6" t="n">
        <v>115782538.6415692</v>
      </c>
      <c r="P370" s="22">
        <f>M370*G370*(1+H370+I370)</f>
        <v/>
      </c>
      <c r="Q370" s="6" t="n">
        <v>76703733.29774225</v>
      </c>
      <c r="R370" s="22">
        <f>P370-M370*G370*J370</f>
        <v/>
      </c>
      <c r="S370" s="22">
        <f>IF(A370=A369,O370-O369,"")</f>
        <v/>
      </c>
      <c r="T370" s="22">
        <f>IF(A370=A369,P370-P369,"")</f>
        <v/>
      </c>
      <c r="U370" s="22">
        <f>IF(A370=A369,Q370-Q369,"")</f>
        <v/>
      </c>
      <c r="V370" s="22">
        <f>IF(A370=A369,R370-R369,"")</f>
        <v/>
      </c>
      <c r="W370" s="22">
        <f>IF(S370="","",D370-S370)</f>
        <v/>
      </c>
      <c r="X370" s="22">
        <f>IF(T370="","",D370-T370)</f>
        <v/>
      </c>
      <c r="Y370" s="22">
        <f>IF(U370="","",F370-U370)</f>
        <v/>
      </c>
      <c r="Z370" s="22">
        <f>IF(V370="","",F370-V370)</f>
        <v/>
      </c>
      <c r="AA370" s="6" t="n">
        <v>167513842.5759303</v>
      </c>
      <c r="AB370" s="6" t="n">
        <v>146282000.1911075</v>
      </c>
      <c r="AC370" s="6" t="n">
        <v>53074288.32999738</v>
      </c>
      <c r="AD370" s="6" t="n">
        <v>27826769.49943003</v>
      </c>
      <c r="AE370" s="6" t="n">
        <v>24487130.66082058</v>
      </c>
      <c r="AF370" s="6" t="n">
        <v>167087228.304217</v>
      </c>
      <c r="AG370" s="6" t="n">
        <v>33763136.87403478</v>
      </c>
      <c r="AH370" s="6" t="n">
        <v>33170283.7451647</v>
      </c>
      <c r="AI370" s="6" t="n">
        <v>32801037.13829024</v>
      </c>
      <c r="AJ370" s="6" t="n">
        <v>27700211.01934884</v>
      </c>
      <c r="AK370" s="6" t="n">
        <v>27725151.08447522</v>
      </c>
      <c r="AL370" s="6" t="n">
        <v>33641762.77550931</v>
      </c>
      <c r="AM370" s="6" t="n">
        <v>21046893.32486627</v>
      </c>
      <c r="AN370" s="6" t="n">
        <v>20835958.68885767</v>
      </c>
      <c r="AO370" s="6" t="n">
        <v>21362944.12926941</v>
      </c>
      <c r="AP370" s="6" t="n">
        <v>18252270.92396446</v>
      </c>
      <c r="AQ370" s="6" t="n">
        <v>18295985.57572619</v>
      </c>
      <c r="AR370" s="6" t="n">
        <v>20971441.43059998</v>
      </c>
    </row>
    <row r="371">
      <c r="A371" t="inlineStr">
        <is>
          <t>Incendio</t>
        </is>
      </c>
      <c r="B371" s="8" t="n">
        <v>202602</v>
      </c>
      <c r="C371" s="8" t="n">
        <v>2026</v>
      </c>
      <c r="D371" s="9" t="n">
        <v>31401243.76248961</v>
      </c>
      <c r="E371" s="10" t="n">
        <v>0.3336615510738798</v>
      </c>
      <c r="F371" s="22">
        <f>D371*(1-E371)</f>
        <v/>
      </c>
      <c r="G371" s="10" t="n">
        <v>0.648011</v>
      </c>
      <c r="H371" s="10" t="n">
        <v>0.04544771319338705</v>
      </c>
      <c r="I371" s="10" t="n">
        <v>0.06680950907487108</v>
      </c>
      <c r="J371" s="10" t="n">
        <v>0.3754079327613007</v>
      </c>
      <c r="K371" s="9" t="n">
        <v>105234424.7954364</v>
      </c>
      <c r="L371" s="18" t="n">
        <v>162396046.9736415</v>
      </c>
      <c r="M371" s="18" t="n">
        <v>171546403.3939128</v>
      </c>
      <c r="N371" s="23">
        <f>IF(L371=0,"",M371/L371)</f>
        <v/>
      </c>
      <c r="O371" s="9" t="n">
        <v>117047749.00997</v>
      </c>
      <c r="P371" s="22">
        <f>M371*G371*(1+H371+I371)</f>
        <v/>
      </c>
      <c r="Q371" s="9" t="n">
        <v>77541911.14219061</v>
      </c>
      <c r="R371" s="22">
        <f>P371-M371*G371*J371</f>
        <v/>
      </c>
      <c r="S371" s="22">
        <f>IF(A371=A370,O371-O370,"")</f>
        <v/>
      </c>
      <c r="T371" s="22">
        <f>IF(A371=A370,P371-P370,"")</f>
        <v/>
      </c>
      <c r="U371" s="22">
        <f>IF(A371=A370,Q371-Q370,"")</f>
        <v/>
      </c>
      <c r="V371" s="22">
        <f>IF(A371=A370,R371-R370,"")</f>
        <v/>
      </c>
      <c r="W371" s="22">
        <f>IF(S371="","",D371-S371)</f>
        <v/>
      </c>
      <c r="X371" s="22">
        <f>IF(T371="","",D371-T371)</f>
        <v/>
      </c>
      <c r="Y371" s="22">
        <f>IF(U371="","",F371-U371)</f>
        <v/>
      </c>
      <c r="Z371" s="22">
        <f>IF(V371="","",F371-V371)</f>
        <v/>
      </c>
      <c r="AA371" s="9" t="n">
        <v>171546403.3939128</v>
      </c>
      <c r="AB371" s="9" t="n">
        <v>149644789.5863114</v>
      </c>
      <c r="AC371" s="9" t="n">
        <v>46588103.88692545</v>
      </c>
      <c r="AD371" s="9" t="n">
        <v>27302743.64493253</v>
      </c>
      <c r="AE371" s="9" t="n">
        <v>23902363.6284206</v>
      </c>
      <c r="AF371" s="9" t="n">
        <v>171190564.1557054</v>
      </c>
      <c r="AG371" s="9" t="n">
        <v>23606876.6967411</v>
      </c>
      <c r="AH371" s="9" t="n">
        <v>24709140.73562827</v>
      </c>
      <c r="AI371" s="9" t="n">
        <v>34527540.75625125</v>
      </c>
      <c r="AJ371" s="9" t="n">
        <v>30966981.89064904</v>
      </c>
      <c r="AK371" s="9" t="n">
        <v>31108208.56778069</v>
      </c>
      <c r="AL371" s="9" t="n">
        <v>23568313.40254245</v>
      </c>
      <c r="AM371" s="9" t="n">
        <v>15760235.88637659</v>
      </c>
      <c r="AN371" s="9" t="n">
        <v>16490464.8816505</v>
      </c>
      <c r="AO371" s="9" t="n">
        <v>22994968.45730475</v>
      </c>
      <c r="AP371" s="9" t="n">
        <v>20636165.81899387</v>
      </c>
      <c r="AQ371" s="9" t="n">
        <v>20729725.81089186</v>
      </c>
      <c r="AR371" s="9" t="n">
        <v>15734688.4362343</v>
      </c>
    </row>
    <row r="372">
      <c r="A372" s="4" t="inlineStr">
        <is>
          <t>Incendio</t>
        </is>
      </c>
      <c r="B372" s="5" t="n">
        <v>202603</v>
      </c>
      <c r="C372" s="5" t="n">
        <v>2026</v>
      </c>
      <c r="D372" s="6" t="n">
        <v>21154550.8548081</v>
      </c>
      <c r="E372" s="11" t="n">
        <v>0.3336615510738798</v>
      </c>
      <c r="F372" s="22">
        <f>D372*(1-E372)</f>
        <v/>
      </c>
      <c r="G372" s="11" t="n">
        <v>0.649612</v>
      </c>
      <c r="H372" s="11" t="n">
        <v>0.04039554454464613</v>
      </c>
      <c r="I372" s="11" t="n">
        <v>0.06262511944897689</v>
      </c>
      <c r="J372" s="11" t="n">
        <v>0.3517050975476606</v>
      </c>
      <c r="K372" s="6" t="n">
        <v>105162520.242452</v>
      </c>
      <c r="L372" s="18" t="n">
        <v>161885125.6480052</v>
      </c>
      <c r="M372" s="18" t="n">
        <v>165074797.1879919</v>
      </c>
      <c r="N372" s="23">
        <f>IF(L372=0,"",M372/L372)</f>
        <v/>
      </c>
      <c r="O372" s="6" t="n">
        <v>115996432.9050722</v>
      </c>
      <c r="P372" s="22">
        <f>M372*G372*(1+H372+I372)</f>
        <v/>
      </c>
      <c r="Q372" s="6" t="n">
        <v>79010238.4648428</v>
      </c>
      <c r="R372" s="22">
        <f>P372-M372*G372*J372</f>
        <v/>
      </c>
      <c r="S372" s="22">
        <f>IF(A372=A371,O372-O371,"")</f>
        <v/>
      </c>
      <c r="T372" s="22">
        <f>IF(A372=A371,P372-P371,"")</f>
        <v/>
      </c>
      <c r="U372" s="22">
        <f>IF(A372=A371,Q372-Q371,"")</f>
        <v/>
      </c>
      <c r="V372" s="22">
        <f>IF(A372=A371,R372-R371,"")</f>
        <v/>
      </c>
      <c r="W372" s="22">
        <f>IF(S372="","",D372-S372)</f>
        <v/>
      </c>
      <c r="X372" s="22">
        <f>IF(T372="","",D372-T372)</f>
        <v/>
      </c>
      <c r="Y372" s="22">
        <f>IF(U372="","",F372-U372)</f>
        <v/>
      </c>
      <c r="Z372" s="22">
        <f>IF(V372="","",F372-V372)</f>
        <v/>
      </c>
      <c r="AA372" s="6" t="n">
        <v>165074797.1879919</v>
      </c>
      <c r="AB372" s="6" t="n">
        <v>143119261.4692621</v>
      </c>
      <c r="AC372" s="6" t="n">
        <v>39727859.18348129</v>
      </c>
      <c r="AD372" s="6" t="n">
        <v>24719074.91460351</v>
      </c>
      <c r="AE372" s="6" t="n">
        <v>21365194.14995239</v>
      </c>
      <c r="AF372" s="6" t="n">
        <v>164846326.4609504</v>
      </c>
      <c r="AG372" s="6" t="n">
        <v>26515518.55952262</v>
      </c>
      <c r="AH372" s="6" t="n">
        <v>26461742.64085037</v>
      </c>
      <c r="AI372" s="6" t="n">
        <v>26266735.86718937</v>
      </c>
      <c r="AJ372" s="6" t="n">
        <v>23121043.82175208</v>
      </c>
      <c r="AK372" s="6" t="n">
        <v>23073377.7075317</v>
      </c>
      <c r="AL372" s="6" t="n">
        <v>26422753.05708576</v>
      </c>
      <c r="AM372" s="6" t="n">
        <v>15440171.83939959</v>
      </c>
      <c r="AN372" s="6" t="n">
        <v>15698146.09686956</v>
      </c>
      <c r="AO372" s="6" t="n">
        <v>16951556.42463283</v>
      </c>
      <c r="AP372" s="6" t="n">
        <v>15068299.72145584</v>
      </c>
      <c r="AQ372" s="6" t="n">
        <v>15081571.50187666</v>
      </c>
      <c r="AR372" s="6" t="n">
        <v>15381771.67388202</v>
      </c>
    </row>
    <row r="373">
      <c r="A373" t="inlineStr">
        <is>
          <t>Incendio</t>
        </is>
      </c>
      <c r="B373" s="8" t="n">
        <v>202604</v>
      </c>
      <c r="C373" s="8" t="n">
        <v>2026</v>
      </c>
      <c r="D373" s="9" t="n">
        <v>34034002.99995308</v>
      </c>
      <c r="E373" s="10" t="n">
        <v>0.3336615510738798</v>
      </c>
      <c r="F373" s="22">
        <f>D373*(1-E373)</f>
        <v/>
      </c>
      <c r="G373" s="10" t="n">
        <v>0.634809</v>
      </c>
      <c r="H373" s="10" t="n">
        <v>0.04016503920530141</v>
      </c>
      <c r="I373" s="10" t="n">
        <v>0.0605325725468179</v>
      </c>
      <c r="J373" s="10" t="n">
        <v>0.4018017571577989</v>
      </c>
      <c r="K373" s="9" t="n">
        <v>109848254.0208829</v>
      </c>
      <c r="L373" s="18" t="n">
        <v>173041425.0914573</v>
      </c>
      <c r="M373" s="18" t="n">
        <v>170839739.4322494</v>
      </c>
      <c r="N373" s="23">
        <f>IF(L373=0,"",M373/L373)</f>
        <v/>
      </c>
      <c r="O373" s="9" t="n">
        <v>120909710.855926</v>
      </c>
      <c r="P373" s="22">
        <f>M373*G373*(1+H373+I373)</f>
        <v/>
      </c>
      <c r="Q373" s="9" t="n">
        <v>76772489.36961897</v>
      </c>
      <c r="R373" s="22">
        <f>P373-M373*G373*J373</f>
        <v/>
      </c>
      <c r="S373" s="22">
        <f>IF(A373=A372,O373-O372,"")</f>
        <v/>
      </c>
      <c r="T373" s="22">
        <f>IF(A373=A372,P373-P372,"")</f>
        <v/>
      </c>
      <c r="U373" s="22">
        <f>IF(A373=A372,Q373-Q372,"")</f>
        <v/>
      </c>
      <c r="V373" s="22">
        <f>IF(A373=A372,R373-R372,"")</f>
        <v/>
      </c>
      <c r="W373" s="22">
        <f>IF(S373="","",D373-S373)</f>
        <v/>
      </c>
      <c r="X373" s="22">
        <f>IF(T373="","",D373-T373)</f>
        <v/>
      </c>
      <c r="Y373" s="22">
        <f>IF(U373="","",F373-U373)</f>
        <v/>
      </c>
      <c r="Z373" s="22">
        <f>IF(V373="","",F373-V373)</f>
        <v/>
      </c>
      <c r="AA373" s="9" t="n">
        <v>170839739.4322494</v>
      </c>
      <c r="AB373" s="9" t="n">
        <v>149241404.1151499</v>
      </c>
      <c r="AC373" s="9" t="n">
        <v>36441657.72187144</v>
      </c>
      <c r="AD373" s="9" t="n">
        <v>27346533.46291066</v>
      </c>
      <c r="AE373" s="9" t="n">
        <v>23957189.95505666</v>
      </c>
      <c r="AF373" s="9" t="n">
        <v>170734814.1308545</v>
      </c>
      <c r="AG373" s="9" t="n">
        <v>32944627.68768279</v>
      </c>
      <c r="AH373" s="9" t="n">
        <v>32304172.04744028</v>
      </c>
      <c r="AI373" s="9" t="n">
        <v>37037443.11551425</v>
      </c>
      <c r="AJ373" s="9" t="n">
        <v>32638178.16874842</v>
      </c>
      <c r="AK373" s="9" t="n">
        <v>32603248.98435746</v>
      </c>
      <c r="AL373" s="9" t="n">
        <v>32854235.0546931</v>
      </c>
      <c r="AM373" s="9" t="n">
        <v>27449488.16576397</v>
      </c>
      <c r="AN373" s="9" t="n">
        <v>26316223.80750336</v>
      </c>
      <c r="AO373" s="9" t="n">
        <v>25899985.18251561</v>
      </c>
      <c r="AP373" s="9" t="n">
        <v>22609935.53169875</v>
      </c>
      <c r="AQ373" s="9" t="n">
        <v>22476762.75621857</v>
      </c>
      <c r="AR373" s="9" t="n">
        <v>27384531.64202259</v>
      </c>
    </row>
    <row r="374">
      <c r="A374" s="4" t="inlineStr">
        <is>
          <t>Incendio</t>
        </is>
      </c>
      <c r="B374" s="5" t="n">
        <v>202605</v>
      </c>
      <c r="C374" s="5" t="n">
        <v>2026</v>
      </c>
      <c r="D374" s="6" t="n">
        <v>23269625.5938585</v>
      </c>
      <c r="E374" s="11" t="n">
        <v>0.3336615510738798</v>
      </c>
      <c r="F374" s="22">
        <f>D374*(1-E374)</f>
        <v/>
      </c>
      <c r="G374" s="11" t="n">
        <v>0.660084</v>
      </c>
      <c r="H374" s="11" t="n">
        <v>0.03975221568326406</v>
      </c>
      <c r="I374" s="11" t="n">
        <v>0.0576325661434911</v>
      </c>
      <c r="J374" s="11" t="n">
        <v>0.411423772683334</v>
      </c>
      <c r="K374" s="6" t="n">
        <v>106756519.3637868</v>
      </c>
      <c r="L374" s="18" t="n">
        <v>161731718.0295036</v>
      </c>
      <c r="M374" s="18" t="n">
        <v>164767885.4402792</v>
      </c>
      <c r="N374" s="23">
        <f>IF(L374=0,"",M374/L374)</f>
        <v/>
      </c>
      <c r="O374" s="6" t="n">
        <v>117152979.710613</v>
      </c>
      <c r="P374" s="22">
        <f>M374*G374*(1+H374+I374)</f>
        <v/>
      </c>
      <c r="Q374" s="6" t="n">
        <v>73230809.7554224</v>
      </c>
      <c r="R374" s="22">
        <f>P374-M374*G374*J374</f>
        <v/>
      </c>
      <c r="S374" s="22">
        <f>IF(A374=A373,O374-O373,"")</f>
        <v/>
      </c>
      <c r="T374" s="22">
        <f>IF(A374=A373,P374-P373,"")</f>
        <v/>
      </c>
      <c r="U374" s="22">
        <f>IF(A374=A373,Q374-Q373,"")</f>
        <v/>
      </c>
      <c r="V374" s="22">
        <f>IF(A374=A373,R374-R373,"")</f>
        <v/>
      </c>
      <c r="W374" s="22">
        <f>IF(S374="","",D374-S374)</f>
        <v/>
      </c>
      <c r="X374" s="22">
        <f>IF(T374="","",D374-T374)</f>
        <v/>
      </c>
      <c r="Y374" s="22">
        <f>IF(U374="","",F374-U374)</f>
        <v/>
      </c>
      <c r="Z374" s="22">
        <f>IF(V374="","",F374-V374)</f>
        <v/>
      </c>
      <c r="AA374" s="6" t="n">
        <v>164767885.4402792</v>
      </c>
      <c r="AB374" s="6" t="n">
        <v>143473045.5869764</v>
      </c>
      <c r="AC374" s="6" t="n">
        <v>33253416.82564044</v>
      </c>
      <c r="AD374" s="6" t="n">
        <v>26733944.35980755</v>
      </c>
      <c r="AE374" s="6" t="n">
        <v>23387940.25763136</v>
      </c>
      <c r="AF374" s="6" t="n">
        <v>165853124.6144499</v>
      </c>
      <c r="AG374" s="6" t="n">
        <v>23288670.00680947</v>
      </c>
      <c r="AH374" s="6" t="n">
        <v>23622466.63879193</v>
      </c>
      <c r="AI374" s="6" t="n">
        <v>24644956.25072067</v>
      </c>
      <c r="AJ374" s="6" t="n">
        <v>23012380.14464352</v>
      </c>
      <c r="AK374" s="6" t="n">
        <v>23067866.89759339</v>
      </c>
      <c r="AL374" s="6" t="n">
        <v>22429244.75481319</v>
      </c>
      <c r="AM374" s="6" t="n">
        <v>16695562.16759642</v>
      </c>
      <c r="AN374" s="6" t="n">
        <v>16755259.26830444</v>
      </c>
      <c r="AO374" s="6" t="n">
        <v>16616470.74812149</v>
      </c>
      <c r="AP374" s="6" t="n">
        <v>15533243.2392076</v>
      </c>
      <c r="AQ374" s="6" t="n">
        <v>15544552.37925764</v>
      </c>
      <c r="AR374" s="6" t="n">
        <v>16157622.95077464</v>
      </c>
    </row>
    <row r="375">
      <c r="A375" t="inlineStr">
        <is>
          <t>MyT</t>
        </is>
      </c>
      <c r="B375" s="8" t="n">
        <v>202201</v>
      </c>
      <c r="C375" s="8" t="n">
        <v>2022</v>
      </c>
      <c r="D375" s="9" t="n">
        <v>1967805.834223854</v>
      </c>
      <c r="E375" s="10" t="n">
        <v>0.141560405885254</v>
      </c>
      <c r="F375" s="22">
        <f>D375*(1-E375)</f>
        <v/>
      </c>
      <c r="G375" s="10" t="n">
        <v>0.8784104829780647</v>
      </c>
      <c r="H375" s="10" t="n">
        <v>0.04336902655939715</v>
      </c>
      <c r="I375" s="10" t="n">
        <v>0.1853307051251391</v>
      </c>
      <c r="J375" s="10" t="n">
        <v>0.01612706324012819</v>
      </c>
      <c r="K375" s="9" t="n">
        <v>10714841.61710344</v>
      </c>
      <c r="L375" s="18" t="n">
        <v>12197989.23707859</v>
      </c>
      <c r="M375" s="18" t="n">
        <v>12234948.85175418</v>
      </c>
      <c r="N375" s="23">
        <f>IF(L375=0,"",M375/L375)</f>
        <v/>
      </c>
      <c r="O375" s="9" t="n">
        <v>13165323.0199773</v>
      </c>
      <c r="P375" s="22">
        <f>M375*G375*(1+H375+I375)</f>
        <v/>
      </c>
      <c r="Q375" s="9" t="n">
        <v>12992524.09161031</v>
      </c>
      <c r="R375" s="22">
        <f>P375-M375*G375*J375</f>
        <v/>
      </c>
      <c r="S375" s="22">
        <f>IF(A375=A374,O375-O374,"")</f>
        <v/>
      </c>
      <c r="T375" s="22">
        <f>IF(A375=A374,P375-P374,"")</f>
        <v/>
      </c>
      <c r="U375" s="22">
        <f>IF(A375=A374,Q375-Q374,"")</f>
        <v/>
      </c>
      <c r="V375" s="22">
        <f>IF(A375=A374,R375-R374,"")</f>
        <v/>
      </c>
      <c r="W375" s="22">
        <f>IF(S375="","",D375-S375)</f>
        <v/>
      </c>
      <c r="X375" s="22">
        <f>IF(T375="","",D375-T375)</f>
        <v/>
      </c>
      <c r="Y375" s="22">
        <f>IF(U375="","",F375-U375)</f>
        <v/>
      </c>
      <c r="Z375" s="22">
        <f>IF(V375="","",F375-V375)</f>
        <v/>
      </c>
      <c r="AA375" s="9" t="n">
        <v>12013511.72862794</v>
      </c>
      <c r="AB375" s="9" t="n">
        <v>10338509.49847223</v>
      </c>
      <c r="AC375" s="9" t="n">
        <v>5696970.12258278</v>
      </c>
      <c r="AD375" s="9" t="n">
        <v>2540601.197134804</v>
      </c>
      <c r="AE375" s="9" t="n">
        <v>2536792.204404475</v>
      </c>
      <c r="AF375" s="9" t="n">
        <v>12480578.62139782</v>
      </c>
    </row>
    <row r="376">
      <c r="A376" s="4" t="inlineStr">
        <is>
          <t>MyT</t>
        </is>
      </c>
      <c r="B376" s="5" t="n">
        <v>202202</v>
      </c>
      <c r="C376" s="5" t="n">
        <v>2022</v>
      </c>
      <c r="D376" s="6" t="n">
        <v>2611497.145664971</v>
      </c>
      <c r="E376" s="11" t="n">
        <v>0.141560405885254</v>
      </c>
      <c r="F376" s="22">
        <f>D376*(1-E376)</f>
        <v/>
      </c>
      <c r="G376" s="11" t="n">
        <v>0.853686131559212</v>
      </c>
      <c r="H376" s="11" t="n">
        <v>0.04462507374668316</v>
      </c>
      <c r="I376" s="11" t="n">
        <v>0.2029188192114687</v>
      </c>
      <c r="J376" s="11" t="n">
        <v>0.01577422500431162</v>
      </c>
      <c r="K376" s="6" t="n">
        <v>10907053.6372142</v>
      </c>
      <c r="L376" s="18" t="n">
        <v>12776421.25601015</v>
      </c>
      <c r="M376" s="18" t="n">
        <v>12705576.82550088</v>
      </c>
      <c r="N376" s="23">
        <f>IF(L376=0,"",M376/L376)</f>
        <v/>
      </c>
      <c r="O376" s="6" t="n">
        <v>13607028.15527357</v>
      </c>
      <c r="P376" s="22">
        <f>M376*G376*(1+H376+I376)</f>
        <v/>
      </c>
      <c r="Q376" s="6" t="n">
        <v>13434977.83706606</v>
      </c>
      <c r="R376" s="22">
        <f>P376-M376*G376*J376</f>
        <v/>
      </c>
      <c r="S376" s="22">
        <f>IF(A376=A375,O376-O375,"")</f>
        <v/>
      </c>
      <c r="T376" s="22">
        <f>IF(A376=A375,P376-P375,"")</f>
        <v/>
      </c>
      <c r="U376" s="22">
        <f>IF(A376=A375,Q376-Q375,"")</f>
        <v/>
      </c>
      <c r="V376" s="22">
        <f>IF(A376=A375,R376-R375,"")</f>
        <v/>
      </c>
      <c r="W376" s="22">
        <f>IF(S376="","",D376-S376)</f>
        <v/>
      </c>
      <c r="X376" s="22">
        <f>IF(T376="","",D376-T376)</f>
        <v/>
      </c>
      <c r="Y376" s="22">
        <f>IF(U376="","",F376-U376)</f>
        <v/>
      </c>
      <c r="Z376" s="22">
        <f>IF(V376="","",F376-V376)</f>
        <v/>
      </c>
      <c r="AA376" s="6" t="n">
        <v>12472224.79588302</v>
      </c>
      <c r="AB376" s="6" t="n">
        <v>10811963.11231772</v>
      </c>
      <c r="AC376" s="6" t="n">
        <v>4929277.346054451</v>
      </c>
      <c r="AD376" s="6" t="n">
        <v>2304993.330302873</v>
      </c>
      <c r="AE376" s="6" t="n">
        <v>2301897.935879835</v>
      </c>
      <c r="AF376" s="6" t="n">
        <v>12837677.23123623</v>
      </c>
      <c r="AG376" s="6" t="n">
        <v>2294657.484683288</v>
      </c>
      <c r="AH376" s="6" t="n">
        <v>2255019.836661929</v>
      </c>
      <c r="AI376" s="6" t="n">
        <v>3510518.320843508</v>
      </c>
      <c r="AJ376" s="6" t="n">
        <v>2898731.873082681</v>
      </c>
      <c r="AK376" s="6" t="n">
        <v>2897917.445712331</v>
      </c>
      <c r="AL376" s="6" t="n">
        <v>2409553.220321467</v>
      </c>
      <c r="AM376" s="6" t="n">
        <v>1922741.238802207</v>
      </c>
      <c r="AN376" s="6" t="n">
        <v>1884474.498719099</v>
      </c>
      <c r="AO376" s="6" t="n">
        <v>3126508.230275825</v>
      </c>
      <c r="AP376" s="6" t="n">
        <v>2524096.246476774</v>
      </c>
      <c r="AQ376" s="6" t="n">
        <v>2523294.094673143</v>
      </c>
      <c r="AR376" s="6" t="n">
        <v>2035941.689258286</v>
      </c>
    </row>
    <row r="377">
      <c r="A377" t="inlineStr">
        <is>
          <t>MyT</t>
        </is>
      </c>
      <c r="B377" s="8" t="n">
        <v>202203</v>
      </c>
      <c r="C377" s="8" t="n">
        <v>2022</v>
      </c>
      <c r="D377" s="9" t="n">
        <v>2331585.535589283</v>
      </c>
      <c r="E377" s="10" t="n">
        <v>0.141560405885254</v>
      </c>
      <c r="F377" s="22">
        <f>D377*(1-E377)</f>
        <v/>
      </c>
      <c r="G377" s="10" t="n">
        <v>0.8929200090878947</v>
      </c>
      <c r="H377" s="10" t="n">
        <v>0.04266424124206046</v>
      </c>
      <c r="I377" s="10" t="n">
        <v>0.2230295903226918</v>
      </c>
      <c r="J377" s="10" t="n">
        <v>0.01369467694423969</v>
      </c>
      <c r="K377" s="9" t="n">
        <v>11736276.19085923</v>
      </c>
      <c r="L377" s="18" t="n">
        <v>13143703.88322653</v>
      </c>
      <c r="M377" s="18" t="n">
        <v>12803199.51661852</v>
      </c>
      <c r="N377" s="23">
        <f>IF(L377=0,"",M377/L377)</f>
        <v/>
      </c>
      <c r="O377" s="9" t="n">
        <v>14854532.38031079</v>
      </c>
      <c r="P377" s="22">
        <f>M377*G377*(1+H377+I377)</f>
        <v/>
      </c>
      <c r="Q377" s="9" t="n">
        <v>14693807.8693486</v>
      </c>
      <c r="R377" s="22">
        <f>P377-M377*G377*J377</f>
        <v/>
      </c>
      <c r="S377" s="22">
        <f>IF(A377=A376,O377-O376,"")</f>
        <v/>
      </c>
      <c r="T377" s="22">
        <f>IF(A377=A376,P377-P376,"")</f>
        <v/>
      </c>
      <c r="U377" s="22">
        <f>IF(A377=A376,Q377-Q376,"")</f>
        <v/>
      </c>
      <c r="V377" s="22">
        <f>IF(A377=A376,R377-R376,"")</f>
        <v/>
      </c>
      <c r="W377" s="22">
        <f>IF(S377="","",D377-S377)</f>
        <v/>
      </c>
      <c r="X377" s="22">
        <f>IF(T377="","",D377-T377)</f>
        <v/>
      </c>
      <c r="Y377" s="22">
        <f>IF(U377="","",F377-U377)</f>
        <v/>
      </c>
      <c r="Z377" s="22">
        <f>IF(V377="","",F377-V377)</f>
        <v/>
      </c>
      <c r="AA377" s="9" t="n">
        <v>12593668.68060066</v>
      </c>
      <c r="AB377" s="9" t="n">
        <v>11065799.53678509</v>
      </c>
      <c r="AC377" s="9" t="n">
        <v>4398743.448370992</v>
      </c>
      <c r="AD377" s="9" t="n">
        <v>2433741.557301839</v>
      </c>
      <c r="AE377" s="9" t="n">
        <v>2432155.338739106</v>
      </c>
      <c r="AF377" s="9" t="n">
        <v>13052342.16698277</v>
      </c>
      <c r="AG377" s="9" t="n">
        <v>1381738.384600997</v>
      </c>
      <c r="AH377" s="9" t="n">
        <v>1340283.267906791</v>
      </c>
      <c r="AI377" s="9" t="n">
        <v>2610021.115728653</v>
      </c>
      <c r="AJ377" s="9" t="n">
        <v>2035903.097174299</v>
      </c>
      <c r="AK377" s="9" t="n">
        <v>2034399.154393132</v>
      </c>
      <c r="AL377" s="9" t="n">
        <v>1252573.256149774</v>
      </c>
      <c r="AM377" s="9" t="n">
        <v>1037722.795694922</v>
      </c>
      <c r="AN377" s="9" t="n">
        <v>999941.9890369275</v>
      </c>
      <c r="AO377" s="9" t="n">
        <v>2267371.042612854</v>
      </c>
      <c r="AP377" s="9" t="n">
        <v>1704563.71843048</v>
      </c>
      <c r="AQ377" s="9" t="n">
        <v>1703082.062285776</v>
      </c>
      <c r="AR377" s="9" t="n">
        <v>909245.1726390556</v>
      </c>
    </row>
    <row r="378">
      <c r="A378" s="4" t="inlineStr">
        <is>
          <t>MyT</t>
        </is>
      </c>
      <c r="B378" s="5" t="n">
        <v>202204</v>
      </c>
      <c r="C378" s="5" t="n">
        <v>2022</v>
      </c>
      <c r="D378" s="6" t="n">
        <v>2538035.30862263</v>
      </c>
      <c r="E378" s="11" t="n">
        <v>0.141560405885254</v>
      </c>
      <c r="F378" s="22">
        <f>D378*(1-E378)</f>
        <v/>
      </c>
      <c r="G378" s="11" t="n">
        <v>0.9398525129459184</v>
      </c>
      <c r="H378" s="11" t="n">
        <v>0.04053380181556121</v>
      </c>
      <c r="I378" s="11" t="n">
        <v>0.1537566269666076</v>
      </c>
      <c r="J378" s="11" t="n">
        <v>0.01014361797373147</v>
      </c>
      <c r="K378" s="6" t="n">
        <v>13022787.5528992</v>
      </c>
      <c r="L378" s="18" t="n">
        <v>13856203.36544077</v>
      </c>
      <c r="M378" s="18" t="n">
        <v>13345453.61013751</v>
      </c>
      <c r="N378" s="23">
        <f>IF(L378=0,"",M378/L378)</f>
        <v/>
      </c>
      <c r="O378" s="6" t="n">
        <v>15552990.53049107</v>
      </c>
      <c r="P378" s="22">
        <f>M378*G378*(1+H378+I378)</f>
        <v/>
      </c>
      <c r="Q378" s="6" t="n">
        <v>15420892.3486014</v>
      </c>
      <c r="R378" s="22">
        <f>P378-M378*G378*J378</f>
        <v/>
      </c>
      <c r="S378" s="22">
        <f>IF(A378=A377,O378-O377,"")</f>
        <v/>
      </c>
      <c r="T378" s="22">
        <f>IF(A378=A377,P378-P377,"")</f>
        <v/>
      </c>
      <c r="U378" s="22">
        <f>IF(A378=A377,Q378-Q377,"")</f>
        <v/>
      </c>
      <c r="V378" s="22">
        <f>IF(A378=A377,R378-R377,"")</f>
        <v/>
      </c>
      <c r="W378" s="22">
        <f>IF(S378="","",D378-S378)</f>
        <v/>
      </c>
      <c r="X378" s="22">
        <f>IF(T378="","",D378-T378)</f>
        <v/>
      </c>
      <c r="Y378" s="22">
        <f>IF(U378="","",F378-U378)</f>
        <v/>
      </c>
      <c r="Z378" s="22">
        <f>IF(V378="","",F378-V378)</f>
        <v/>
      </c>
      <c r="AA378" s="6" t="n">
        <v>13128628.02286776</v>
      </c>
      <c r="AB378" s="6" t="n">
        <v>11494312.15724145</v>
      </c>
      <c r="AC378" s="6" t="n">
        <v>3722559.705835378</v>
      </c>
      <c r="AD378" s="6" t="n">
        <v>2498928.948275225</v>
      </c>
      <c r="AE378" s="6" t="n">
        <v>2523148.022878446</v>
      </c>
      <c r="AF378" s="6" t="n">
        <v>13485347.05580953</v>
      </c>
      <c r="AG378" s="6" t="n">
        <v>2034619.467485396</v>
      </c>
      <c r="AH378" s="6" t="n">
        <v>2142326.817129021</v>
      </c>
      <c r="AI378" s="6" t="n">
        <v>3330921.248294592</v>
      </c>
      <c r="AJ378" s="6" t="n">
        <v>2483620.871836613</v>
      </c>
      <c r="AK378" s="6" t="n">
        <v>2454643.319308094</v>
      </c>
      <c r="AL378" s="6" t="n">
        <v>2152593.704442728</v>
      </c>
      <c r="AM378" s="6" t="n">
        <v>1646497.455471482</v>
      </c>
      <c r="AN378" s="6" t="n">
        <v>1757307.214374913</v>
      </c>
      <c r="AO378" s="6" t="n">
        <v>2953336.041596875</v>
      </c>
      <c r="AP378" s="6" t="n">
        <v>2118398.711846012</v>
      </c>
      <c r="AQ378" s="6" t="n">
        <v>2089671.448661338</v>
      </c>
      <c r="AR378" s="6" t="n">
        <v>1762263.700510209</v>
      </c>
    </row>
    <row r="379">
      <c r="A379" t="inlineStr">
        <is>
          <t>MyT</t>
        </is>
      </c>
      <c r="B379" s="8" t="n">
        <v>202205</v>
      </c>
      <c r="C379" s="8" t="n">
        <v>2022</v>
      </c>
      <c r="D379" s="9" t="n">
        <v>5486716.767507556</v>
      </c>
      <c r="E379" s="10" t="n">
        <v>0.141560405885254</v>
      </c>
      <c r="F379" s="22">
        <f>D379*(1-E379)</f>
        <v/>
      </c>
      <c r="G379" s="10" t="n">
        <v>0.9570330594677446</v>
      </c>
      <c r="H379" s="10" t="n">
        <v>0.03980608527406693</v>
      </c>
      <c r="I379" s="10" t="n">
        <v>0.1535657591873757</v>
      </c>
      <c r="J379" s="10" t="n">
        <v>0.03797169528676854</v>
      </c>
      <c r="K379" s="9" t="n">
        <v>16023998.42879276</v>
      </c>
      <c r="L379" s="18" t="n">
        <v>16743411.59928638</v>
      </c>
      <c r="M379" s="18" t="n">
        <v>16427254.35023828</v>
      </c>
      <c r="N379" s="23">
        <f>IF(L379=0,"",M379/L379)</f>
        <v/>
      </c>
      <c r="O379" s="9" t="n">
        <v>19122588.56061568</v>
      </c>
      <c r="P379" s="22">
        <f>M379*G379*(1+H379+I379)</f>
        <v/>
      </c>
      <c r="Q379" s="9" t="n">
        <v>18514130.1750019</v>
      </c>
      <c r="R379" s="22">
        <f>P379-M379*G379*J379</f>
        <v/>
      </c>
      <c r="S379" s="22">
        <f>IF(A379=A378,O379-O378,"")</f>
        <v/>
      </c>
      <c r="T379" s="22">
        <f>IF(A379=A378,P379-P378,"")</f>
        <v/>
      </c>
      <c r="U379" s="22">
        <f>IF(A379=A378,Q379-Q378,"")</f>
        <v/>
      </c>
      <c r="V379" s="22">
        <f>IF(A379=A378,R379-R378,"")</f>
        <v/>
      </c>
      <c r="W379" s="22">
        <f>IF(S379="","",D379-S379)</f>
        <v/>
      </c>
      <c r="X379" s="22">
        <f>IF(T379="","",D379-T379)</f>
        <v/>
      </c>
      <c r="Y379" s="22">
        <f>IF(U379="","",F379-U379)</f>
        <v/>
      </c>
      <c r="Z379" s="22">
        <f>IF(V379="","",F379-V379)</f>
        <v/>
      </c>
      <c r="AA379" s="9" t="n">
        <v>16168225.02584747</v>
      </c>
      <c r="AB379" s="9" t="n">
        <v>14256939.19195175</v>
      </c>
      <c r="AC379" s="9" t="n">
        <v>4180167.135685269</v>
      </c>
      <c r="AD379" s="9" t="n">
        <v>3078763.140152049</v>
      </c>
      <c r="AE379" s="9" t="n">
        <v>3102268.91123092</v>
      </c>
      <c r="AF379" s="9" t="n">
        <v>16588574.27763979</v>
      </c>
      <c r="AG379" s="9" t="n">
        <v>1757365.264035103</v>
      </c>
      <c r="AH379" s="9" t="n">
        <v>2105788.70140219</v>
      </c>
      <c r="AI379" s="9" t="n">
        <v>4890975.998677476</v>
      </c>
      <c r="AJ379" s="9" t="n">
        <v>4775412.696157684</v>
      </c>
      <c r="AK379" s="9" t="n">
        <v>4775751.70825387</v>
      </c>
      <c r="AL379" s="9" t="n">
        <v>1677687.66160993</v>
      </c>
      <c r="AM379" s="9" t="n">
        <v>1443057.58168015</v>
      </c>
      <c r="AN379" s="9" t="n">
        <v>1737605.329514979</v>
      </c>
      <c r="AO379" s="9" t="n">
        <v>4230693.079888985</v>
      </c>
      <c r="AP379" s="9" t="n">
        <v>4086770.061204438</v>
      </c>
      <c r="AQ379" s="9" t="n">
        <v>4087732.384298842</v>
      </c>
      <c r="AR379" s="9" t="n">
        <v>1375254.758935208</v>
      </c>
    </row>
    <row r="380">
      <c r="A380" s="4" t="inlineStr">
        <is>
          <t>MyT</t>
        </is>
      </c>
      <c r="B380" s="5" t="n">
        <v>202206</v>
      </c>
      <c r="C380" s="5" t="n">
        <v>2022</v>
      </c>
      <c r="D380" s="6" t="n">
        <v>1224983.385828868</v>
      </c>
      <c r="E380" s="11" t="n">
        <v>0.141560405885254</v>
      </c>
      <c r="F380" s="22">
        <f>D380*(1-E380)</f>
        <v/>
      </c>
      <c r="G380" s="11" t="n">
        <v>0.9439947857137526</v>
      </c>
      <c r="H380" s="11" t="n">
        <v>0.04035590575045541</v>
      </c>
      <c r="I380" s="11" t="n">
        <v>0.1135832081630335</v>
      </c>
      <c r="J380" s="11" t="n">
        <v>0.0370081178873236</v>
      </c>
      <c r="K380" s="6" t="n">
        <v>14343317.61483564</v>
      </c>
      <c r="L380" s="18" t="n">
        <v>15194276.31582804</v>
      </c>
      <c r="M380" s="18" t="n">
        <v>15207545.22472451</v>
      </c>
      <c r="N380" s="23">
        <f>IF(L380=0,"",M380/L380)</f>
        <v/>
      </c>
      <c r="O380" s="6" t="n">
        <v>16551315.21904317</v>
      </c>
      <c r="P380" s="22">
        <f>M380*G380*(1+H380+I380)</f>
        <v/>
      </c>
      <c r="Q380" s="6" t="n">
        <v>16020496.02985801</v>
      </c>
      <c r="R380" s="22">
        <f>P380-M380*G380*J380</f>
        <v/>
      </c>
      <c r="S380" s="22">
        <f>IF(A380=A379,O380-O379,"")</f>
        <v/>
      </c>
      <c r="T380" s="22">
        <f>IF(A380=A379,P380-P379,"")</f>
        <v/>
      </c>
      <c r="U380" s="22">
        <f>IF(A380=A379,Q380-Q379,"")</f>
        <v/>
      </c>
      <c r="V380" s="22">
        <f>IF(A380=A379,R380-R379,"")</f>
        <v/>
      </c>
      <c r="W380" s="22">
        <f>IF(S380="","",D380-S380)</f>
        <v/>
      </c>
      <c r="X380" s="22">
        <f>IF(T380="","",D380-T380)</f>
        <v/>
      </c>
      <c r="Y380" s="22">
        <f>IF(U380="","",F380-U380)</f>
        <v/>
      </c>
      <c r="Z380" s="22">
        <f>IF(V380="","",F380-V380)</f>
        <v/>
      </c>
      <c r="AA380" s="6" t="n">
        <v>14956395.1640087</v>
      </c>
      <c r="AB380" s="6" t="n">
        <v>13075688.85967595</v>
      </c>
      <c r="AC380" s="6" t="n">
        <v>3689900.295189742</v>
      </c>
      <c r="AD380" s="6" t="n">
        <v>2665730.478904851</v>
      </c>
      <c r="AE380" s="6" t="n">
        <v>2689987.346646685</v>
      </c>
      <c r="AF380" s="6" t="n">
        <v>15433397.71642942</v>
      </c>
      <c r="AG380" s="6" t="n">
        <v>3398465.179570878</v>
      </c>
      <c r="AH380" s="6" t="n">
        <v>3264269.584802555</v>
      </c>
      <c r="AI380" s="6" t="n">
        <v>1979682.296228165</v>
      </c>
      <c r="AJ380" s="6" t="n">
        <v>1837413.84971373</v>
      </c>
      <c r="AK380" s="6" t="n">
        <v>1837836.394663922</v>
      </c>
      <c r="AL380" s="6" t="n">
        <v>3358939.661840472</v>
      </c>
      <c r="AM380" s="6" t="n">
        <v>3160008.724469129</v>
      </c>
      <c r="AN380" s="6" t="n">
        <v>3029566.218187252</v>
      </c>
      <c r="AO380" s="6" t="n">
        <v>1783273.57837324</v>
      </c>
      <c r="AP380" s="6" t="n">
        <v>1645250.483562726</v>
      </c>
      <c r="AQ380" s="6" t="n">
        <v>1645666.2499326</v>
      </c>
      <c r="AR380" s="6" t="n">
        <v>3121871.952940495</v>
      </c>
    </row>
    <row r="381">
      <c r="A381" t="inlineStr">
        <is>
          <t>MyT</t>
        </is>
      </c>
      <c r="B381" s="8" t="n">
        <v>202207</v>
      </c>
      <c r="C381" s="8" t="n">
        <v>2022</v>
      </c>
      <c r="D381" s="9" t="n">
        <v>2387112.974383428</v>
      </c>
      <c r="E381" s="10" t="n">
        <v>0.141560405885254</v>
      </c>
      <c r="F381" s="22">
        <f>D381*(1-E381)</f>
        <v/>
      </c>
      <c r="G381" s="10" t="n">
        <v>0.8903275389841876</v>
      </c>
      <c r="H381" s="10" t="n">
        <v>0.03968264290196625</v>
      </c>
      <c r="I381" s="10" t="n">
        <v>0.1439482966170303</v>
      </c>
      <c r="J381" s="10" t="n">
        <v>0.07756413813357627</v>
      </c>
      <c r="K381" s="9" t="n">
        <v>11669425.55763999</v>
      </c>
      <c r="L381" s="18" t="n">
        <v>13106890.49442875</v>
      </c>
      <c r="M381" s="18" t="n">
        <v>15166459.87858164</v>
      </c>
      <c r="N381" s="23">
        <f>IF(L381=0,"",M381/L381)</f>
        <v/>
      </c>
      <c r="O381" s="9" t="n">
        <v>13812293.13643641</v>
      </c>
      <c r="P381" s="22">
        <f>M381*G381*(1+H381+I381)</f>
        <v/>
      </c>
      <c r="Q381" s="9" t="n">
        <v>12907164.20054414</v>
      </c>
      <c r="R381" s="22">
        <f>P381-M381*G381*J381</f>
        <v/>
      </c>
      <c r="S381" s="22">
        <f>IF(A381=A380,O381-O380,"")</f>
        <v/>
      </c>
      <c r="T381" s="22">
        <f>IF(A381=A380,P381-P380,"")</f>
        <v/>
      </c>
      <c r="U381" s="22">
        <f>IF(A381=A380,Q381-Q380,"")</f>
        <v/>
      </c>
      <c r="V381" s="22">
        <f>IF(A381=A380,R381-R380,"")</f>
        <v/>
      </c>
      <c r="W381" s="22">
        <f>IF(S381="","",D381-S381)</f>
        <v/>
      </c>
      <c r="X381" s="22">
        <f>IF(T381="","",D381-T381)</f>
        <v/>
      </c>
      <c r="Y381" s="22">
        <f>IF(U381="","",F381-U381)</f>
        <v/>
      </c>
      <c r="Z381" s="22">
        <f>IF(V381="","",F381-V381)</f>
        <v/>
      </c>
      <c r="AA381" s="9" t="n">
        <v>14911747.95593822</v>
      </c>
      <c r="AB381" s="9" t="n">
        <v>13008183.62256332</v>
      </c>
      <c r="AC381" s="9" t="n">
        <v>4111997.775892408</v>
      </c>
      <c r="AD381" s="9" t="n">
        <v>3156780.030511926</v>
      </c>
      <c r="AE381" s="9" t="n">
        <v>3200074.738266499</v>
      </c>
      <c r="AF381" s="9" t="n">
        <v>15419103.89413365</v>
      </c>
      <c r="AG381" s="9" t="n">
        <v>2965014.658325573</v>
      </c>
      <c r="AH381" s="9" t="n">
        <v>2922350.443611715</v>
      </c>
      <c r="AI381" s="9" t="n">
        <v>2073265.219128529</v>
      </c>
      <c r="AJ381" s="9" t="n">
        <v>1964251.050152211</v>
      </c>
      <c r="AK381" s="9" t="n">
        <v>1945049.564334774</v>
      </c>
      <c r="AL381" s="9" t="n">
        <v>2949958.064555266</v>
      </c>
      <c r="AM381" s="9" t="n">
        <v>3134353.136285997</v>
      </c>
      <c r="AN381" s="9" t="n">
        <v>3025936.909313804</v>
      </c>
      <c r="AO381" s="9" t="n">
        <v>1890400.373314709</v>
      </c>
      <c r="AP381" s="9" t="n">
        <v>1751201.120355298</v>
      </c>
      <c r="AQ381" s="9" t="n">
        <v>1734142.033225598</v>
      </c>
      <c r="AR381" s="9" t="n">
        <v>3137668.960729766</v>
      </c>
    </row>
    <row r="382">
      <c r="A382" s="4" t="inlineStr">
        <is>
          <t>MyT</t>
        </is>
      </c>
      <c r="B382" s="5" t="n">
        <v>202208</v>
      </c>
      <c r="C382" s="5" t="n">
        <v>2022</v>
      </c>
      <c r="D382" s="6" t="n">
        <v>2646063.184481611</v>
      </c>
      <c r="E382" s="11" t="n">
        <v>0.141560405885254</v>
      </c>
      <c r="F382" s="22">
        <f>D382*(1-E382)</f>
        <v/>
      </c>
      <c r="G382" s="11" t="n">
        <v>0.8399881038719812</v>
      </c>
      <c r="H382" s="11" t="n">
        <v>0.0420608155409992</v>
      </c>
      <c r="I382" s="11" t="n">
        <v>0.07670814821703378</v>
      </c>
      <c r="J382" s="11" t="n">
        <v>0.07334768139784027</v>
      </c>
      <c r="K382" s="6" t="n">
        <v>11144881.99144128</v>
      </c>
      <c r="L382" s="18" t="n">
        <v>13267904.55730052</v>
      </c>
      <c r="M382" s="18" t="n">
        <v>15274134.72699666</v>
      </c>
      <c r="N382" s="23">
        <f>IF(L382=0,"",M382/L382)</f>
        <v/>
      </c>
      <c r="O382" s="6" t="n">
        <v>12468548.07677033</v>
      </c>
      <c r="P382" s="22">
        <f>M382*G382*(1+H382+I382)</f>
        <v/>
      </c>
      <c r="Q382" s="6" t="n">
        <v>11651096.82324556</v>
      </c>
      <c r="R382" s="22">
        <f>P382-M382*G382*J382</f>
        <v/>
      </c>
      <c r="S382" s="22">
        <f>IF(A382=A381,O382-O381,"")</f>
        <v/>
      </c>
      <c r="T382" s="22">
        <f>IF(A382=A381,P382-P381,"")</f>
        <v/>
      </c>
      <c r="U382" s="22">
        <f>IF(A382=A381,Q382-Q381,"")</f>
        <v/>
      </c>
      <c r="V382" s="22">
        <f>IF(A382=A381,R382-R381,"")</f>
        <v/>
      </c>
      <c r="W382" s="22">
        <f>IF(S382="","",D382-S382)</f>
        <v/>
      </c>
      <c r="X382" s="22">
        <f>IF(T382="","",D382-T382)</f>
        <v/>
      </c>
      <c r="Y382" s="22">
        <f>IF(U382="","",F382-U382)</f>
        <v/>
      </c>
      <c r="Z382" s="22">
        <f>IF(V382="","",F382-V382)</f>
        <v/>
      </c>
      <c r="AA382" s="6" t="n">
        <v>15014309.66074601</v>
      </c>
      <c r="AB382" s="6" t="n">
        <v>13079837.97389125</v>
      </c>
      <c r="AC382" s="6" t="n">
        <v>4896318.630325281</v>
      </c>
      <c r="AD382" s="6" t="n">
        <v>3342230.900556755</v>
      </c>
      <c r="AE382" s="6" t="n">
        <v>3381035.069767346</v>
      </c>
      <c r="AF382" s="6" t="n">
        <v>15614606.0859469</v>
      </c>
      <c r="AG382" s="6" t="n">
        <v>4250612.956575587</v>
      </c>
      <c r="AH382" s="6" t="n">
        <v>4062525.109881431</v>
      </c>
      <c r="AI382" s="6" t="n">
        <v>2378037.215429482</v>
      </c>
      <c r="AJ382" s="6" t="n">
        <v>2831868.411275613</v>
      </c>
      <c r="AK382" s="6" t="n">
        <v>2841026.886790883</v>
      </c>
      <c r="AL382" s="6" t="n">
        <v>4221144.257679356</v>
      </c>
      <c r="AM382" s="6" t="n">
        <v>3771316.651799963</v>
      </c>
      <c r="AN382" s="6" t="n">
        <v>3595499.093672839</v>
      </c>
      <c r="AO382" s="6" t="n">
        <v>2021163.166668327</v>
      </c>
      <c r="AP382" s="6" t="n">
        <v>2445210.122135563</v>
      </c>
      <c r="AQ382" s="6" t="n">
        <v>2453769.544527204</v>
      </c>
      <c r="AR382" s="6" t="n">
        <v>3743796.197178345</v>
      </c>
    </row>
    <row r="383">
      <c r="A383" t="inlineStr">
        <is>
          <t>MyT</t>
        </is>
      </c>
      <c r="B383" s="8" t="n">
        <v>202209</v>
      </c>
      <c r="C383" s="8" t="n">
        <v>2022</v>
      </c>
      <c r="D383" s="9" t="n">
        <v>7843116.870884033</v>
      </c>
      <c r="E383" s="10" t="n">
        <v>0.141560405885254</v>
      </c>
      <c r="F383" s="22">
        <f>D383*(1-E383)</f>
        <v/>
      </c>
      <c r="G383" s="10" t="n">
        <v>0.8972708006609779</v>
      </c>
      <c r="H383" s="10" t="n">
        <v>0.03937557687673576</v>
      </c>
      <c r="I383" s="10" t="n">
        <v>0.1253153048135132</v>
      </c>
      <c r="J383" s="10" t="n">
        <v>0.155210347060433</v>
      </c>
      <c r="K383" s="9" t="n">
        <v>16607421.46657988</v>
      </c>
      <c r="L383" s="18" t="n">
        <v>18508817.46552542</v>
      </c>
      <c r="M383" s="18" t="n">
        <v>20532278.39044532</v>
      </c>
      <c r="N383" s="23">
        <f>IF(L383=0,"",M383/L383)</f>
        <v/>
      </c>
      <c r="O383" s="9" t="n">
        <v>19342512.35051249</v>
      </c>
      <c r="P383" s="22">
        <f>M383*G383*(1+H383+I383)</f>
        <v/>
      </c>
      <c r="Q383" s="9" t="n">
        <v>16764868.70090574</v>
      </c>
      <c r="R383" s="22">
        <f>P383-M383*G383*J383</f>
        <v/>
      </c>
      <c r="S383" s="22">
        <f>IF(A383=A382,O383-O382,"")</f>
        <v/>
      </c>
      <c r="T383" s="22">
        <f>IF(A383=A382,P383-P382,"")</f>
        <v/>
      </c>
      <c r="U383" s="22">
        <f>IF(A383=A382,Q383-Q382,"")</f>
        <v/>
      </c>
      <c r="V383" s="22">
        <f>IF(A383=A382,R383-R382,"")</f>
        <v/>
      </c>
      <c r="W383" s="22">
        <f>IF(S383="","",D383-S383)</f>
        <v/>
      </c>
      <c r="X383" s="22">
        <f>IF(T383="","",D383-T383)</f>
        <v/>
      </c>
      <c r="Y383" s="22">
        <f>IF(U383="","",F383-U383)</f>
        <v/>
      </c>
      <c r="Z383" s="22">
        <f>IF(V383="","",F383-V383)</f>
        <v/>
      </c>
      <c r="AA383" s="9" t="n">
        <v>20213197.41068859</v>
      </c>
      <c r="AB383" s="9" t="n">
        <v>17798095.75527377</v>
      </c>
      <c r="AC383" s="9" t="n">
        <v>9918996.487383364</v>
      </c>
      <c r="AD383" s="9" t="n">
        <v>4432750.705141393</v>
      </c>
      <c r="AE383" s="9" t="n">
        <v>4473880.516506657</v>
      </c>
      <c r="AF383" s="9" t="n">
        <v>20582817.90580522</v>
      </c>
      <c r="AG383" s="9" t="n">
        <v>829190.8341746368</v>
      </c>
      <c r="AH383" s="9" t="n">
        <v>1535151.366035551</v>
      </c>
      <c r="AI383" s="9" t="n">
        <v>2078666.098904135</v>
      </c>
      <c r="AJ383" s="9" t="n">
        <v>6351571.491322304</v>
      </c>
      <c r="AK383" s="9" t="n">
        <v>6345055.384634188</v>
      </c>
      <c r="AL383" s="9" t="n">
        <v>1007051.617447473</v>
      </c>
      <c r="AM383" s="9" t="n">
        <v>1608872.030966046</v>
      </c>
      <c r="AN383" s="9" t="n">
        <v>2097676.793277868</v>
      </c>
      <c r="AO383" s="9" t="n">
        <v>2048099.435551683</v>
      </c>
      <c r="AP383" s="9" t="n">
        <v>5652708.07940235</v>
      </c>
      <c r="AQ383" s="9" t="n">
        <v>5649529.174546951</v>
      </c>
      <c r="AR383" s="9" t="n">
        <v>1801223.304801906</v>
      </c>
    </row>
    <row r="384">
      <c r="A384" s="4" t="inlineStr">
        <is>
          <t>MyT</t>
        </is>
      </c>
      <c r="B384" s="5" t="n">
        <v>202210</v>
      </c>
      <c r="C384" s="5" t="n">
        <v>2022</v>
      </c>
      <c r="D384" s="6" t="n">
        <v>1141124.521335871</v>
      </c>
      <c r="E384" s="11" t="n">
        <v>0.141560405885254</v>
      </c>
      <c r="F384" s="22">
        <f>D384*(1-E384)</f>
        <v/>
      </c>
      <c r="G384" s="11" t="n">
        <v>0.9781441256270862</v>
      </c>
      <c r="H384" s="11" t="n">
        <v>0.03611999108416596</v>
      </c>
      <c r="I384" s="11" t="n">
        <v>0.1508824378047605</v>
      </c>
      <c r="J384" s="11" t="n">
        <v>0.1554615474821971</v>
      </c>
      <c r="K384" s="6" t="n">
        <v>16348092.99859164</v>
      </c>
      <c r="L384" s="18" t="n">
        <v>16713378.49942196</v>
      </c>
      <c r="M384" s="18" t="n">
        <v>18759566.53110299</v>
      </c>
      <c r="N384" s="23">
        <f>IF(L384=0,"",M384/L384)</f>
        <v/>
      </c>
      <c r="O384" s="6" t="n">
        <v>19405226.09703033</v>
      </c>
      <c r="P384" s="22">
        <f>M384*G384*(1+H384+I384)</f>
        <v/>
      </c>
      <c r="Q384" s="6" t="n">
        <v>16863726.2610864</v>
      </c>
      <c r="R384" s="22">
        <f>P384-M384*G384*J384</f>
        <v/>
      </c>
      <c r="S384" s="22">
        <f>IF(A384=A383,O384-O383,"")</f>
        <v/>
      </c>
      <c r="T384" s="22">
        <f>IF(A384=A383,P384-P383,"")</f>
        <v/>
      </c>
      <c r="U384" s="22">
        <f>IF(A384=A383,Q384-Q383,"")</f>
        <v/>
      </c>
      <c r="V384" s="22">
        <f>IF(A384=A383,R384-R383,"")</f>
        <v/>
      </c>
      <c r="W384" s="22">
        <f>IF(S384="","",D384-S384)</f>
        <v/>
      </c>
      <c r="X384" s="22">
        <f>IF(T384="","",D384-T384)</f>
        <v/>
      </c>
      <c r="Y384" s="22">
        <f>IF(U384="","",F384-U384)</f>
        <v/>
      </c>
      <c r="Z384" s="22">
        <f>IF(V384="","",F384-V384)</f>
        <v/>
      </c>
      <c r="AA384" s="6" t="n">
        <v>18449018.41018258</v>
      </c>
      <c r="AB384" s="6" t="n">
        <v>16098814.50094165</v>
      </c>
      <c r="AC384" s="6" t="n">
        <v>9233609.863387715</v>
      </c>
      <c r="AD384" s="6" t="n">
        <v>3609194.148234119</v>
      </c>
      <c r="AE384" s="6" t="n">
        <v>3654092.958249986</v>
      </c>
      <c r="AF384" s="6" t="n">
        <v>18833587.74931115</v>
      </c>
      <c r="AG384" s="6" t="n">
        <v>844380.1850102961</v>
      </c>
      <c r="AH384" s="6" t="n">
        <v>1049221.281191461</v>
      </c>
      <c r="AI384" s="6" t="n">
        <v>786133.5406652603</v>
      </c>
      <c r="AJ384" s="6" t="n">
        <v>1583051.164897831</v>
      </c>
      <c r="AK384" s="6" t="n">
        <v>1573903.40349549</v>
      </c>
      <c r="AL384" s="6" t="n">
        <v>784141.6739200696</v>
      </c>
      <c r="AM384" s="6" t="n">
        <v>673264.6329896582</v>
      </c>
      <c r="AN384" s="6" t="n">
        <v>857065.645801088</v>
      </c>
      <c r="AO384" s="6" t="n">
        <v>647317.1766578333</v>
      </c>
      <c r="AP384" s="6" t="n">
        <v>1353010.704810468</v>
      </c>
      <c r="AQ384" s="6" t="n">
        <v>1344962.454569306</v>
      </c>
      <c r="AR384" s="6" t="n">
        <v>620029.7351899912</v>
      </c>
    </row>
    <row r="385">
      <c r="A385" t="inlineStr">
        <is>
          <t>MyT</t>
        </is>
      </c>
      <c r="B385" s="8" t="n">
        <v>202211</v>
      </c>
      <c r="C385" s="8" t="n">
        <v>2022</v>
      </c>
      <c r="D385" s="9" t="n">
        <v>7983655.145857956</v>
      </c>
      <c r="E385" s="10" t="n">
        <v>0.141560405885254</v>
      </c>
      <c r="F385" s="22">
        <f>D385*(1-E385)</f>
        <v/>
      </c>
      <c r="G385" s="10" t="n">
        <v>0.9420348720957432</v>
      </c>
      <c r="H385" s="10" t="n">
        <v>0.03750452239445759</v>
      </c>
      <c r="I385" s="10" t="n">
        <v>0.142401030600343</v>
      </c>
      <c r="J385" s="10" t="n">
        <v>0.2823035312362928</v>
      </c>
      <c r="K385" s="9" t="n">
        <v>20024898.53688348</v>
      </c>
      <c r="L385" s="18" t="n">
        <v>21257067.15329352</v>
      </c>
      <c r="M385" s="18" t="n">
        <v>22794993.99608865</v>
      </c>
      <c r="N385" s="23">
        <f>IF(L385=0,"",M385/L385)</f>
        <v/>
      </c>
      <c r="O385" s="9" t="n">
        <v>23627488.98182628</v>
      </c>
      <c r="P385" s="22">
        <f>M385*G385*(1+H385+I385)</f>
        <v/>
      </c>
      <c r="Q385" s="9" t="n">
        <v>17974389.4122156</v>
      </c>
      <c r="R385" s="22">
        <f>P385-M385*G385*J385</f>
        <v/>
      </c>
      <c r="S385" s="22">
        <f>IF(A385=A384,O385-O384,"")</f>
        <v/>
      </c>
      <c r="T385" s="22">
        <f>IF(A385=A384,P385-P384,"")</f>
        <v/>
      </c>
      <c r="U385" s="22">
        <f>IF(A385=A384,Q385-Q384,"")</f>
        <v/>
      </c>
      <c r="V385" s="22">
        <f>IF(A385=A384,R385-R384,"")</f>
        <v/>
      </c>
      <c r="W385" s="22">
        <f>IF(S385="","",D385-S385)</f>
        <v/>
      </c>
      <c r="X385" s="22">
        <f>IF(T385="","",D385-T385)</f>
        <v/>
      </c>
      <c r="Y385" s="22">
        <f>IF(U385="","",F385-U385)</f>
        <v/>
      </c>
      <c r="Z385" s="22">
        <f>IF(V385="","",F385-V385)</f>
        <v/>
      </c>
      <c r="AA385" s="9" t="n">
        <v>22467086.2765172</v>
      </c>
      <c r="AB385" s="9" t="n">
        <v>19978724.18098197</v>
      </c>
      <c r="AC385" s="9" t="n">
        <v>13708364.65022247</v>
      </c>
      <c r="AD385" s="9" t="n">
        <v>6511031.03536513</v>
      </c>
      <c r="AE385" s="9" t="n">
        <v>6501774.619403177</v>
      </c>
      <c r="AF385" s="9" t="n">
        <v>23499992.9693429</v>
      </c>
      <c r="AG385" s="9" t="n">
        <v>4431622.396817077</v>
      </c>
      <c r="AH385" s="9" t="n">
        <v>4468740.700924225</v>
      </c>
      <c r="AI385" s="9" t="n">
        <v>3467410.930972181</v>
      </c>
      <c r="AJ385" s="9" t="n">
        <v>4937053.850415487</v>
      </c>
      <c r="AK385" s="9" t="n">
        <v>4999472.657263709</v>
      </c>
      <c r="AL385" s="9" t="n">
        <v>3730041.896845341</v>
      </c>
      <c r="AM385" s="9" t="n">
        <v>6470916.876778183</v>
      </c>
      <c r="AN385" s="9" t="n">
        <v>6203661.671057862</v>
      </c>
      <c r="AO385" s="9" t="n">
        <v>4578743.024837027</v>
      </c>
      <c r="AP385" s="9" t="n">
        <v>4989598.714587306</v>
      </c>
      <c r="AQ385" s="9" t="n">
        <v>5042728.388653953</v>
      </c>
      <c r="AR385" s="9" t="n">
        <v>5985548.271246866</v>
      </c>
    </row>
    <row r="386">
      <c r="A386" s="4" t="inlineStr">
        <is>
          <t>MyT</t>
        </is>
      </c>
      <c r="B386" s="5" t="n">
        <v>202212</v>
      </c>
      <c r="C386" s="5" t="n">
        <v>2022</v>
      </c>
      <c r="D386" s="6" t="n">
        <v>3358073.535907714</v>
      </c>
      <c r="E386" s="11" t="n">
        <v>0.141560405885254</v>
      </c>
      <c r="F386" s="22">
        <f>D386*(1-E386)</f>
        <v/>
      </c>
      <c r="G386" s="11" t="n">
        <v>1.057263670340952</v>
      </c>
      <c r="H386" s="11" t="n">
        <v>0.03341700504047619</v>
      </c>
      <c r="I386" s="11" t="n">
        <v>0.1593573464652147</v>
      </c>
      <c r="J386" s="11" t="n">
        <v>0.2816708687512709</v>
      </c>
      <c r="K386" s="6" t="n">
        <v>22773069.79839971</v>
      </c>
      <c r="L386" s="18" t="n">
        <v>21539631.44411812</v>
      </c>
      <c r="M386" s="18" t="n">
        <v>22697592.3623533</v>
      </c>
      <c r="N386" s="23">
        <f>IF(L386=0,"",M386/L386)</f>
        <v/>
      </c>
      <c r="O386" s="6" t="n">
        <v>27163133.56058004</v>
      </c>
      <c r="P386" s="22">
        <f>M386*G386*(1+H386+I386)</f>
        <v/>
      </c>
      <c r="Q386" s="6" t="n">
        <v>20748623.20633147</v>
      </c>
      <c r="R386" s="22">
        <f>P386-M386*G386*J386</f>
        <v/>
      </c>
      <c r="S386" s="22">
        <f>IF(A386=A385,O386-O385,"")</f>
        <v/>
      </c>
      <c r="T386" s="22">
        <f>IF(A386=A385,P386-P385,"")</f>
        <v/>
      </c>
      <c r="U386" s="22">
        <f>IF(A386=A385,Q386-Q385,"")</f>
        <v/>
      </c>
      <c r="V386" s="22">
        <f>IF(A386=A385,R386-R385,"")</f>
        <v/>
      </c>
      <c r="W386" s="22">
        <f>IF(S386="","",D386-S386)</f>
        <v/>
      </c>
      <c r="X386" s="22">
        <f>IF(T386="","",D386-T386)</f>
        <v/>
      </c>
      <c r="Y386" s="22">
        <f>IF(U386="","",F386-U386)</f>
        <v/>
      </c>
      <c r="Z386" s="22">
        <f>IF(V386="","",F386-V386)</f>
        <v/>
      </c>
      <c r="AA386" s="6" t="n">
        <v>22357894.52495814</v>
      </c>
      <c r="AB386" s="6" t="n">
        <v>19744675.41584432</v>
      </c>
      <c r="AC386" s="6" t="n">
        <v>13515699.77707344</v>
      </c>
      <c r="AD386" s="6" t="n">
        <v>5450685.060029308</v>
      </c>
      <c r="AE386" s="6" t="n">
        <v>5387109.253217346</v>
      </c>
      <c r="AF386" s="6" t="n">
        <v>23419588.9974504</v>
      </c>
      <c r="AG386" s="6" t="n">
        <v>135487.2046571579</v>
      </c>
      <c r="AH386" s="6" t="n">
        <v>665112.9205248859</v>
      </c>
      <c r="AI386" s="6" t="n">
        <v>1550749.791405221</v>
      </c>
      <c r="AJ386" s="6" t="n">
        <v>3721430.312402198</v>
      </c>
      <c r="AK386" s="6" t="n">
        <v>3791315.680360392</v>
      </c>
      <c r="AL386" s="6" t="n">
        <v>-55302.89722683839</v>
      </c>
      <c r="AM386" s="6" t="n">
        <v>343414.581665786</v>
      </c>
      <c r="AN386" s="6" t="n">
        <v>756577.1086027715</v>
      </c>
      <c r="AO386" s="6" t="n">
        <v>1454760.666221607</v>
      </c>
      <c r="AP386" s="6" t="n">
        <v>3137734.020726987</v>
      </c>
      <c r="AQ386" s="6" t="n">
        <v>3191148.138619405</v>
      </c>
      <c r="AR386" s="6" t="n">
        <v>194106.524150705</v>
      </c>
    </row>
    <row r="387">
      <c r="A387" t="inlineStr">
        <is>
          <t>MyT</t>
        </is>
      </c>
      <c r="B387" s="8" t="n">
        <v>202301</v>
      </c>
      <c r="C387" s="8" t="n">
        <v>2023</v>
      </c>
      <c r="D387" s="9" t="n">
        <v>3564750.224171135</v>
      </c>
      <c r="E387" s="10" t="n">
        <v>0.141560405885254</v>
      </c>
      <c r="F387" s="22">
        <f>D387*(1-E387)</f>
        <v/>
      </c>
      <c r="G387" s="10" t="n">
        <v>1.009492156000819</v>
      </c>
      <c r="H387" s="10" t="n">
        <v>0.02872730169004261</v>
      </c>
      <c r="I387" s="10" t="n">
        <v>0.1560107946719154</v>
      </c>
      <c r="J387" s="10" t="n">
        <v>0.2657234760125844</v>
      </c>
      <c r="K387" s="9" t="n">
        <v>21979798.40649716</v>
      </c>
      <c r="L387" s="18" t="n">
        <v>21773124.51200397</v>
      </c>
      <c r="M387" s="18" t="n">
        <v>22835114.29402291</v>
      </c>
      <c r="N387" s="23">
        <f>IF(L387=0,"",M387/L387)</f>
        <v/>
      </c>
      <c r="O387" s="9" t="n">
        <v>26040304.52253305</v>
      </c>
      <c r="P387" s="22">
        <f>M387*G387*(1+H387+I387)</f>
        <v/>
      </c>
      <c r="Q387" s="9" t="n">
        <v>20199756.08790276</v>
      </c>
      <c r="R387" s="22">
        <f>P387-M387*G387*J387</f>
        <v/>
      </c>
      <c r="S387" s="22">
        <f>IF(A387=A386,O387-O386,"")</f>
        <v/>
      </c>
      <c r="T387" s="22">
        <f>IF(A387=A386,P387-P386,"")</f>
        <v/>
      </c>
      <c r="U387" s="22">
        <f>IF(A387=A386,Q387-Q386,"")</f>
        <v/>
      </c>
      <c r="V387" s="22">
        <f>IF(A387=A386,R387-R386,"")</f>
        <v/>
      </c>
      <c r="W387" s="22">
        <f>IF(S387="","",D387-S387)</f>
        <v/>
      </c>
      <c r="X387" s="22">
        <f>IF(T387="","",D387-T387)</f>
        <v/>
      </c>
      <c r="Y387" s="22">
        <f>IF(U387="","",F387-U387)</f>
        <v/>
      </c>
      <c r="Z387" s="22">
        <f>IF(V387="","",F387-V387)</f>
        <v/>
      </c>
      <c r="AA387" s="9" t="n">
        <v>22477749.61705688</v>
      </c>
      <c r="AB387" s="9" t="n">
        <v>19757632.56455737</v>
      </c>
      <c r="AC387" s="9" t="n">
        <v>12077921.72816536</v>
      </c>
      <c r="AD387" s="9" t="n">
        <v>4904934.190718564</v>
      </c>
      <c r="AE387" s="9" t="n">
        <v>4932740.868927087</v>
      </c>
      <c r="AF387" s="9" t="n">
        <v>23424954.87321184</v>
      </c>
      <c r="AG387" s="9" t="n">
        <v>4876751.782796758</v>
      </c>
      <c r="AH387" s="9" t="n">
        <v>4834497.267920806</v>
      </c>
      <c r="AI387" s="9" t="n">
        <v>6164089.291996301</v>
      </c>
      <c r="AJ387" s="9" t="n">
        <v>4572261.81967505</v>
      </c>
      <c r="AK387" s="9" t="n">
        <v>4458831.495570875</v>
      </c>
      <c r="AL387" s="9" t="n">
        <v>5082788.095125156</v>
      </c>
      <c r="AM387" s="9" t="n">
        <v>3743496.021127058</v>
      </c>
      <c r="AN387" s="9" t="n">
        <v>3749799.262063981</v>
      </c>
      <c r="AO387" s="9" t="n">
        <v>4874332.67074218</v>
      </c>
      <c r="AP387" s="9" t="n">
        <v>3760146.090663214</v>
      </c>
      <c r="AQ387" s="9" t="n">
        <v>3673107.689425276</v>
      </c>
      <c r="AR387" s="9" t="n">
        <v>3887443.118058836</v>
      </c>
    </row>
    <row r="388">
      <c r="A388" s="4" t="inlineStr">
        <is>
          <t>MyT</t>
        </is>
      </c>
      <c r="B388" s="5" t="n">
        <v>202302</v>
      </c>
      <c r="C388" s="5" t="n">
        <v>2023</v>
      </c>
      <c r="D388" s="6" t="n">
        <v>6750155.287515075</v>
      </c>
      <c r="E388" s="11" t="n">
        <v>0.141560405885254</v>
      </c>
      <c r="F388" s="22">
        <f>D388*(1-E388)</f>
        <v/>
      </c>
      <c r="G388" s="11" t="n">
        <v>1.05300253847335</v>
      </c>
      <c r="H388" s="11" t="n">
        <v>0.02754027196513875</v>
      </c>
      <c r="I388" s="11" t="n">
        <v>0.1647156727732487</v>
      </c>
      <c r="J388" s="11" t="n">
        <v>0.2273618662701034</v>
      </c>
      <c r="K388" s="6" t="n">
        <v>25805227.5455245</v>
      </c>
      <c r="L388" s="18" t="n">
        <v>24506329.8545672</v>
      </c>
      <c r="M388" s="18" t="n">
        <v>25715455.42267224</v>
      </c>
      <c r="N388" s="23">
        <f>IF(L388=0,"",M388/L388)</f>
        <v/>
      </c>
      <c r="O388" s="6" t="n">
        <v>30766435.94647837</v>
      </c>
      <c r="P388" s="22">
        <f>M388*G388*(1+H388+I388)</f>
        <v/>
      </c>
      <c r="Q388" s="6" t="n">
        <v>24899311.25220324</v>
      </c>
      <c r="R388" s="22">
        <f>P388-M388*G388*J388</f>
        <v/>
      </c>
      <c r="S388" s="22">
        <f>IF(A388=A387,O388-O387,"")</f>
        <v/>
      </c>
      <c r="T388" s="22">
        <f>IF(A388=A387,P388-P387,"")</f>
        <v/>
      </c>
      <c r="U388" s="22">
        <f>IF(A388=A387,Q388-Q387,"")</f>
        <v/>
      </c>
      <c r="V388" s="22">
        <f>IF(A388=A387,R388-R387,"")</f>
        <v/>
      </c>
      <c r="W388" s="22">
        <f>IF(S388="","",D388-S388)</f>
        <v/>
      </c>
      <c r="X388" s="22">
        <f>IF(T388="","",D388-T388)</f>
        <v/>
      </c>
      <c r="Y388" s="22">
        <f>IF(U388="","",F388-U388)</f>
        <v/>
      </c>
      <c r="Z388" s="22">
        <f>IF(V388="","",F388-V388)</f>
        <v/>
      </c>
      <c r="AA388" s="6" t="n">
        <v>25320642.63154285</v>
      </c>
      <c r="AB388" s="6" t="n">
        <v>22249515.94993786</v>
      </c>
      <c r="AC388" s="6" t="n">
        <v>10595203.00659996</v>
      </c>
      <c r="AD388" s="6" t="n">
        <v>4656893.653666916</v>
      </c>
      <c r="AE388" s="6" t="n">
        <v>4677607.773925228</v>
      </c>
      <c r="AF388" s="6" t="n">
        <v>26321055.52696977</v>
      </c>
      <c r="AG388" s="6" t="n">
        <v>1844416.301031214</v>
      </c>
      <c r="AH388" s="6" t="n">
        <v>2446841.828084652</v>
      </c>
      <c r="AI388" s="6" t="n">
        <v>7893422.088922064</v>
      </c>
      <c r="AJ388" s="6" t="n">
        <v>6769886.872908445</v>
      </c>
      <c r="AK388" s="6" t="n">
        <v>6777137.698040667</v>
      </c>
      <c r="AL388" s="6" t="n">
        <v>1721291.551779189</v>
      </c>
      <c r="AM388" s="6" t="n">
        <v>921381.8955913968</v>
      </c>
      <c r="AN388" s="6" t="n">
        <v>1518200.809101641</v>
      </c>
      <c r="AO388" s="6" t="n">
        <v>6234641.352650788</v>
      </c>
      <c r="AP388" s="6" t="n">
        <v>5613523.449384048</v>
      </c>
      <c r="AQ388" s="6" t="n">
        <v>5618274.472706852</v>
      </c>
      <c r="AR388" s="6" t="n">
        <v>783684.8227856159</v>
      </c>
    </row>
    <row r="389">
      <c r="A389" t="inlineStr">
        <is>
          <t>MyT</t>
        </is>
      </c>
      <c r="B389" s="8" t="n">
        <v>202303</v>
      </c>
      <c r="C389" s="8" t="n">
        <v>2023</v>
      </c>
      <c r="D389" s="9" t="n">
        <v>2743255.027180204</v>
      </c>
      <c r="E389" s="10" t="n">
        <v>0.141560405885254</v>
      </c>
      <c r="F389" s="22">
        <f>D389*(1-E389)</f>
        <v/>
      </c>
      <c r="G389" s="10" t="n">
        <v>1.057217162168684</v>
      </c>
      <c r="H389" s="10" t="n">
        <v>0.02743039790596237</v>
      </c>
      <c r="I389" s="10" t="n">
        <v>0.1673724674260713</v>
      </c>
      <c r="J389" s="10" t="n">
        <v>0.2395169184218972</v>
      </c>
      <c r="K389" s="9" t="n">
        <v>24055820.76403572</v>
      </c>
      <c r="L389" s="18" t="n">
        <v>22753906.78930116</v>
      </c>
      <c r="M389" s="18" t="n">
        <v>23824215.54747438</v>
      </c>
      <c r="N389" s="23">
        <f>IF(L389=0,"",M389/L389)</f>
        <v/>
      </c>
      <c r="O389" s="9" t="n">
        <v>28741963.57678371</v>
      </c>
      <c r="P389" s="22">
        <f>M389*G389*(1+H389+I389)</f>
        <v/>
      </c>
      <c r="Q389" s="9" t="n">
        <v>22980187.51727238</v>
      </c>
      <c r="R389" s="22">
        <f>P389-M389*G389*J389</f>
        <v/>
      </c>
      <c r="S389" s="22">
        <f>IF(A389=A388,O389-O388,"")</f>
        <v/>
      </c>
      <c r="T389" s="22">
        <f>IF(A389=A388,P389-P388,"")</f>
        <v/>
      </c>
      <c r="U389" s="22">
        <f>IF(A389=A388,Q389-Q388,"")</f>
        <v/>
      </c>
      <c r="V389" s="22">
        <f>IF(A389=A388,R389-R388,"")</f>
        <v/>
      </c>
      <c r="W389" s="22">
        <f>IF(S389="","",D389-S389)</f>
        <v/>
      </c>
      <c r="X389" s="22">
        <f>IF(T389="","",D389-T389)</f>
        <v/>
      </c>
      <c r="Y389" s="22">
        <f>IF(U389="","",F389-U389)</f>
        <v/>
      </c>
      <c r="Z389" s="22">
        <f>IF(V389="","",F389-V389)</f>
        <v/>
      </c>
      <c r="AA389" s="9" t="n">
        <v>23433940.36593382</v>
      </c>
      <c r="AB389" s="9" t="n">
        <v>20404314.25086091</v>
      </c>
      <c r="AC389" s="9" t="n">
        <v>9400372.228664741</v>
      </c>
      <c r="AD389" s="9" t="n">
        <v>4409858.246667819</v>
      </c>
      <c r="AE389" s="9" t="n">
        <v>4457016.077232124</v>
      </c>
      <c r="AF389" s="9" t="n">
        <v>25137810.59249974</v>
      </c>
      <c r="AG389" s="9" t="n">
        <v>4931059.823617844</v>
      </c>
      <c r="AH389" s="9" t="n">
        <v>4902339.314333165</v>
      </c>
      <c r="AI389" s="9" t="n">
        <v>4170755.65760391</v>
      </c>
      <c r="AJ389" s="9" t="n">
        <v>3019361.929124055</v>
      </c>
      <c r="AK389" s="9" t="n">
        <v>2985799.268418017</v>
      </c>
      <c r="AL389" s="9" t="n">
        <v>4034755.629036559</v>
      </c>
      <c r="AM389" s="9" t="n">
        <v>4414617.188559333</v>
      </c>
      <c r="AN389" s="9" t="n">
        <v>4353997.01504278</v>
      </c>
      <c r="AO389" s="9" t="n">
        <v>3626169.412578536</v>
      </c>
      <c r="AP389" s="9" t="n">
        <v>2632776.977319354</v>
      </c>
      <c r="AQ389" s="9" t="n">
        <v>2606196.466487784</v>
      </c>
      <c r="AR389" s="9" t="n">
        <v>3710257.917978739</v>
      </c>
    </row>
    <row r="390">
      <c r="A390" s="4" t="inlineStr">
        <is>
          <t>MyT</t>
        </is>
      </c>
      <c r="B390" s="5" t="n">
        <v>202304</v>
      </c>
      <c r="C390" s="5" t="n">
        <v>2023</v>
      </c>
      <c r="D390" s="6" t="n">
        <v>3342067.517394181</v>
      </c>
      <c r="E390" s="11" t="n">
        <v>0.141560405885254</v>
      </c>
      <c r="F390" s="22">
        <f>D390*(1-E390)</f>
        <v/>
      </c>
      <c r="G390" s="11" t="n">
        <v>1.124652867065556</v>
      </c>
      <c r="H390" s="11" t="n">
        <v>0.02578568087015969</v>
      </c>
      <c r="I390" s="11" t="n">
        <v>0.1819146068472051</v>
      </c>
      <c r="J390" s="11" t="n">
        <v>0.248333370316963</v>
      </c>
      <c r="K390" s="6" t="n">
        <v>25235408.82356211</v>
      </c>
      <c r="L390" s="18" t="n">
        <v>22438398.16049759</v>
      </c>
      <c r="M390" s="18" t="n">
        <v>23280461.78427182</v>
      </c>
      <c r="N390" s="23">
        <f>IF(L390=0,"",M390/L390)</f>
        <v/>
      </c>
      <c r="O390" s="6" t="n">
        <v>30476810.49688129</v>
      </c>
      <c r="P390" s="22">
        <f>M390*G390*(1+H390+I390)</f>
        <v/>
      </c>
      <c r="Q390" s="6" t="n">
        <v>24210016.37239968</v>
      </c>
      <c r="R390" s="22">
        <f>P390-M390*G390*J390</f>
        <v/>
      </c>
      <c r="S390" s="22">
        <f>IF(A390=A389,O390-O389,"")</f>
        <v/>
      </c>
      <c r="T390" s="22">
        <f>IF(A390=A389,P390-P389,"")</f>
        <v/>
      </c>
      <c r="U390" s="22">
        <f>IF(A390=A389,Q390-Q389,"")</f>
        <v/>
      </c>
      <c r="V390" s="22">
        <f>IF(A390=A389,R390-R389,"")</f>
        <v/>
      </c>
      <c r="W390" s="22">
        <f>IF(S390="","",D390-S390)</f>
        <v/>
      </c>
      <c r="X390" s="22">
        <f>IF(T390="","",D390-T390)</f>
        <v/>
      </c>
      <c r="Y390" s="22">
        <f>IF(U390="","",F390-U390)</f>
        <v/>
      </c>
      <c r="Z390" s="22">
        <f>IF(V390="","",F390-V390)</f>
        <v/>
      </c>
      <c r="AA390" s="6" t="n">
        <v>22889031.42978169</v>
      </c>
      <c r="AB390" s="6" t="n">
        <v>19949268.48494501</v>
      </c>
      <c r="AC390" s="6" t="n">
        <v>9012738.734979769</v>
      </c>
      <c r="AD390" s="6" t="n">
        <v>4921953.381266383</v>
      </c>
      <c r="AE390" s="6" t="n">
        <v>4991497.58449834</v>
      </c>
      <c r="AF390" s="6" t="n">
        <v>24499712.83689445</v>
      </c>
      <c r="AG390" s="6" t="n">
        <v>1854146.204555586</v>
      </c>
      <c r="AH390" s="6" t="n">
        <v>2020139.395854767</v>
      </c>
      <c r="AI390" s="6" t="n">
        <v>2974804.368233425</v>
      </c>
      <c r="AJ390" s="6" t="n">
        <v>2227239.300760568</v>
      </c>
      <c r="AK390" s="6" t="n">
        <v>2192349.505085499</v>
      </c>
      <c r="AL390" s="6" t="n">
        <v>1818719.60584091</v>
      </c>
      <c r="AM390" s="6" t="n">
        <v>1839717.624785316</v>
      </c>
      <c r="AN390" s="6" t="n">
        <v>1951833.999011413</v>
      </c>
      <c r="AO390" s="6" t="n">
        <v>2638481.866641634</v>
      </c>
      <c r="AP390" s="6" t="n">
        <v>2012111.036859406</v>
      </c>
      <c r="AQ390" s="6" t="n">
        <v>1984702.789094312</v>
      </c>
      <c r="AR390" s="6" t="n">
        <v>1822679.964191762</v>
      </c>
    </row>
    <row r="391">
      <c r="A391" t="inlineStr">
        <is>
          <t>MyT</t>
        </is>
      </c>
      <c r="B391" s="8" t="n">
        <v>202305</v>
      </c>
      <c r="C391" s="8" t="n">
        <v>2023</v>
      </c>
      <c r="D391" s="9" t="n">
        <v>7132774.502627116</v>
      </c>
      <c r="E391" s="10" t="n">
        <v>0.141560405885254</v>
      </c>
      <c r="F391" s="22">
        <f>D391*(1-E391)</f>
        <v/>
      </c>
      <c r="G391" s="10" t="n">
        <v>1.085421576</v>
      </c>
      <c r="H391" s="10" t="n">
        <v>0.02671769097614327</v>
      </c>
      <c r="I391" s="10" t="n">
        <v>0.189950537239905</v>
      </c>
      <c r="J391" s="10" t="n">
        <v>0.2149248725036777</v>
      </c>
      <c r="K391" s="9" t="n">
        <v>26480275.35644426</v>
      </c>
      <c r="L391" s="18" t="n">
        <v>24396304.57138089</v>
      </c>
      <c r="M391" s="18" t="n">
        <v>25655379.63413474</v>
      </c>
      <c r="N391" s="23">
        <f>IF(L391=0,"",M391/L391)</f>
        <v/>
      </c>
      <c r="O391" s="9" t="n">
        <v>32217709.70059812</v>
      </c>
      <c r="P391" s="22">
        <f>M391*G391*(1+H391+I391)</f>
        <v/>
      </c>
      <c r="Q391" s="9" t="n">
        <v>26526439.89575206</v>
      </c>
      <c r="R391" s="22">
        <f>P391-M391*G391*J391</f>
        <v/>
      </c>
      <c r="S391" s="22">
        <f>IF(A391=A390,O391-O390,"")</f>
        <v/>
      </c>
      <c r="T391" s="22">
        <f>IF(A391=A390,P391-P390,"")</f>
        <v/>
      </c>
      <c r="U391" s="22">
        <f>IF(A391=A390,Q391-Q390,"")</f>
        <v/>
      </c>
      <c r="V391" s="22">
        <f>IF(A391=A390,R391-R390,"")</f>
        <v/>
      </c>
      <c r="W391" s="22">
        <f>IF(S391="","",D391-S391)</f>
        <v/>
      </c>
      <c r="X391" s="22">
        <f>IF(T391="","",D391-T391)</f>
        <v/>
      </c>
      <c r="Y391" s="22">
        <f>IF(U391="","",F391-U391)</f>
        <v/>
      </c>
      <c r="Z391" s="22">
        <f>IF(V391="","",F391-V391)</f>
        <v/>
      </c>
      <c r="AA391" s="9" t="n">
        <v>25253951.93801639</v>
      </c>
      <c r="AB391" s="9" t="n">
        <v>22063819.52349568</v>
      </c>
      <c r="AC391" s="9" t="n">
        <v>8275024.759356098</v>
      </c>
      <c r="AD391" s="9" t="n">
        <v>4822676.028805421</v>
      </c>
      <c r="AE391" s="9" t="n">
        <v>4891257.496295223</v>
      </c>
      <c r="AF391" s="9" t="n">
        <v>27496109.60759488</v>
      </c>
      <c r="AG391" s="9" t="n">
        <v>4871337.698321003</v>
      </c>
      <c r="AH391" s="9" t="n">
        <v>5091305.832286566</v>
      </c>
      <c r="AI391" s="9" t="n">
        <v>8446288.429859404</v>
      </c>
      <c r="AJ391" s="9" t="n">
        <v>7449170.082001365</v>
      </c>
      <c r="AK391" s="9" t="n">
        <v>7453059.505259089</v>
      </c>
      <c r="AL391" s="9" t="n">
        <v>4098046.584426641</v>
      </c>
      <c r="AM391" s="9" t="n">
        <v>3360313.572107145</v>
      </c>
      <c r="AN391" s="9" t="n">
        <v>3657117.530208373</v>
      </c>
      <c r="AO391" s="9" t="n">
        <v>6849844.309912805</v>
      </c>
      <c r="AP391" s="9" t="n">
        <v>6189858.600355053</v>
      </c>
      <c r="AQ391" s="9" t="n">
        <v>6190324.069475144</v>
      </c>
      <c r="AR391" s="9" t="n">
        <v>2660236.841561385</v>
      </c>
    </row>
    <row r="392">
      <c r="A392" s="4" t="inlineStr">
        <is>
          <t>MyT</t>
        </is>
      </c>
      <c r="B392" s="5" t="n">
        <v>202306</v>
      </c>
      <c r="C392" s="5" t="n">
        <v>2023</v>
      </c>
      <c r="D392" s="6" t="n">
        <v>6393094.650973965</v>
      </c>
      <c r="E392" s="11" t="n">
        <v>0.141560405885254</v>
      </c>
      <c r="F392" s="22">
        <f>D392*(1-E392)</f>
        <v/>
      </c>
      <c r="G392" s="11" t="n">
        <v>1.096641964396721</v>
      </c>
      <c r="H392" s="11" t="n">
        <v>0.02644434475818164</v>
      </c>
      <c r="I392" s="11" t="n">
        <v>0.1617123860379965</v>
      </c>
      <c r="J392" s="11" t="n">
        <v>0.2244431533325535</v>
      </c>
      <c r="K392" s="6" t="n">
        <v>29039527.82782958</v>
      </c>
      <c r="L392" s="18" t="n">
        <v>26480409.07663483</v>
      </c>
      <c r="M392" s="18" t="n">
        <v>28076053.15963581</v>
      </c>
      <c r="N392" s="23">
        <f>IF(L392=0,"",M392/L392)</f>
        <v/>
      </c>
      <c r="O392" s="6" t="n">
        <v>34503510.44777863</v>
      </c>
      <c r="P392" s="22">
        <f>M392*G392*(1+H392+I392)</f>
        <v/>
      </c>
      <c r="Q392" s="6" t="n">
        <v>27985787.25081212</v>
      </c>
      <c r="R392" s="22">
        <f>P392-M392*G392*J392</f>
        <v/>
      </c>
      <c r="S392" s="22">
        <f>IF(A392=A391,O392-O391,"")</f>
        <v/>
      </c>
      <c r="T392" s="22">
        <f>IF(A392=A391,P392-P391,"")</f>
        <v/>
      </c>
      <c r="U392" s="22">
        <f>IF(A392=A391,Q392-Q391,"")</f>
        <v/>
      </c>
      <c r="V392" s="22">
        <f>IF(A392=A391,R392-R391,"")</f>
        <v/>
      </c>
      <c r="W392" s="22">
        <f>IF(S392="","",D392-S392)</f>
        <v/>
      </c>
      <c r="X392" s="22">
        <f>IF(T392="","",D392-T392)</f>
        <v/>
      </c>
      <c r="Y392" s="22">
        <f>IF(U392="","",F392-U392)</f>
        <v/>
      </c>
      <c r="Z392" s="22">
        <f>IF(V392="","",F392-V392)</f>
        <v/>
      </c>
      <c r="AA392" s="6" t="n">
        <v>27620561.45416957</v>
      </c>
      <c r="AB392" s="6" t="n">
        <v>24014138.68525811</v>
      </c>
      <c r="AC392" s="6" t="n">
        <v>7086871.557891599</v>
      </c>
      <c r="AD392" s="6" t="n">
        <v>4270127.493177462</v>
      </c>
      <c r="AE392" s="6" t="n">
        <v>4345290.403250291</v>
      </c>
      <c r="AF392" s="6" t="n">
        <v>29396489.25467174</v>
      </c>
      <c r="AG392" s="6" t="n">
        <v>3754302.623425641</v>
      </c>
      <c r="AH392" s="6" t="n">
        <v>4240526.178444394</v>
      </c>
      <c r="AI392" s="6" t="n">
        <v>8087005.507824584</v>
      </c>
      <c r="AJ392" s="6" t="n">
        <v>7198009.177668583</v>
      </c>
      <c r="AK392" s="6" t="n">
        <v>7190641.763926982</v>
      </c>
      <c r="AL392" s="6" t="n">
        <v>4401288.535041046</v>
      </c>
      <c r="AM392" s="6" t="n">
        <v>3756301.468240171</v>
      </c>
      <c r="AN392" s="6" t="n">
        <v>4099069.702361087</v>
      </c>
      <c r="AO392" s="6" t="n">
        <v>6995883.270654645</v>
      </c>
      <c r="AP392" s="6" t="n">
        <v>6218969.120171038</v>
      </c>
      <c r="AQ392" s="6" t="n">
        <v>6214102.872146803</v>
      </c>
      <c r="AR392" s="6" t="n">
        <v>4317343.483223665</v>
      </c>
    </row>
    <row r="393">
      <c r="A393" t="inlineStr">
        <is>
          <t>MyT</t>
        </is>
      </c>
      <c r="B393" s="8" t="n">
        <v>202307</v>
      </c>
      <c r="C393" s="8" t="n">
        <v>2023</v>
      </c>
      <c r="D393" s="9" t="n">
        <v>3978390.922901064</v>
      </c>
      <c r="E393" s="10" t="n">
        <v>0.141560405885254</v>
      </c>
      <c r="F393" s="22">
        <f>D393*(1-E393)</f>
        <v/>
      </c>
      <c r="G393" s="10" t="n">
        <v>1.003524</v>
      </c>
      <c r="H393" s="10" t="n">
        <v>0.02641092131629015</v>
      </c>
      <c r="I393" s="10" t="n">
        <v>0.1436202235926045</v>
      </c>
      <c r="J393" s="10" t="n">
        <v>0.2378769322747846</v>
      </c>
      <c r="K393" s="9" t="n">
        <v>28551803.733233</v>
      </c>
      <c r="L393" s="18" t="n">
        <v>28451540.50449516</v>
      </c>
      <c r="M393" s="18" t="n">
        <v>27597125.46610346</v>
      </c>
      <c r="N393" s="23">
        <f>IF(L393=0,"",M393/L393)</f>
        <v/>
      </c>
      <c r="O393" s="9" t="n">
        <v>33406499.61120865</v>
      </c>
      <c r="P393" s="22">
        <f>M393*G393*(1+H393+I393)</f>
        <v/>
      </c>
      <c r="Q393" s="9" t="n">
        <v>26614684.12823544</v>
      </c>
      <c r="R393" s="22">
        <f>P393-M393*G393*J393</f>
        <v/>
      </c>
      <c r="S393" s="22">
        <f>IF(A393=A392,O393-O392,"")</f>
        <v/>
      </c>
      <c r="T393" s="22">
        <f>IF(A393=A392,P393-P392,"")</f>
        <v/>
      </c>
      <c r="U393" s="22">
        <f>IF(A393=A392,Q393-Q392,"")</f>
        <v/>
      </c>
      <c r="V393" s="22">
        <f>IF(A393=A392,R393-R392,"")</f>
        <v/>
      </c>
      <c r="W393" s="22">
        <f>IF(S393="","",D393-S393)</f>
        <v/>
      </c>
      <c r="X393" s="22">
        <f>IF(T393="","",D393-T393)</f>
        <v/>
      </c>
      <c r="Y393" s="22">
        <f>IF(U393="","",F393-U393)</f>
        <v/>
      </c>
      <c r="Z393" s="22">
        <f>IF(V393="","",F393-V393)</f>
        <v/>
      </c>
      <c r="AA393" s="9" t="n">
        <v>27123410.76306855</v>
      </c>
      <c r="AB393" s="9" t="n">
        <v>23399619.09464976</v>
      </c>
      <c r="AC393" s="9" t="n">
        <v>7418579.964971579</v>
      </c>
      <c r="AD393" s="9" t="n">
        <v>4711390.245229982</v>
      </c>
      <c r="AE393" s="9" t="n">
        <v>4791555.28799148</v>
      </c>
      <c r="AF393" s="9" t="n">
        <v>28721949.94127255</v>
      </c>
      <c r="AG393" s="9" t="n">
        <v>8120429.683278121</v>
      </c>
      <c r="AH393" s="9" t="n">
        <v>7793629.943864614</v>
      </c>
      <c r="AI393" s="9" t="n">
        <v>4501902.941279132</v>
      </c>
      <c r="AJ393" s="9" t="n">
        <v>4010393.174085122</v>
      </c>
      <c r="AK393" s="9" t="n">
        <v>4014203.000462646</v>
      </c>
      <c r="AL393" s="9" t="n">
        <v>8557500.878914125</v>
      </c>
      <c r="AM393" s="9" t="n">
        <v>7233664.549457104</v>
      </c>
      <c r="AN393" s="9" t="n">
        <v>6905601.568177109</v>
      </c>
      <c r="AO393" s="9" t="n">
        <v>3965329.697106819</v>
      </c>
      <c r="AP393" s="9" t="n">
        <v>3520868.431408475</v>
      </c>
      <c r="AQ393" s="9" t="n">
        <v>3525314.741635727</v>
      </c>
      <c r="AR393" s="9" t="n">
        <v>7615215.538095177</v>
      </c>
    </row>
    <row r="394">
      <c r="A394" s="4" t="inlineStr">
        <is>
          <t>MyT</t>
        </is>
      </c>
      <c r="B394" s="5" t="n">
        <v>202308</v>
      </c>
      <c r="C394" s="5" t="n">
        <v>2023</v>
      </c>
      <c r="D394" s="6" t="n">
        <v>2519924.305998171</v>
      </c>
      <c r="E394" s="11" t="n">
        <v>0.141560405885254</v>
      </c>
      <c r="F394" s="22">
        <f>D394*(1-E394)</f>
        <v/>
      </c>
      <c r="G394" s="11" t="n">
        <v>1.019595471721229</v>
      </c>
      <c r="H394" s="11" t="n">
        <v>0.02560290358171395</v>
      </c>
      <c r="I394" s="11" t="n">
        <v>0.1429181118432241</v>
      </c>
      <c r="J394" s="11" t="n">
        <v>0.2232470318172599</v>
      </c>
      <c r="K394" s="6" t="n">
        <v>27220534.36547212</v>
      </c>
      <c r="L394" s="18" t="n">
        <v>26697386.48360197</v>
      </c>
      <c r="M394" s="18" t="n">
        <v>25373577.19990603</v>
      </c>
      <c r="N394" s="23">
        <f>IF(L394=0,"",M394/L394)</f>
        <v/>
      </c>
      <c r="O394" s="6" t="n">
        <v>31807766.4571509</v>
      </c>
      <c r="P394" s="22">
        <f>M394*G394*(1+H394+I394)</f>
        <v/>
      </c>
      <c r="Q394" s="6" t="n">
        <v>25730862.95557953</v>
      </c>
      <c r="R394" s="22">
        <f>P394-M394*G394*J394</f>
        <v/>
      </c>
      <c r="S394" s="22">
        <f>IF(A394=A393,O394-O393,"")</f>
        <v/>
      </c>
      <c r="T394" s="22">
        <f>IF(A394=A393,P394-P393,"")</f>
        <v/>
      </c>
      <c r="U394" s="22">
        <f>IF(A394=A393,Q394-Q393,"")</f>
        <v/>
      </c>
      <c r="V394" s="22">
        <f>IF(A394=A393,R394-R393,"")</f>
        <v/>
      </c>
      <c r="W394" s="22">
        <f>IF(S394="","",D394-S394)</f>
        <v/>
      </c>
      <c r="X394" s="22">
        <f>IF(T394="","",D394-T394)</f>
        <v/>
      </c>
      <c r="Y394" s="22">
        <f>IF(U394="","",F394-U394)</f>
        <v/>
      </c>
      <c r="Z394" s="22">
        <f>IF(V394="","",F394-V394)</f>
        <v/>
      </c>
      <c r="AA394" s="6" t="n">
        <v>24902287.36298808</v>
      </c>
      <c r="AB394" s="6" t="n">
        <v>21401761.52081794</v>
      </c>
      <c r="AC394" s="6" t="n">
        <v>6940872.255645097</v>
      </c>
      <c r="AD394" s="6" t="n">
        <v>4485015.916016832</v>
      </c>
      <c r="AE394" s="6" t="n">
        <v>4549920.764331462</v>
      </c>
      <c r="AF394" s="6" t="n">
        <v>26590022.76085143</v>
      </c>
      <c r="AG394" s="6" t="n">
        <v>4697942.892330138</v>
      </c>
      <c r="AH394" s="6" t="n">
        <v>4496228.837470105</v>
      </c>
      <c r="AI394" s="6" t="n">
        <v>2960996.879787431</v>
      </c>
      <c r="AJ394" s="6" t="n">
        <v>2708291.591402339</v>
      </c>
      <c r="AK394" s="6" t="n">
        <v>2725088.871513953</v>
      </c>
      <c r="AL394" s="6" t="n">
        <v>4564075.02322712</v>
      </c>
      <c r="AM394" s="6" t="n">
        <v>3534750.727704459</v>
      </c>
      <c r="AN394" s="6" t="n">
        <v>3425166.872567025</v>
      </c>
      <c r="AO394" s="6" t="n">
        <v>2413240.377186751</v>
      </c>
      <c r="AP394" s="6" t="n">
        <v>2247776.349422921</v>
      </c>
      <c r="AQ394" s="6" t="n">
        <v>2260210.763961951</v>
      </c>
      <c r="AR394" s="6" t="n">
        <v>3403452.379535944</v>
      </c>
    </row>
    <row r="395">
      <c r="A395" t="inlineStr">
        <is>
          <t>MyT</t>
        </is>
      </c>
      <c r="B395" s="8" t="n">
        <v>202309</v>
      </c>
      <c r="C395" s="8" t="n">
        <v>2023</v>
      </c>
      <c r="D395" s="9" t="n">
        <v>2742274.593622295</v>
      </c>
      <c r="E395" s="10" t="n">
        <v>0.141560405885254</v>
      </c>
      <c r="F395" s="22">
        <f>D395*(1-E395)</f>
        <v/>
      </c>
      <c r="G395" s="10" t="n">
        <v>1.025357454703095</v>
      </c>
      <c r="H395" s="10" t="n">
        <v>0.0282827887512817</v>
      </c>
      <c r="I395" s="10" t="n">
        <v>0.1546687311348208</v>
      </c>
      <c r="J395" s="10" t="n">
        <v>0.2374829585436687</v>
      </c>
      <c r="K395" s="9" t="n">
        <v>23202483.82937704</v>
      </c>
      <c r="L395" s="18" t="n">
        <v>22628678.14824208</v>
      </c>
      <c r="M395" s="18" t="n">
        <v>23823719.4406334</v>
      </c>
      <c r="N395" s="23">
        <f>IF(L395=0,"",M395/L395)</f>
        <v/>
      </c>
      <c r="O395" s="9" t="n">
        <v>27447413.51109428</v>
      </c>
      <c r="P395" s="22">
        <f>M395*G395*(1+H395+I395)</f>
        <v/>
      </c>
      <c r="Q395" s="9" t="n">
        <v>21937219.00573218</v>
      </c>
      <c r="R395" s="22">
        <f>P395-M395*G395*J395</f>
        <v/>
      </c>
      <c r="S395" s="22">
        <f>IF(A395=A394,O395-O394,"")</f>
        <v/>
      </c>
      <c r="T395" s="22">
        <f>IF(A395=A394,P395-P394,"")</f>
        <v/>
      </c>
      <c r="U395" s="22">
        <f>IF(A395=A394,Q395-Q394,"")</f>
        <v/>
      </c>
      <c r="V395" s="22">
        <f>IF(A395=A394,R395-R394,"")</f>
        <v/>
      </c>
      <c r="W395" s="22">
        <f>IF(S395="","",D395-S395)</f>
        <v/>
      </c>
      <c r="X395" s="22">
        <f>IF(T395="","",D395-T395)</f>
        <v/>
      </c>
      <c r="Y395" s="22">
        <f>IF(U395="","",F395-U395)</f>
        <v/>
      </c>
      <c r="Z395" s="22">
        <f>IF(V395="","",F395-V395)</f>
        <v/>
      </c>
      <c r="AA395" s="9" t="n">
        <v>23405872.35393276</v>
      </c>
      <c r="AB395" s="9" t="n">
        <v>20081725.93491833</v>
      </c>
      <c r="AC395" s="9" t="n">
        <v>6790673.91717023</v>
      </c>
      <c r="AD395" s="9" t="n">
        <v>4116624.721998744</v>
      </c>
      <c r="AE395" s="9" t="n">
        <v>4243470.645990555</v>
      </c>
      <c r="AF395" s="9" t="n">
        <v>25019017.27526401</v>
      </c>
      <c r="AG395" s="9" t="n">
        <v>4021216.533171685</v>
      </c>
      <c r="AH395" s="9" t="n">
        <v>3882641.739918048</v>
      </c>
      <c r="AI395" s="9" t="n">
        <v>2775024.413376532</v>
      </c>
      <c r="AJ395" s="9" t="n">
        <v>3092554.207179413</v>
      </c>
      <c r="AK395" s="9" t="n">
        <v>3016025.52947287</v>
      </c>
      <c r="AL395" s="9" t="n">
        <v>4075354.944209257</v>
      </c>
      <c r="AM395" s="9" t="n">
        <v>3664164.093378546</v>
      </c>
      <c r="AN395" s="9" t="n">
        <v>3512938.798528438</v>
      </c>
      <c r="AO395" s="9" t="n">
        <v>2460496.547225841</v>
      </c>
      <c r="AP395" s="9" t="n">
        <v>2685888.30399917</v>
      </c>
      <c r="AQ395" s="9" t="n">
        <v>2625473.483616851</v>
      </c>
      <c r="AR395" s="9" t="n">
        <v>3726946.095024241</v>
      </c>
    </row>
    <row r="396">
      <c r="A396" s="4" t="inlineStr">
        <is>
          <t>MyT</t>
        </is>
      </c>
      <c r="B396" s="5" t="n">
        <v>202310</v>
      </c>
      <c r="C396" s="5" t="n">
        <v>2023</v>
      </c>
      <c r="D396" s="6" t="n">
        <v>4945909.47573715</v>
      </c>
      <c r="E396" s="11" t="n">
        <v>0.141560405885254</v>
      </c>
      <c r="F396" s="22">
        <f>D396*(1-E396)</f>
        <v/>
      </c>
      <c r="G396" s="11" t="n">
        <v>1.10950942331933</v>
      </c>
      <c r="H396" s="11" t="n">
        <v>0.02613765729252291</v>
      </c>
      <c r="I396" s="11" t="n">
        <v>0.2051907331896002</v>
      </c>
      <c r="J396" s="11" t="n">
        <v>0.201477945212813</v>
      </c>
      <c r="K396" s="6" t="n">
        <v>26203080.7162076</v>
      </c>
      <c r="L396" s="18" t="n">
        <v>23616816.7349274</v>
      </c>
      <c r="M396" s="18" t="n">
        <v>24882480.4891218</v>
      </c>
      <c r="N396" s="23">
        <f>IF(L396=0,"",M396/L396)</f>
        <v/>
      </c>
      <c r="O396" s="6" t="n">
        <v>32264597.20396106</v>
      </c>
      <c r="P396" s="22">
        <f>M396*G396*(1+H396+I396)</f>
        <v/>
      </c>
      <c r="Q396" s="6" t="n">
        <v>26985254.34301407</v>
      </c>
      <c r="R396" s="22">
        <f>P396-M396*G396*J396</f>
        <v/>
      </c>
      <c r="S396" s="22">
        <f>IF(A396=A395,O396-O395,"")</f>
        <v/>
      </c>
      <c r="T396" s="22">
        <f>IF(A396=A395,P396-P395,"")</f>
        <v/>
      </c>
      <c r="U396" s="22">
        <f>IF(A396=A395,Q396-Q395,"")</f>
        <v/>
      </c>
      <c r="V396" s="22">
        <f>IF(A396=A395,R396-R395,"")</f>
        <v/>
      </c>
      <c r="W396" s="22">
        <f>IF(S396="","",D396-S396)</f>
        <v/>
      </c>
      <c r="X396" s="22">
        <f>IF(T396="","",D396-T396)</f>
        <v/>
      </c>
      <c r="Y396" s="22">
        <f>IF(U396="","",F396-U396)</f>
        <v/>
      </c>
      <c r="Z396" s="22">
        <f>IF(V396="","",F396-V396)</f>
        <v/>
      </c>
      <c r="AA396" s="6" t="n">
        <v>24426350.26667061</v>
      </c>
      <c r="AB396" s="6" t="n">
        <v>20881656.21671424</v>
      </c>
      <c r="AC396" s="6" t="n">
        <v>5937721.645477311</v>
      </c>
      <c r="AD396" s="6" t="n">
        <v>3458556.811492265</v>
      </c>
      <c r="AE396" s="6" t="n">
        <v>3601776.246548058</v>
      </c>
      <c r="AF396" s="6" t="n">
        <v>25471965.76518543</v>
      </c>
      <c r="AG396" s="6" t="n">
        <v>-34538.72711565439</v>
      </c>
      <c r="AH396" s="6" t="n">
        <v>776100.2661322532</v>
      </c>
      <c r="AI396" s="6" t="n">
        <v>5070705.038245507</v>
      </c>
      <c r="AJ396" s="6" t="n">
        <v>5214183.731556535</v>
      </c>
      <c r="AK396" s="6" t="n">
        <v>5172379.101209916</v>
      </c>
      <c r="AL396" s="6" t="n">
        <v>493633.4374827063</v>
      </c>
      <c r="AM396" s="6" t="n">
        <v>-973821.4540171307</v>
      </c>
      <c r="AN396" s="6" t="n">
        <v>-146123.3053734023</v>
      </c>
      <c r="AO396" s="6" t="n">
        <v>4044325.82839186</v>
      </c>
      <c r="AP396" s="6" t="n">
        <v>4284751.993128037</v>
      </c>
      <c r="AQ396" s="6" t="n">
        <v>4244075.268915307</v>
      </c>
      <c r="AR396" s="6" t="n">
        <v>-604719.3735911902</v>
      </c>
    </row>
    <row r="397">
      <c r="A397" t="inlineStr">
        <is>
          <t>MyT</t>
        </is>
      </c>
      <c r="B397" s="8" t="n">
        <v>202311</v>
      </c>
      <c r="C397" s="8" t="n">
        <v>2023</v>
      </c>
      <c r="D397" s="9" t="n">
        <v>3844135.208685903</v>
      </c>
      <c r="E397" s="10" t="n">
        <v>0.141560405885254</v>
      </c>
      <c r="F397" s="22">
        <f>D397*(1-E397)</f>
        <v/>
      </c>
      <c r="G397" s="10" t="n">
        <v>1.050155131095851</v>
      </c>
      <c r="H397" s="10" t="n">
        <v>0.02761491544782283</v>
      </c>
      <c r="I397" s="10" t="n">
        <v>0.1951855864184288</v>
      </c>
      <c r="J397" s="10" t="n">
        <v>0.1806449417996327</v>
      </c>
      <c r="K397" s="9" t="n">
        <v>24475874.74133419</v>
      </c>
      <c r="L397" s="18" t="n">
        <v>23306913.44220096</v>
      </c>
      <c r="M397" s="18" t="n">
        <v>24513335.88316165</v>
      </c>
      <c r="N397" s="23">
        <f>IF(L397=0,"",M397/L397)</f>
        <v/>
      </c>
      <c r="O397" s="9" t="n">
        <v>29929111.91731896</v>
      </c>
      <c r="P397" s="22">
        <f>M397*G397*(1+H397+I397)</f>
        <v/>
      </c>
      <c r="Q397" s="9" t="n">
        <v>25507668.94917555</v>
      </c>
      <c r="R397" s="22">
        <f>P397-M397*G397*J397</f>
        <v/>
      </c>
      <c r="S397" s="22">
        <f>IF(A397=A396,O397-O396,"")</f>
        <v/>
      </c>
      <c r="T397" s="22">
        <f>IF(A397=A396,P397-P396,"")</f>
        <v/>
      </c>
      <c r="U397" s="22">
        <f>IF(A397=A396,Q397-Q396,"")</f>
        <v/>
      </c>
      <c r="V397" s="22">
        <f>IF(A397=A396,R397-R396,"")</f>
        <v/>
      </c>
      <c r="W397" s="22">
        <f>IF(S397="","",D397-S397)</f>
        <v/>
      </c>
      <c r="X397" s="22">
        <f>IF(T397="","",D397-T397)</f>
        <v/>
      </c>
      <c r="Y397" s="22">
        <f>IF(U397="","",F397-U397)</f>
        <v/>
      </c>
      <c r="Z397" s="22">
        <f>IF(V397="","",F397-V397)</f>
        <v/>
      </c>
      <c r="AA397" s="9" t="n">
        <v>24056772.77780585</v>
      </c>
      <c r="AB397" s="9" t="n">
        <v>20495582.74382992</v>
      </c>
      <c r="AC397" s="9" t="n">
        <v>7514383.41856165</v>
      </c>
      <c r="AD397" s="9" t="n">
        <v>3432165.800426799</v>
      </c>
      <c r="AE397" s="9" t="n">
        <v>3567782.80863198</v>
      </c>
      <c r="AF397" s="9" t="n">
        <v>25031524.13734744</v>
      </c>
      <c r="AG397" s="9" t="n">
        <v>6322664.252050156</v>
      </c>
      <c r="AH397" s="9" t="n">
        <v>6053039.724626364</v>
      </c>
      <c r="AI397" s="9" t="n">
        <v>2306628.233031711</v>
      </c>
      <c r="AJ397" s="9" t="n">
        <v>4161765.503651061</v>
      </c>
      <c r="AK397" s="9" t="n">
        <v>4183277.765275331</v>
      </c>
      <c r="AL397" s="9" t="n">
        <v>6499445.571653994</v>
      </c>
      <c r="AM397" s="9" t="n">
        <v>4881874.758726764</v>
      </c>
      <c r="AN397" s="9" t="n">
        <v>4729060.77779755</v>
      </c>
      <c r="AO397" s="9" t="n">
        <v>1860640.33121346</v>
      </c>
      <c r="AP397" s="9" t="n">
        <v>3495556.30998306</v>
      </c>
      <c r="AQ397" s="9" t="n">
        <v>3510780.312022757</v>
      </c>
      <c r="AR397" s="9" t="n">
        <v>5009832.848241407</v>
      </c>
    </row>
    <row r="398">
      <c r="A398" s="4" t="inlineStr">
        <is>
          <t>MyT</t>
        </is>
      </c>
      <c r="B398" s="5" t="n">
        <v>202312</v>
      </c>
      <c r="C398" s="5" t="n">
        <v>2023</v>
      </c>
      <c r="D398" s="6" t="n">
        <v>6428580.933318974</v>
      </c>
      <c r="E398" s="11" t="n">
        <v>0.141560405885254</v>
      </c>
      <c r="F398" s="22">
        <f>D398*(1-E398)</f>
        <v/>
      </c>
      <c r="G398" s="11" t="n">
        <v>1.128379778</v>
      </c>
      <c r="H398" s="11" t="n">
        <v>0.02550807719653687</v>
      </c>
      <c r="I398" s="11" t="n">
        <v>0.2059636528850278</v>
      </c>
      <c r="J398" s="11" t="n">
        <v>0.1846776593998914</v>
      </c>
      <c r="K398" s="6" t="n">
        <v>28727159.32655924</v>
      </c>
      <c r="L398" s="18" t="n">
        <v>25458768.30359082</v>
      </c>
      <c r="M398" s="18" t="n">
        <v>26708449.57954083</v>
      </c>
      <c r="N398" s="23">
        <f>IF(L398=0,"",M398/L398)</f>
        <v/>
      </c>
      <c r="O398" s="6" t="n">
        <v>35376684.59620667</v>
      </c>
      <c r="P398" s="22">
        <f>M398*G398*(1+H398+I398)</f>
        <v/>
      </c>
      <c r="Q398" s="6" t="n">
        <v>30071420.05056994</v>
      </c>
      <c r="R398" s="22">
        <f>P398-M398*G398*J398</f>
        <v/>
      </c>
      <c r="S398" s="22">
        <f>IF(A398=A397,O398-O397,"")</f>
        <v/>
      </c>
      <c r="T398" s="22">
        <f>IF(A398=A397,P398-P397,"")</f>
        <v/>
      </c>
      <c r="U398" s="22">
        <f>IF(A398=A397,Q398-Q397,"")</f>
        <v/>
      </c>
      <c r="V398" s="22">
        <f>IF(A398=A397,R398-R397,"")</f>
        <v/>
      </c>
      <c r="W398" s="22">
        <f>IF(S398="","",D398-S398)</f>
        <v/>
      </c>
      <c r="X398" s="22">
        <f>IF(T398="","",D398-T398)</f>
        <v/>
      </c>
      <c r="Y398" s="22">
        <f>IF(U398="","",F398-U398)</f>
        <v/>
      </c>
      <c r="Z398" s="22">
        <f>IF(V398="","",F398-V398)</f>
        <v/>
      </c>
      <c r="AA398" s="6" t="n">
        <v>26220510.5755529</v>
      </c>
      <c r="AB398" s="6" t="n">
        <v>22462101.99157858</v>
      </c>
      <c r="AC398" s="6" t="n">
        <v>9033571.130441768</v>
      </c>
      <c r="AD398" s="6" t="n">
        <v>3047815.326892667</v>
      </c>
      <c r="AE398" s="6" t="n">
        <v>3154655.044157467</v>
      </c>
      <c r="AF398" s="6" t="n">
        <v>27006652.15946008</v>
      </c>
      <c r="AG398" s="6" t="n">
        <v>885432.7579976404</v>
      </c>
      <c r="AH398" s="6" t="n">
        <v>1534964.549201892</v>
      </c>
      <c r="AI398" s="6" t="n">
        <v>3525268.237432192</v>
      </c>
      <c r="AJ398" s="6" t="n">
        <v>6600782.731621042</v>
      </c>
      <c r="AK398" s="6" t="n">
        <v>6626471.599790446</v>
      </c>
      <c r="AL398" s="6" t="n">
        <v>1044743.407882069</v>
      </c>
      <c r="AM398" s="6" t="n">
        <v>875706.4182890886</v>
      </c>
      <c r="AN398" s="6" t="n">
        <v>1417612.774903038</v>
      </c>
      <c r="AO398" s="6" t="n">
        <v>3072192.606169463</v>
      </c>
      <c r="AP398" s="6" t="n">
        <v>5674774.142100226</v>
      </c>
      <c r="AQ398" s="6" t="n">
        <v>5696999.715526088</v>
      </c>
      <c r="AR398" s="6" t="n">
        <v>1013922.976064333</v>
      </c>
    </row>
    <row r="399">
      <c r="A399" t="inlineStr">
        <is>
          <t>MyT</t>
        </is>
      </c>
      <c r="B399" s="8" t="n">
        <v>202401</v>
      </c>
      <c r="C399" s="8" t="n">
        <v>2024</v>
      </c>
      <c r="D399" s="9" t="n">
        <v>1625880.551163871</v>
      </c>
      <c r="E399" s="10" t="n">
        <v>0.1016138740725311</v>
      </c>
      <c r="F399" s="22">
        <f>D399*(1-E399)</f>
        <v/>
      </c>
      <c r="G399" s="10" t="n">
        <v>1.07103</v>
      </c>
      <c r="H399" s="10" t="n">
        <v>0.0263745741346706</v>
      </c>
      <c r="I399" s="10" t="n">
        <v>0.2107815866912762</v>
      </c>
      <c r="J399" s="10" t="n">
        <v>0.196585857862098</v>
      </c>
      <c r="K399" s="9" t="n">
        <v>24777100.28540412</v>
      </c>
      <c r="L399" s="18" t="n">
        <v>23133899.41029114</v>
      </c>
      <c r="M399" s="18" t="n">
        <v>24044410.81468376</v>
      </c>
      <c r="N399" s="23">
        <f>IF(L399=0,"",M399/L399)</f>
        <v/>
      </c>
      <c r="O399" s="9" t="n">
        <v>30653142.26549003</v>
      </c>
      <c r="P399" s="22">
        <f>M399*G399*(1+H399+I399)</f>
        <v/>
      </c>
      <c r="Q399" s="9" t="n">
        <v>25782314.75054862</v>
      </c>
      <c r="R399" s="22">
        <f>P399-M399*G399*J399</f>
        <v/>
      </c>
      <c r="S399" s="22">
        <f>IF(A399=A398,O399-O398,"")</f>
        <v/>
      </c>
      <c r="T399" s="22">
        <f>IF(A399=A398,P399-P398,"")</f>
        <v/>
      </c>
      <c r="U399" s="22">
        <f>IF(A399=A398,Q399-Q398,"")</f>
        <v/>
      </c>
      <c r="V399" s="22">
        <f>IF(A399=A398,R399-R398,"")</f>
        <v/>
      </c>
      <c r="W399" s="22">
        <f>IF(S399="","",D399-S399)</f>
        <v/>
      </c>
      <c r="X399" s="22">
        <f>IF(T399="","",D399-T399)</f>
        <v/>
      </c>
      <c r="Y399" s="22">
        <f>IF(U399="","",F399-U399)</f>
        <v/>
      </c>
      <c r="Z399" s="22">
        <f>IF(V399="","",F399-V399)</f>
        <v/>
      </c>
      <c r="AA399" s="9" t="n">
        <v>23579577.1233616</v>
      </c>
      <c r="AB399" s="9" t="n">
        <v>20125955.12955773</v>
      </c>
      <c r="AC399" s="9" t="n">
        <v>4811316.304437259</v>
      </c>
      <c r="AD399" s="9" t="n">
        <v>3087845.265161355</v>
      </c>
      <c r="AE399" s="9" t="n">
        <v>3212655.205739119</v>
      </c>
      <c r="AF399" s="9" t="n">
        <v>24275877.67313686</v>
      </c>
      <c r="AG399" s="9" t="n">
        <v>6817378.465342369</v>
      </c>
      <c r="AH399" s="9" t="n">
        <v>6170972.385062668</v>
      </c>
      <c r="AI399" s="9" t="n">
        <v>7803495.089219552</v>
      </c>
      <c r="AJ399" s="9" t="n">
        <v>1769534.761632453</v>
      </c>
      <c r="AK399" s="9" t="n">
        <v>1752618.706556337</v>
      </c>
      <c r="AL399" s="9" t="n">
        <v>6987155.428061735</v>
      </c>
      <c r="AM399" s="9" t="n">
        <v>6152829.732841421</v>
      </c>
      <c r="AN399" s="9" t="n">
        <v>5562467.528843652</v>
      </c>
      <c r="AO399" s="9" t="n">
        <v>6768827.996226685</v>
      </c>
      <c r="AP399" s="9" t="n">
        <v>1619342.878386613</v>
      </c>
      <c r="AQ399" s="9" t="n">
        <v>1606441.516718976</v>
      </c>
      <c r="AR399" s="9" t="n">
        <v>6305391.002934095</v>
      </c>
    </row>
    <row r="400">
      <c r="A400" s="4" t="inlineStr">
        <is>
          <t>MyT</t>
        </is>
      </c>
      <c r="B400" s="5" t="n">
        <v>202402</v>
      </c>
      <c r="C400" s="5" t="n">
        <v>2024</v>
      </c>
      <c r="D400" s="6" t="n">
        <v>3005332.068367825</v>
      </c>
      <c r="E400" s="11" t="n">
        <v>0.1016138740725311</v>
      </c>
      <c r="F400" s="22">
        <f>D400*(1-E400)</f>
        <v/>
      </c>
      <c r="G400" s="11" t="n">
        <v>1.103729</v>
      </c>
      <c r="H400" s="11" t="n">
        <v>0.02559309801306468</v>
      </c>
      <c r="I400" s="11" t="n">
        <v>0.2327281720907432</v>
      </c>
      <c r="J400" s="11" t="n">
        <v>0.1748892240490768</v>
      </c>
      <c r="K400" s="6" t="n">
        <v>24754826.80438365</v>
      </c>
      <c r="L400" s="18" t="n">
        <v>22428355.87756021</v>
      </c>
      <c r="M400" s="18" t="n">
        <v>23054206.27842213</v>
      </c>
      <c r="N400" s="23">
        <f>IF(L400=0,"",M400/L400)</f>
        <v/>
      </c>
      <c r="O400" s="6" t="n">
        <v>31149525.10569182</v>
      </c>
      <c r="P400" s="22">
        <f>M400*G400*(1+H400+I400)</f>
        <v/>
      </c>
      <c r="Q400" s="6" t="n">
        <v>26820172.65440388</v>
      </c>
      <c r="R400" s="22">
        <f>P400-M400*G400*J400</f>
        <v/>
      </c>
      <c r="S400" s="22">
        <f>IF(A400=A399,O400-O399,"")</f>
        <v/>
      </c>
      <c r="T400" s="22">
        <f>IF(A400=A399,P400-P399,"")</f>
        <v/>
      </c>
      <c r="U400" s="22">
        <f>IF(A400=A399,Q400-Q399,"")</f>
        <v/>
      </c>
      <c r="V400" s="22">
        <f>IF(A400=A399,R400-R399,"")</f>
        <v/>
      </c>
      <c r="W400" s="22">
        <f>IF(S400="","",D400-S400)</f>
        <v/>
      </c>
      <c r="X400" s="22">
        <f>IF(T400="","",D400-T400)</f>
        <v/>
      </c>
      <c r="Y400" s="22">
        <f>IF(U400="","",F400-U400)</f>
        <v/>
      </c>
      <c r="Z400" s="22">
        <f>IF(V400="","",F400-V400)</f>
        <v/>
      </c>
      <c r="AA400" s="6" t="n">
        <v>22623813.72025629</v>
      </c>
      <c r="AB400" s="6" t="n">
        <v>19261520.78621743</v>
      </c>
      <c r="AC400" s="6" t="n">
        <v>4042068.651870852</v>
      </c>
      <c r="AD400" s="6" t="n">
        <v>2887429.448142064</v>
      </c>
      <c r="AE400" s="6" t="n">
        <v>3021401.912676079</v>
      </c>
      <c r="AF400" s="6" t="n">
        <v>23189788.5152627</v>
      </c>
      <c r="AG400" s="6" t="n">
        <v>2828025.395853356</v>
      </c>
      <c r="AH400" s="6" t="n">
        <v>2921573.945046407</v>
      </c>
      <c r="AI400" s="6" t="n">
        <v>3766667.494905676</v>
      </c>
      <c r="AJ400" s="6" t="n">
        <v>3086629.981508574</v>
      </c>
      <c r="AK400" s="6" t="n">
        <v>3065939.988956892</v>
      </c>
      <c r="AL400" s="6" t="n">
        <v>2964593.814921149</v>
      </c>
      <c r="AM400" s="6" t="n">
        <v>1925059.032111309</v>
      </c>
      <c r="AN400" s="6" t="n">
        <v>2096741.010004837</v>
      </c>
      <c r="AO400" s="6" t="n">
        <v>3228506.291869718</v>
      </c>
      <c r="AP400" s="6" t="n">
        <v>2688464.126303453</v>
      </c>
      <c r="AQ400" s="6" t="n">
        <v>2667356.227863737</v>
      </c>
      <c r="AR400" s="6" t="n">
        <v>2024272.111292023</v>
      </c>
    </row>
    <row r="401">
      <c r="A401" t="inlineStr">
        <is>
          <t>MyT</t>
        </is>
      </c>
      <c r="B401" s="8" t="n">
        <v>202403</v>
      </c>
      <c r="C401" s="8" t="n">
        <v>2024</v>
      </c>
      <c r="D401" s="9" t="n">
        <v>9082334.018796463</v>
      </c>
      <c r="E401" s="10" t="n">
        <v>0.1016138740725311</v>
      </c>
      <c r="F401" s="22">
        <f>D401*(1-E401)</f>
        <v/>
      </c>
      <c r="G401" s="10" t="n">
        <v>1.11666</v>
      </c>
      <c r="H401" s="10" t="n">
        <v>0.02529675903568545</v>
      </c>
      <c r="I401" s="10" t="n">
        <v>0.2286234931501257</v>
      </c>
      <c r="J401" s="10" t="n">
        <v>0.1485466411286148</v>
      </c>
      <c r="K401" s="9" t="n">
        <v>29009012.62007548</v>
      </c>
      <c r="L401" s="18" t="n">
        <v>25978375.35156223</v>
      </c>
      <c r="M401" s="18" t="n">
        <v>28007241.53789011</v>
      </c>
      <c r="N401" s="23">
        <f>IF(L401=0,"",M401/L401)</f>
        <v/>
      </c>
      <c r="O401" s="9" t="n">
        <v>36374988.42022642</v>
      </c>
      <c r="P401" s="22">
        <f>M401*G401*(1+H401+I401)</f>
        <v/>
      </c>
      <c r="Q401" s="9" t="n">
        <v>32065797.03305661</v>
      </c>
      <c r="R401" s="22">
        <f>P401-M401*G401*J401</f>
        <v/>
      </c>
      <c r="S401" s="22">
        <f>IF(A401=A400,O401-O400,"")</f>
        <v/>
      </c>
      <c r="T401" s="22">
        <f>IF(A401=A400,P401-P400,"")</f>
        <v/>
      </c>
      <c r="U401" s="22">
        <f>IF(A401=A400,Q401-Q400,"")</f>
        <v/>
      </c>
      <c r="V401" s="22">
        <f>IF(A401=A400,R401-R400,"")</f>
        <v/>
      </c>
      <c r="W401" s="22">
        <f>IF(S401="","",D401-S401)</f>
        <v/>
      </c>
      <c r="X401" s="22">
        <f>IF(T401="","",D401-T401)</f>
        <v/>
      </c>
      <c r="Y401" s="22">
        <f>IF(U401="","",F401-U401)</f>
        <v/>
      </c>
      <c r="Z401" s="22">
        <f>IF(V401="","",F401-V401)</f>
        <v/>
      </c>
      <c r="AA401" s="9" t="n">
        <v>27502370.92785901</v>
      </c>
      <c r="AB401" s="9" t="n">
        <v>23563341.20586576</v>
      </c>
      <c r="AC401" s="9" t="n">
        <v>3324843.918652323</v>
      </c>
      <c r="AD401" s="9" t="n">
        <v>2691017.214949957</v>
      </c>
      <c r="AE401" s="9" t="n">
        <v>2808676.017278205</v>
      </c>
      <c r="AF401" s="9" t="n">
        <v>27805852.45044284</v>
      </c>
      <c r="AG401" s="9" t="n">
        <v>1994428.932892207</v>
      </c>
      <c r="AH401" s="9" t="n">
        <v>2840162.540324181</v>
      </c>
      <c r="AI401" s="9" t="n">
        <v>10040688.53033939</v>
      </c>
      <c r="AJ401" s="9" t="n">
        <v>9324558.654973676</v>
      </c>
      <c r="AK401" s="9" t="n">
        <v>9345879.573580448</v>
      </c>
      <c r="AL401" s="9" t="n">
        <v>2355544.966725018</v>
      </c>
      <c r="AM401" s="9" t="n">
        <v>1266441.866706576</v>
      </c>
      <c r="AN401" s="9" t="n">
        <v>2107809.058358334</v>
      </c>
      <c r="AO401" s="9" t="n">
        <v>8889067.743419409</v>
      </c>
      <c r="AP401" s="9" t="n">
        <v>8290681.532811525</v>
      </c>
      <c r="AQ401" s="9" t="n">
        <v>8305658.487629013</v>
      </c>
      <c r="AR401" s="9" t="n">
        <v>1568647.940375589</v>
      </c>
    </row>
    <row r="402">
      <c r="A402" s="4" t="inlineStr">
        <is>
          <t>MyT</t>
        </is>
      </c>
      <c r="B402" s="5" t="n">
        <v>202404</v>
      </c>
      <c r="C402" s="5" t="n">
        <v>2024</v>
      </c>
      <c r="D402" s="6" t="n">
        <v>14951809.20411406</v>
      </c>
      <c r="E402" s="11" t="n">
        <v>0.1016138740725311</v>
      </c>
      <c r="F402" s="22">
        <f>D402*(1-E402)</f>
        <v/>
      </c>
      <c r="G402" s="11" t="n">
        <v>0.9496099999999998</v>
      </c>
      <c r="H402" s="11" t="n">
        <v>0.02974663401294996</v>
      </c>
      <c r="I402" s="11" t="n">
        <v>0.1761719116188553</v>
      </c>
      <c r="J402" s="11" t="n">
        <v>0.1124678454497899</v>
      </c>
      <c r="K402" s="6" t="n">
        <v>33277016.65459982</v>
      </c>
      <c r="L402" s="18" t="n">
        <v>35042824.58546121</v>
      </c>
      <c r="M402" s="18" t="n">
        <v>37615704.32609941</v>
      </c>
      <c r="N402" s="23">
        <f>IF(L402=0,"",M402/L402)</f>
        <v/>
      </c>
      <c r="O402" s="6" t="n">
        <v>40129371.52708037</v>
      </c>
      <c r="P402" s="22">
        <f>M402*G402*(1+H402+I402)</f>
        <v/>
      </c>
      <c r="Q402" s="6" t="n">
        <v>36386777.16094075</v>
      </c>
      <c r="R402" s="22">
        <f>P402-M402*G402*J402</f>
        <v/>
      </c>
      <c r="S402" s="22">
        <f>IF(A402=A401,O402-O401,"")</f>
        <v/>
      </c>
      <c r="T402" s="22">
        <f>IF(A402=A401,P402-P401,"")</f>
        <v/>
      </c>
      <c r="U402" s="22">
        <f>IF(A402=A401,Q402-Q401,"")</f>
        <v/>
      </c>
      <c r="V402" s="22">
        <f>IF(A402=A401,R402-R401,"")</f>
        <v/>
      </c>
      <c r="W402" s="22">
        <f>IF(S402="","",D402-S402)</f>
        <v/>
      </c>
      <c r="X402" s="22">
        <f>IF(T402="","",D402-T402)</f>
        <v/>
      </c>
      <c r="Y402" s="22">
        <f>IF(U402="","",F402-U402)</f>
        <v/>
      </c>
      <c r="Z402" s="22">
        <f>IF(V402="","",F402-V402)</f>
        <v/>
      </c>
      <c r="AA402" s="6" t="n">
        <v>37007982.76511377</v>
      </c>
      <c r="AB402" s="6" t="n">
        <v>32343028.26343936</v>
      </c>
      <c r="AC402" s="6" t="n">
        <v>4769878.364989515</v>
      </c>
      <c r="AD402" s="6" t="n">
        <v>4456127.5043161</v>
      </c>
      <c r="AE402" s="6" t="n">
        <v>4586463.570083157</v>
      </c>
      <c r="AF402" s="6" t="n">
        <v>37393822.78371406</v>
      </c>
      <c r="AG402" s="6" t="n">
        <v>11080923.21934418</v>
      </c>
      <c r="AH402" s="6" t="n">
        <v>10907567.02941132</v>
      </c>
      <c r="AI402" s="6" t="n">
        <v>14145027.03773945</v>
      </c>
      <c r="AJ402" s="6" t="n">
        <v>13616833.76926263</v>
      </c>
      <c r="AK402" s="6" t="n">
        <v>13632325.28207367</v>
      </c>
      <c r="AL402" s="6" t="n">
        <v>11064013.24428492</v>
      </c>
      <c r="AM402" s="6" t="n">
        <v>8952100.564278798</v>
      </c>
      <c r="AN402" s="6" t="n">
        <v>8933915.335566068</v>
      </c>
      <c r="AO402" s="6" t="n">
        <v>12583629.49047207</v>
      </c>
      <c r="AP402" s="6" t="n">
        <v>12127064.14153175</v>
      </c>
      <c r="AQ402" s="6" t="n">
        <v>12136958.84080565</v>
      </c>
      <c r="AR402" s="6" t="n">
        <v>8926058.20208233</v>
      </c>
    </row>
    <row r="403">
      <c r="A403" t="inlineStr">
        <is>
          <t>MyT</t>
        </is>
      </c>
      <c r="B403" s="8" t="n">
        <v>202405</v>
      </c>
      <c r="C403" s="8" t="n">
        <v>2024</v>
      </c>
      <c r="D403" s="9" t="n">
        <v>2952164.870499293</v>
      </c>
      <c r="E403" s="10" t="n">
        <v>0.1016138740725311</v>
      </c>
      <c r="F403" s="22">
        <f>D403*(1-E403)</f>
        <v/>
      </c>
      <c r="G403" s="10" t="n">
        <v>0.92095</v>
      </c>
      <c r="H403" s="10" t="n">
        <v>0.03067237228556813</v>
      </c>
      <c r="I403" s="10" t="n">
        <v>0.1589897307706235</v>
      </c>
      <c r="J403" s="10" t="n">
        <v>0.1092487923176279</v>
      </c>
      <c r="K403" s="9" t="n">
        <v>30224266.55390672</v>
      </c>
      <c r="L403" s="18" t="n">
        <v>32818574.89973041</v>
      </c>
      <c r="M403" s="18" t="n">
        <v>35147299.46607786</v>
      </c>
      <c r="N403" s="23">
        <f>IF(L403=0,"",M403/L403)</f>
        <v/>
      </c>
      <c r="O403" s="9" t="n">
        <v>35956664.51185158</v>
      </c>
      <c r="P403" s="22">
        <f>M403*G403*(1+H403+I403)</f>
        <v/>
      </c>
      <c r="Q403" s="9" t="n">
        <v>32654699.8921512</v>
      </c>
      <c r="R403" s="22">
        <f>P403-M403*G403*J403</f>
        <v/>
      </c>
      <c r="S403" s="22">
        <f>IF(A403=A402,O403-O402,"")</f>
        <v/>
      </c>
      <c r="T403" s="22">
        <f>IF(A403=A402,P403-P402,"")</f>
        <v/>
      </c>
      <c r="U403" s="22">
        <f>IF(A403=A402,Q403-Q402,"")</f>
        <v/>
      </c>
      <c r="V403" s="22">
        <f>IF(A403=A402,R403-R402,"")</f>
        <v/>
      </c>
      <c r="W403" s="22">
        <f>IF(S403="","",D403-S403)</f>
        <v/>
      </c>
      <c r="X403" s="22">
        <f>IF(T403="","",D403-T403)</f>
        <v/>
      </c>
      <c r="Y403" s="22">
        <f>IF(U403="","",F403-U403)</f>
        <v/>
      </c>
      <c r="Z403" s="22">
        <f>IF(V403="","",F403-V403)</f>
        <v/>
      </c>
      <c r="AA403" s="9" t="n">
        <v>34574530.5716701</v>
      </c>
      <c r="AB403" s="9" t="n">
        <v>30210414.57187076</v>
      </c>
      <c r="AC403" s="9" t="n">
        <v>4589720.006157069</v>
      </c>
      <c r="AD403" s="9" t="n">
        <v>4553387.457525865</v>
      </c>
      <c r="AE403" s="9" t="n">
        <v>4715372.774456883</v>
      </c>
      <c r="AF403" s="9" t="n">
        <v>35084200.43779696</v>
      </c>
      <c r="AG403" s="9" t="n">
        <v>7451418.366532715</v>
      </c>
      <c r="AH403" s="9" t="n">
        <v>6890744.719433261</v>
      </c>
      <c r="AI403" s="9" t="n">
        <v>3385816.215422131</v>
      </c>
      <c r="AJ403" s="9" t="n">
        <v>3066330.334520915</v>
      </c>
      <c r="AK403" s="9" t="n">
        <v>3038110.739542485</v>
      </c>
      <c r="AL403" s="9" t="n">
        <v>7334859.806173244</v>
      </c>
      <c r="AM403" s="9" t="n">
        <v>6677599.054096428</v>
      </c>
      <c r="AN403" s="9" t="n">
        <v>6176059.91745288</v>
      </c>
      <c r="AO403" s="9" t="n">
        <v>3038193.487626184</v>
      </c>
      <c r="AP403" s="9" t="n">
        <v>2748560.869065331</v>
      </c>
      <c r="AQ403" s="9" t="n">
        <v>2722719.08136448</v>
      </c>
      <c r="AR403" s="9" t="n">
        <v>6571111.800571096</v>
      </c>
    </row>
    <row r="404">
      <c r="A404" s="4" t="inlineStr">
        <is>
          <t>MyT</t>
        </is>
      </c>
      <c r="B404" s="5" t="n">
        <v>202406</v>
      </c>
      <c r="C404" s="5" t="n">
        <v>2024</v>
      </c>
      <c r="D404" s="6" t="n">
        <v>2586103.902563299</v>
      </c>
      <c r="E404" s="11" t="n">
        <v>0.1016138740725311</v>
      </c>
      <c r="F404" s="22">
        <f>D404*(1-E404)</f>
        <v/>
      </c>
      <c r="G404" s="11" t="n">
        <v>0.89708</v>
      </c>
      <c r="H404" s="11" t="n">
        <v>0.03148845236635509</v>
      </c>
      <c r="I404" s="11" t="n">
        <v>0.11494030483248</v>
      </c>
      <c r="J404" s="11" t="n">
        <v>0.1066675202641185</v>
      </c>
      <c r="K404" s="6" t="n">
        <v>27771079.16406908</v>
      </c>
      <c r="L404" s="18" t="n">
        <v>30957193.52127913</v>
      </c>
      <c r="M404" s="18" t="n">
        <v>32654536.34420259</v>
      </c>
      <c r="N404" s="23">
        <f>IF(L404=0,"",M404/L404)</f>
        <v/>
      </c>
      <c r="O404" s="6" t="n">
        <v>31837563.77213418</v>
      </c>
      <c r="P404" s="22">
        <f>M404*G404*(1+H404+I404)</f>
        <v/>
      </c>
      <c r="Q404" s="6" t="n">
        <v>28875291.6226444</v>
      </c>
      <c r="R404" s="22">
        <f>P404-M404*G404*J404</f>
        <v/>
      </c>
      <c r="S404" s="22">
        <f>IF(A404=A403,O404-O403,"")</f>
        <v/>
      </c>
      <c r="T404" s="22">
        <f>IF(A404=A403,P404-P403,"")</f>
        <v/>
      </c>
      <c r="U404" s="22">
        <f>IF(A404=A403,Q404-Q403,"")</f>
        <v/>
      </c>
      <c r="V404" s="22">
        <f>IF(A404=A403,R404-R403,"")</f>
        <v/>
      </c>
      <c r="W404" s="22">
        <f>IF(S404="","",D404-S404)</f>
        <v/>
      </c>
      <c r="X404" s="22">
        <f>IF(T404="","",D404-T404)</f>
        <v/>
      </c>
      <c r="Y404" s="22">
        <f>IF(U404="","",F404-U404)</f>
        <v/>
      </c>
      <c r="Z404" s="22">
        <f>IF(V404="","",F404-V404)</f>
        <v/>
      </c>
      <c r="AA404" s="6" t="n">
        <v>32122189.06207228</v>
      </c>
      <c r="AB404" s="6" t="n">
        <v>27970698.56687731</v>
      </c>
      <c r="AC404" s="6" t="n">
        <v>3952094.582444679</v>
      </c>
      <c r="AD404" s="6" t="n">
        <v>4057035.991820085</v>
      </c>
      <c r="AE404" s="6" t="n">
        <v>4234640.448758042</v>
      </c>
      <c r="AF404" s="6" t="n">
        <v>32678393.59765977</v>
      </c>
      <c r="AG404" s="6" t="n">
        <v>7430937.546093754</v>
      </c>
      <c r="AH404" s="6" t="n">
        <v>6919079.635824664</v>
      </c>
      <c r="AI404" s="6" t="n">
        <v>3550204.314902443</v>
      </c>
      <c r="AJ404" s="6" t="n">
        <v>3402471.907246745</v>
      </c>
      <c r="AK404" s="6" t="n">
        <v>3397290.92157559</v>
      </c>
      <c r="AL404" s="6" t="n">
        <v>7417319.642768855</v>
      </c>
      <c r="AM404" s="6" t="n">
        <v>6763267.24848214</v>
      </c>
      <c r="AN404" s="6" t="n">
        <v>6293241.508590171</v>
      </c>
      <c r="AO404" s="6" t="n">
        <v>3203809.430466924</v>
      </c>
      <c r="AP404" s="6" t="n">
        <v>3069774.307636378</v>
      </c>
      <c r="AQ404" s="6" t="n">
        <v>3065290.391869535</v>
      </c>
      <c r="AR404" s="6" t="n">
        <v>6751592.918568777</v>
      </c>
    </row>
    <row r="405">
      <c r="A405" t="inlineStr">
        <is>
          <t>MyT</t>
        </is>
      </c>
      <c r="B405" s="8" t="n">
        <v>202407</v>
      </c>
      <c r="C405" s="8" t="n">
        <v>2024</v>
      </c>
      <c r="D405" s="9" t="n">
        <v>7480871.864433856</v>
      </c>
      <c r="E405" s="10" t="n">
        <v>0.1016138740725311</v>
      </c>
      <c r="F405" s="22">
        <f>D405*(1-E405)</f>
        <v/>
      </c>
      <c r="G405" s="10" t="n">
        <v>0.89377</v>
      </c>
      <c r="H405" s="10" t="n">
        <v>0.03160499802050819</v>
      </c>
      <c r="I405" s="10" t="n">
        <v>0.1078620732709375</v>
      </c>
      <c r="J405" s="10" t="n">
        <v>0.1217830125899727</v>
      </c>
      <c r="K405" s="9" t="n">
        <v>29823269.92915414</v>
      </c>
      <c r="L405" s="18" t="n">
        <v>33367946.93170966</v>
      </c>
      <c r="M405" s="18" t="n">
        <v>35626197.40069213</v>
      </c>
      <c r="N405" s="23">
        <f>IF(L405=0,"",M405/L405)</f>
        <v/>
      </c>
      <c r="O405" s="9" t="n">
        <v>33982634.04250751</v>
      </c>
      <c r="P405" s="22">
        <f>M405*G405*(1+H405+I405)</f>
        <v/>
      </c>
      <c r="Q405" s="9" t="n">
        <v>30350666.38525118</v>
      </c>
      <c r="R405" s="22">
        <f>P405-M405*G405*J405</f>
        <v/>
      </c>
      <c r="S405" s="22">
        <f>IF(A405=A404,O405-O404,"")</f>
        <v/>
      </c>
      <c r="T405" s="22">
        <f>IF(A405=A404,P405-P404,"")</f>
        <v/>
      </c>
      <c r="U405" s="22">
        <f>IF(A405=A404,Q405-Q404,"")</f>
        <v/>
      </c>
      <c r="V405" s="22">
        <f>IF(A405=A404,R405-R404,"")</f>
        <v/>
      </c>
      <c r="W405" s="22">
        <f>IF(S405="","",D405-S405)</f>
        <v/>
      </c>
      <c r="X405" s="22">
        <f>IF(T405="","",D405-T405)</f>
        <v/>
      </c>
      <c r="Y405" s="22">
        <f>IF(U405="","",F405-U405)</f>
        <v/>
      </c>
      <c r="Z405" s="22">
        <f>IF(V405="","",F405-V405)</f>
        <v/>
      </c>
      <c r="AA405" s="9" t="n">
        <v>35052837.73009335</v>
      </c>
      <c r="AB405" s="9" t="n">
        <v>30505579.00866235</v>
      </c>
      <c r="AC405" s="9" t="n">
        <v>5829526.309849161</v>
      </c>
      <c r="AD405" s="9" t="n">
        <v>4925008.805600768</v>
      </c>
      <c r="AE405" s="9" t="n">
        <v>5139229.816873652</v>
      </c>
      <c r="AF405" s="9" t="n">
        <v>34996093.55337187</v>
      </c>
      <c r="AG405" s="9" t="n">
        <v>4817998.650831048</v>
      </c>
      <c r="AH405" s="9" t="n">
        <v>5179472.760627449</v>
      </c>
      <c r="AI405" s="9" t="n">
        <v>5608442.498528687</v>
      </c>
      <c r="AJ405" s="9" t="n">
        <v>6637548.323443467</v>
      </c>
      <c r="AK405" s="9" t="n">
        <v>6602036.270627289</v>
      </c>
      <c r="AL405" s="9" t="n">
        <v>5447810.191833817</v>
      </c>
      <c r="AM405" s="9" t="n">
        <v>4799449.809453568</v>
      </c>
      <c r="AN405" s="9" t="n">
        <v>5063226.197692613</v>
      </c>
      <c r="AO405" s="9" t="n">
        <v>5104629.605615107</v>
      </c>
      <c r="AP405" s="9" t="n">
        <v>6025240.545494447</v>
      </c>
      <c r="AQ405" s="9" t="n">
        <v>5996050.747551143</v>
      </c>
      <c r="AR405" s="9" t="n">
        <v>5369862.151462785</v>
      </c>
    </row>
    <row r="406">
      <c r="A406" s="4" t="inlineStr">
        <is>
          <t>MyT</t>
        </is>
      </c>
      <c r="B406" s="5" t="n">
        <v>202408</v>
      </c>
      <c r="C406" s="5" t="n">
        <v>2024</v>
      </c>
      <c r="D406" s="6" t="n">
        <v>25929154.81467152</v>
      </c>
      <c r="E406" s="11" t="n">
        <v>0.1016138740725311</v>
      </c>
      <c r="F406" s="22">
        <f>D406*(1-E406)</f>
        <v/>
      </c>
      <c r="G406" s="11" t="n">
        <v>0.8900200000000001</v>
      </c>
      <c r="H406" s="11" t="n">
        <v>0.03173826184163667</v>
      </c>
      <c r="I406" s="11" t="n">
        <v>0.1160789819452623</v>
      </c>
      <c r="J406" s="11" t="n">
        <v>0.13813719223117</v>
      </c>
      <c r="K406" s="6" t="n">
        <v>47339857.19825201</v>
      </c>
      <c r="L406" s="18" t="n">
        <v>53189655.51139526</v>
      </c>
      <c r="M406" s="18" t="n">
        <v>55702502.56428403</v>
      </c>
      <c r="N406" s="23">
        <f>IF(L406=0,"",M406/L406)</f>
        <v/>
      </c>
      <c r="O406" s="6" t="n">
        <v>54337504.41056302</v>
      </c>
      <c r="P406" s="22">
        <f>M406*G406*(1+H406+I406)</f>
        <v/>
      </c>
      <c r="Q406" s="6" t="n">
        <v>47798109.45657194</v>
      </c>
      <c r="R406" s="22">
        <f>P406-M406*G406*J406</f>
        <v/>
      </c>
      <c r="S406" s="22">
        <f>IF(A406=A405,O406-O405,"")</f>
        <v/>
      </c>
      <c r="T406" s="22">
        <f>IF(A406=A405,P406-P405,"")</f>
        <v/>
      </c>
      <c r="U406" s="22">
        <f>IF(A406=A405,Q406-Q405,"")</f>
        <v/>
      </c>
      <c r="V406" s="22">
        <f>IF(A406=A405,R406-R405,"")</f>
        <v/>
      </c>
      <c r="W406" s="22">
        <f>IF(S406="","",D406-S406)</f>
        <v/>
      </c>
      <c r="X406" s="22">
        <f>IF(T406="","",D406-T406)</f>
        <v/>
      </c>
      <c r="Y406" s="22">
        <f>IF(U406="","",F406-U406)</f>
        <v/>
      </c>
      <c r="Z406" s="22">
        <f>IF(V406="","",F406-V406)</f>
        <v/>
      </c>
      <c r="AA406" s="6" t="n">
        <v>54892102.05334736</v>
      </c>
      <c r="AB406" s="6" t="n">
        <v>48411135.66547126</v>
      </c>
      <c r="AC406" s="6" t="n">
        <v>21781006.26023497</v>
      </c>
      <c r="AD406" s="6" t="n">
        <v>14162273.17573511</v>
      </c>
      <c r="AE406" s="6" t="n">
        <v>14391003.69210182</v>
      </c>
      <c r="AF406" s="6" t="n">
        <v>54090965.98141568</v>
      </c>
      <c r="AG406" s="6" t="n">
        <v>5551027.579697698</v>
      </c>
      <c r="AH406" s="6" t="n">
        <v>7540829.211386926</v>
      </c>
      <c r="AI406" s="6" t="n">
        <v>9615022.670120087</v>
      </c>
      <c r="AJ406" s="6" t="n">
        <v>16476990.26620177</v>
      </c>
      <c r="AK406" s="6" t="n">
        <v>16461490.95618494</v>
      </c>
      <c r="AL406" s="6" t="n">
        <v>6311662.922375895</v>
      </c>
      <c r="AM406" s="6" t="n">
        <v>5849606.433395293</v>
      </c>
      <c r="AN406" s="6" t="n">
        <v>7537557.472216737</v>
      </c>
      <c r="AO406" s="6" t="n">
        <v>9023603.007552888</v>
      </c>
      <c r="AP406" s="6" t="n">
        <v>15047339.61713476</v>
      </c>
      <c r="AQ406" s="6" t="n">
        <v>15036644.44843583</v>
      </c>
      <c r="AR406" s="6" t="n">
        <v>6517922.587639768</v>
      </c>
    </row>
    <row r="407">
      <c r="A407" t="inlineStr">
        <is>
          <t>MyT</t>
        </is>
      </c>
      <c r="B407" s="8" t="n">
        <v>202409</v>
      </c>
      <c r="C407" s="8" t="n">
        <v>2024</v>
      </c>
      <c r="D407" s="9" t="n">
        <v>279300.5383179701</v>
      </c>
      <c r="E407" s="10" t="n">
        <v>0.1016138740725311</v>
      </c>
      <c r="F407" s="22">
        <f>D407*(1-E407)</f>
        <v/>
      </c>
      <c r="G407" s="10" t="n">
        <v>0.8880200000000001</v>
      </c>
      <c r="H407" s="10" t="n">
        <v>0.03180963273205027</v>
      </c>
      <c r="I407" s="10" t="n">
        <v>0.1084244195338832</v>
      </c>
      <c r="J407" s="10" t="n">
        <v>0.138120471522036</v>
      </c>
      <c r="K407" s="9" t="n">
        <v>41948463.76871944</v>
      </c>
      <c r="L407" s="18" t="n">
        <v>47238197.07745258</v>
      </c>
      <c r="M407" s="18" t="n">
        <v>49024589.06171995</v>
      </c>
      <c r="N407" s="23">
        <f>IF(L407=0,"",M407/L407)</f>
        <v/>
      </c>
      <c r="O407" s="9" t="n">
        <v>47831066.82933765</v>
      </c>
      <c r="P407" s="22">
        <f>M407*G407*(1+H407+I407)</f>
        <v/>
      </c>
      <c r="Q407" s="9" t="n">
        <v>42037125.23397707</v>
      </c>
      <c r="R407" s="22">
        <f>P407-M407*G407*J407</f>
        <v/>
      </c>
      <c r="S407" s="22">
        <f>IF(A407=A406,O407-O406,"")</f>
        <v/>
      </c>
      <c r="T407" s="22">
        <f>IF(A407=A406,P407-P406,"")</f>
        <v/>
      </c>
      <c r="U407" s="22">
        <f>IF(A407=A406,Q407-Q406,"")</f>
        <v/>
      </c>
      <c r="V407" s="22">
        <f>IF(A407=A406,R407-R406,"")</f>
        <v/>
      </c>
      <c r="W407" s="22">
        <f>IF(S407="","",D407-S407)</f>
        <v/>
      </c>
      <c r="X407" s="22">
        <f>IF(T407="","",D407-T407)</f>
        <v/>
      </c>
      <c r="Y407" s="22">
        <f>IF(U407="","",F407-U407)</f>
        <v/>
      </c>
      <c r="Z407" s="22">
        <f>IF(V407="","",F407-V407)</f>
        <v/>
      </c>
      <c r="AA407" s="9" t="n">
        <v>48235720.31406856</v>
      </c>
      <c r="AB407" s="9" t="n">
        <v>42024990.63019609</v>
      </c>
      <c r="AC407" s="9" t="n">
        <v>19264166.08752233</v>
      </c>
      <c r="AD407" s="9" t="n">
        <v>11708221.97156259</v>
      </c>
      <c r="AE407" s="9" t="n">
        <v>11976235.75770455</v>
      </c>
      <c r="AF407" s="9" t="n">
        <v>47438902.64736603</v>
      </c>
      <c r="AG407" s="9" t="n">
        <v>7514881.179512783</v>
      </c>
      <c r="AH407" s="9" t="n">
        <v>7182731.906693651</v>
      </c>
      <c r="AI407" s="9" t="n">
        <v>3024403.759584582</v>
      </c>
      <c r="AJ407" s="9" t="n">
        <v>2892032.178034819</v>
      </c>
      <c r="AK407" s="9" t="n">
        <v>2854321.236806282</v>
      </c>
      <c r="AL407" s="9" t="n">
        <v>7503274.58899971</v>
      </c>
      <c r="AM407" s="9" t="n">
        <v>6654089.909701875</v>
      </c>
      <c r="AN407" s="9" t="n">
        <v>6356972.9361061</v>
      </c>
      <c r="AO407" s="9" t="n">
        <v>2680982.141330483</v>
      </c>
      <c r="AP407" s="9" t="n">
        <v>2558529.847884861</v>
      </c>
      <c r="AQ407" s="9" t="n">
        <v>2525570.558010261</v>
      </c>
      <c r="AR407" s="9" t="n">
        <v>6643246.21664904</v>
      </c>
    </row>
    <row r="408">
      <c r="A408" s="4" t="inlineStr">
        <is>
          <t>MyT</t>
        </is>
      </c>
      <c r="B408" s="5" t="n">
        <v>202410</v>
      </c>
      <c r="C408" s="5" t="n">
        <v>2024</v>
      </c>
      <c r="D408" s="6" t="n">
        <v>3228742.437763324</v>
      </c>
      <c r="E408" s="11" t="n">
        <v>0.1016138740725311</v>
      </c>
      <c r="F408" s="22">
        <f>D408*(1-E408)</f>
        <v/>
      </c>
      <c r="G408" s="11" t="n">
        <v>0.94063</v>
      </c>
      <c r="H408" s="11" t="n">
        <v>0.0300306443455462</v>
      </c>
      <c r="I408" s="11" t="n">
        <v>0.1354824490805189</v>
      </c>
      <c r="J408" s="11" t="n">
        <v>0.1399649895601822</v>
      </c>
      <c r="K408" s="6" t="n">
        <v>40457645.70758936</v>
      </c>
      <c r="L408" s="18" t="n">
        <v>43011221.95506135</v>
      </c>
      <c r="M408" s="18" t="n">
        <v>45406929.64863701</v>
      </c>
      <c r="N408" s="23">
        <f>IF(L408=0,"",M408/L408)</f>
        <v/>
      </c>
      <c r="O408" s="6" t="n">
        <v>47153915.80138824</v>
      </c>
      <c r="P408" s="22">
        <f>M408*G408*(1+H408+I408)</f>
        <v/>
      </c>
      <c r="Q408" s="6" t="n">
        <v>41491261.84229594</v>
      </c>
      <c r="R408" s="22">
        <f>P408-M408*G408*J408</f>
        <v/>
      </c>
      <c r="S408" s="22">
        <f>IF(A408=A407,O408-O407,"")</f>
        <v/>
      </c>
      <c r="T408" s="22">
        <f>IF(A408=A407,P408-P407,"")</f>
        <v/>
      </c>
      <c r="U408" s="22">
        <f>IF(A408=A407,Q408-Q407,"")</f>
        <v/>
      </c>
      <c r="V408" s="22">
        <f>IF(A408=A407,R408-R407,"")</f>
        <v/>
      </c>
      <c r="W408" s="22">
        <f>IF(S408="","",D408-S408)</f>
        <v/>
      </c>
      <c r="X408" s="22">
        <f>IF(T408="","",D408-T408)</f>
        <v/>
      </c>
      <c r="Y408" s="22">
        <f>IF(U408="","",F408-U408)</f>
        <v/>
      </c>
      <c r="Z408" s="22">
        <f>IF(V408="","",F408-V408)</f>
        <v/>
      </c>
      <c r="AA408" s="6" t="n">
        <v>44635266.3569089</v>
      </c>
      <c r="AB408" s="6" t="n">
        <v>38516124.69021089</v>
      </c>
      <c r="AC408" s="6" t="n">
        <v>19407620.87951929</v>
      </c>
      <c r="AD408" s="6" t="n">
        <v>10860947.03118011</v>
      </c>
      <c r="AE408" s="6" t="n">
        <v>11139006.42541575</v>
      </c>
      <c r="AF408" s="6" t="n">
        <v>43859349.78519071</v>
      </c>
      <c r="AG408" s="6" t="n">
        <v>3135469.454310326</v>
      </c>
      <c r="AH408" s="6" t="n">
        <v>3555307.589940688</v>
      </c>
      <c r="AI408" s="6" t="n">
        <v>1457789.629013257</v>
      </c>
      <c r="AJ408" s="6" t="n">
        <v>3176873.808148105</v>
      </c>
      <c r="AK408" s="6" t="n">
        <v>3143410.21524136</v>
      </c>
      <c r="AL408" s="6" t="n">
        <v>3179301.416563815</v>
      </c>
      <c r="AM408" s="6" t="n">
        <v>2767560.834912704</v>
      </c>
      <c r="AN408" s="6" t="n">
        <v>3143550.964506717</v>
      </c>
      <c r="AO408" s="6" t="n">
        <v>1321998.091977244</v>
      </c>
      <c r="AP408" s="6" t="n">
        <v>2842632.447513042</v>
      </c>
      <c r="AQ408" s="6" t="n">
        <v>2812903.945168139</v>
      </c>
      <c r="AR408" s="6" t="n">
        <v>2806971.960682498</v>
      </c>
    </row>
    <row r="409">
      <c r="A409" t="inlineStr">
        <is>
          <t>MyT</t>
        </is>
      </c>
      <c r="B409" s="8" t="n">
        <v>202411</v>
      </c>
      <c r="C409" s="8" t="n">
        <v>2024</v>
      </c>
      <c r="D409" s="9" t="n">
        <v>12709534.11689932</v>
      </c>
      <c r="E409" s="10" t="n">
        <v>0.1016138740725311</v>
      </c>
      <c r="F409" s="22">
        <f>D409*(1-E409)</f>
        <v/>
      </c>
      <c r="G409" s="10" t="n">
        <v>0.9406468542441103</v>
      </c>
      <c r="H409" s="10" t="n">
        <v>0.03003127000464244</v>
      </c>
      <c r="I409" s="10" t="n">
        <v>0.1347821675289033</v>
      </c>
      <c r="J409" s="10" t="n">
        <v>0.1142203204881959</v>
      </c>
      <c r="K409" s="9" t="n">
        <v>45569980.08015285</v>
      </c>
      <c r="L409" s="18" t="n">
        <v>48445364.88326663</v>
      </c>
      <c r="M409" s="18" t="n">
        <v>51058820.88906964</v>
      </c>
      <c r="N409" s="23">
        <f>IF(L409=0,"",M409/L409)</f>
        <v/>
      </c>
      <c r="O409" s="9" t="n">
        <v>53080525.14549804</v>
      </c>
      <c r="P409" s="22">
        <f>M409*G409*(1+H409+I409)</f>
        <v/>
      </c>
      <c r="Q409" s="9" t="n">
        <v>47875507.41610228</v>
      </c>
      <c r="R409" s="22">
        <f>P409-M409*G409*J409</f>
        <v/>
      </c>
      <c r="S409" s="22">
        <f>IF(A409=A408,O409-O408,"")</f>
        <v/>
      </c>
      <c r="T409" s="22">
        <f>IF(A409=A408,P409-P408,"")</f>
        <v/>
      </c>
      <c r="U409" s="22">
        <f>IF(A409=A408,Q409-Q408,"")</f>
        <v/>
      </c>
      <c r="V409" s="22">
        <f>IF(A409=A408,R409-R408,"")</f>
        <v/>
      </c>
      <c r="W409" s="22">
        <f>IF(S409="","",D409-S409)</f>
        <v/>
      </c>
      <c r="X409" s="22">
        <f>IF(T409="","",D409-T409)</f>
        <v/>
      </c>
      <c r="Y409" s="22">
        <f>IF(U409="","",F409-U409)</f>
        <v/>
      </c>
      <c r="Z409" s="22">
        <f>IF(V409="","",F409-V409)</f>
        <v/>
      </c>
      <c r="AA409" s="9" t="n">
        <v>50196700.81955921</v>
      </c>
      <c r="AB409" s="9" t="n">
        <v>43450130.10442799</v>
      </c>
      <c r="AC409" s="9" t="n">
        <v>24648697.30079729</v>
      </c>
      <c r="AD409" s="9" t="n">
        <v>9996755.558047498</v>
      </c>
      <c r="AE409" s="9" t="n">
        <v>10180951.415477</v>
      </c>
      <c r="AF409" s="9" t="n">
        <v>49210036.11883485</v>
      </c>
      <c r="AG409" s="9" t="n">
        <v>6644491.155149607</v>
      </c>
      <c r="AH409" s="9" t="n">
        <v>7328044.438352292</v>
      </c>
      <c r="AI409" s="9" t="n">
        <v>6979392.963805115</v>
      </c>
      <c r="AJ409" s="9" t="n">
        <v>13663344.33930657</v>
      </c>
      <c r="AK409" s="9" t="n">
        <v>13766366.09740711</v>
      </c>
      <c r="AL409" s="9" t="n">
        <v>6874907.852528444</v>
      </c>
      <c r="AM409" s="9" t="n">
        <v>4869741.183335515</v>
      </c>
      <c r="AN409" s="9" t="n">
        <v>5634053.499321098</v>
      </c>
      <c r="AO409" s="9" t="n">
        <v>5781092.754729977</v>
      </c>
      <c r="AP409" s="9" t="n">
        <v>12016039.71203583</v>
      </c>
      <c r="AQ409" s="9" t="n">
        <v>12102243.67041647</v>
      </c>
      <c r="AR409" s="9" t="n">
        <v>5096303.157543989</v>
      </c>
    </row>
    <row r="410">
      <c r="A410" s="4" t="inlineStr">
        <is>
          <t>MyT</t>
        </is>
      </c>
      <c r="B410" s="5" t="n">
        <v>202412</v>
      </c>
      <c r="C410" s="5" t="n">
        <v>2024</v>
      </c>
      <c r="D410" s="6" t="n">
        <v>8900101.992261043</v>
      </c>
      <c r="E410" s="11" t="n">
        <v>0.1016138740725311</v>
      </c>
      <c r="F410" s="22">
        <f>D410*(1-E410)</f>
        <v/>
      </c>
      <c r="G410" s="11" t="n">
        <v>1.018414</v>
      </c>
      <c r="H410" s="11" t="n">
        <v>0.02986661043594324</v>
      </c>
      <c r="I410" s="11" t="n">
        <v>0.1493176084477216</v>
      </c>
      <c r="J410" s="11" t="n">
        <v>0.1182323734335685</v>
      </c>
      <c r="K410" s="6" t="n">
        <v>49937132.02955528</v>
      </c>
      <c r="L410" s="18" t="n">
        <v>49034215.97656286</v>
      </c>
      <c r="M410" s="18" t="n">
        <v>52404948.36687809</v>
      </c>
      <c r="N410" s="23">
        <f>IF(L410=0,"",M410/L410)</f>
        <v/>
      </c>
      <c r="O410" s="6" t="n">
        <v>58885078.02556159</v>
      </c>
      <c r="P410" s="22">
        <f>M410*G410*(1+H410+I410)</f>
        <v/>
      </c>
      <c r="Q410" s="6" t="n">
        <v>52980892.3832418</v>
      </c>
      <c r="R410" s="22">
        <f>P410-M410*G410*J410</f>
        <v/>
      </c>
      <c r="S410" s="22">
        <f>IF(A410=A409,O410-O409,"")</f>
        <v/>
      </c>
      <c r="T410" s="22">
        <f>IF(A410=A409,P410-P409,"")</f>
        <v/>
      </c>
      <c r="U410" s="22">
        <f>IF(A410=A409,Q410-Q409,"")</f>
        <v/>
      </c>
      <c r="V410" s="22">
        <f>IF(A410=A409,R410-R409,"")</f>
        <v/>
      </c>
      <c r="W410" s="22">
        <f>IF(S410="","",D410-S410)</f>
        <v/>
      </c>
      <c r="X410" s="22">
        <f>IF(T410="","",D410-T410)</f>
        <v/>
      </c>
      <c r="Y410" s="22">
        <f>IF(U410="","",F410-U410)</f>
        <v/>
      </c>
      <c r="Z410" s="22">
        <f>IF(V410="","",F410-V410)</f>
        <v/>
      </c>
      <c r="AA410" s="6" t="n">
        <v>51518400.41086242</v>
      </c>
      <c r="AB410" s="6" t="n">
        <v>44342370.36241947</v>
      </c>
      <c r="AC410" s="6" t="n">
        <v>26813159.90474739</v>
      </c>
      <c r="AD410" s="6" t="n">
        <v>8669252.384324348</v>
      </c>
      <c r="AE410" s="6" t="n">
        <v>8744933.058874976</v>
      </c>
      <c r="AF410" s="6" t="n">
        <v>50476593.5677167</v>
      </c>
      <c r="AG410" s="6" t="n">
        <v>2031198.11999443</v>
      </c>
      <c r="AH410" s="6" t="n">
        <v>3256806.468624046</v>
      </c>
      <c r="AI410" s="6" t="n">
        <v>3707277.197094841</v>
      </c>
      <c r="AJ410" s="6" t="n">
        <v>9442442.689038796</v>
      </c>
      <c r="AK410" s="6" t="n">
        <v>9553377.306065189</v>
      </c>
      <c r="AL410" s="6" t="n">
        <v>2201234.679097069</v>
      </c>
      <c r="AM410" s="6" t="n">
        <v>1936946.34797413</v>
      </c>
      <c r="AN410" s="6" t="n">
        <v>3023350.679284447</v>
      </c>
      <c r="AO410" s="6" t="n">
        <v>3383182.32756389</v>
      </c>
      <c r="AP410" s="6" t="n">
        <v>8507867.963175088</v>
      </c>
      <c r="AQ410" s="6" t="n">
        <v>8608125.068329357</v>
      </c>
      <c r="AR410" s="6" t="n">
        <v>2087547.68892327</v>
      </c>
    </row>
    <row r="411">
      <c r="A411" t="inlineStr">
        <is>
          <t>MyT</t>
        </is>
      </c>
      <c r="B411" s="8" t="n">
        <v>202501</v>
      </c>
      <c r="C411" s="8" t="n">
        <v>2025</v>
      </c>
      <c r="D411" s="9" t="n">
        <v>8628325.278652344</v>
      </c>
      <c r="E411" s="10" t="n">
        <v>0.1130230451979444</v>
      </c>
      <c r="F411" s="22">
        <f>D411*(1-E411)</f>
        <v/>
      </c>
      <c r="G411" s="10" t="n">
        <v>1.018414</v>
      </c>
      <c r="H411" s="10" t="n">
        <v>0.02787681758421361</v>
      </c>
      <c r="I411" s="10" t="n">
        <v>0.1660851021458228</v>
      </c>
      <c r="J411" s="10" t="n">
        <v>0.1205150479075771</v>
      </c>
      <c r="K411" s="9" t="n">
        <v>48155911.25870711</v>
      </c>
      <c r="L411" s="18" t="n">
        <v>47285201.55723225</v>
      </c>
      <c r="M411" s="18" t="n">
        <v>51619688.28756582</v>
      </c>
      <c r="N411" s="23">
        <f>IF(L411=0,"",M411/L411)</f>
        <v/>
      </c>
      <c r="O411" s="9" t="n">
        <v>57496324.25279522</v>
      </c>
      <c r="P411" s="22">
        <f>M411*G411*(1+H411+I411)</f>
        <v/>
      </c>
      <c r="Q411" s="9" t="n">
        <v>51692812.3004191</v>
      </c>
      <c r="R411" s="22">
        <f>P411-M411*G411*J411</f>
        <v/>
      </c>
      <c r="S411" s="22">
        <f>IF(A411=A410,O411-O410,"")</f>
        <v/>
      </c>
      <c r="T411" s="22">
        <f>IF(A411=A410,P411-P410,"")</f>
        <v/>
      </c>
      <c r="U411" s="22">
        <f>IF(A411=A410,Q411-Q410,"")</f>
        <v/>
      </c>
      <c r="V411" s="22">
        <f>IF(A411=A410,R411-R410,"")</f>
        <v/>
      </c>
      <c r="W411" s="22">
        <f>IF(S411="","",D411-S411)</f>
        <v/>
      </c>
      <c r="X411" s="22">
        <f>IF(T411="","",D411-T411)</f>
        <v/>
      </c>
      <c r="Y411" s="22">
        <f>IF(U411="","",F411-U411)</f>
        <v/>
      </c>
      <c r="Z411" s="22">
        <f>IF(V411="","",F411-V411)</f>
        <v/>
      </c>
      <c r="AA411" s="9" t="n">
        <v>50686954.30801422</v>
      </c>
      <c r="AB411" s="9" t="n">
        <v>43201857.19384107</v>
      </c>
      <c r="AC411" s="9" t="n">
        <v>25085280.8220397</v>
      </c>
      <c r="AD411" s="9" t="n">
        <v>8684904.55485093</v>
      </c>
      <c r="AE411" s="9" t="n">
        <v>8849704.508269809</v>
      </c>
      <c r="AF411" s="9" t="n">
        <v>51017780.53703646</v>
      </c>
      <c r="AG411" s="9" t="n">
        <v>8863977.59704024</v>
      </c>
      <c r="AH411" s="9" t="n">
        <v>9347784.875715714</v>
      </c>
      <c r="AI411" s="9" t="n">
        <v>10325802.42793803</v>
      </c>
      <c r="AJ411" s="9" t="n">
        <v>8478822.394854095</v>
      </c>
      <c r="AK411" s="9" t="n">
        <v>8369319.047101103</v>
      </c>
      <c r="AL411" s="9" t="n">
        <v>7210606.799923498</v>
      </c>
      <c r="AM411" s="9" t="n">
        <v>7906496.335962267</v>
      </c>
      <c r="AN411" s="9" t="n">
        <v>8335688.339979068</v>
      </c>
      <c r="AO411" s="9" t="n">
        <v>9200865.710070007</v>
      </c>
      <c r="AP411" s="9" t="n">
        <v>7525697.330984368</v>
      </c>
      <c r="AQ411" s="9" t="n">
        <v>7427307.903139719</v>
      </c>
      <c r="AR411" s="9" t="n">
        <v>6419172.680993342</v>
      </c>
    </row>
    <row r="412">
      <c r="A412" s="4" t="inlineStr">
        <is>
          <t>MyT</t>
        </is>
      </c>
      <c r="B412" s="5" t="n">
        <v>202502</v>
      </c>
      <c r="C412" s="5" t="n">
        <v>2025</v>
      </c>
      <c r="D412" s="6" t="n">
        <v>9616256.196857257</v>
      </c>
      <c r="E412" s="11" t="n">
        <v>0.1130230451979444</v>
      </c>
      <c r="F412" s="22">
        <f>D412*(1-E412)</f>
        <v/>
      </c>
      <c r="G412" s="11" t="n">
        <v>0.98476</v>
      </c>
      <c r="H412" s="11" t="n">
        <v>0.02869553205189973</v>
      </c>
      <c r="I412" s="11" t="n">
        <v>0.1694325149694515</v>
      </c>
      <c r="J412" s="11" t="n">
        <v>0.1093863260623259</v>
      </c>
      <c r="K412" s="6" t="n">
        <v>48051179.27029575</v>
      </c>
      <c r="L412" s="18" t="n">
        <v>48794812.20835102</v>
      </c>
      <c r="M412" s="18" t="n">
        <v>52769893.84165116</v>
      </c>
      <c r="N412" s="23">
        <f>IF(L412=0,"",M412/L412)</f>
        <v/>
      </c>
      <c r="O412" s="6" t="n">
        <v>57571465.57619228</v>
      </c>
      <c r="P412" s="22">
        <f>M412*G412*(1+H412+I412)</f>
        <v/>
      </c>
      <c r="Q412" s="6" t="n">
        <v>52315323.61285243</v>
      </c>
      <c r="R412" s="22">
        <f>P412-M412*G412*J412</f>
        <v/>
      </c>
      <c r="S412" s="22">
        <f>IF(A412=A411,O412-O411,"")</f>
        <v/>
      </c>
      <c r="T412" s="22">
        <f>IF(A412=A411,P412-P411,"")</f>
        <v/>
      </c>
      <c r="U412" s="22">
        <f>IF(A412=A411,Q412-Q411,"")</f>
        <v/>
      </c>
      <c r="V412" s="22">
        <f>IF(A412=A411,R412-R411,"")</f>
        <v/>
      </c>
      <c r="W412" s="22">
        <f>IF(S412="","",D412-S412)</f>
        <v/>
      </c>
      <c r="X412" s="22">
        <f>IF(T412="","",D412-T412)</f>
        <v/>
      </c>
      <c r="Y412" s="22">
        <f>IF(U412="","",F412-U412)</f>
        <v/>
      </c>
      <c r="Z412" s="22">
        <f>IF(V412="","",F412-V412)</f>
        <v/>
      </c>
      <c r="AA412" s="6" t="n">
        <v>51775141.39397832</v>
      </c>
      <c r="AB412" s="6" t="n">
        <v>44008686.8035443</v>
      </c>
      <c r="AC412" s="6" t="n">
        <v>22109347.33172965</v>
      </c>
      <c r="AD412" s="6" t="n">
        <v>7497189.433996005</v>
      </c>
      <c r="AE412" s="6" t="n">
        <v>7617848.241426929</v>
      </c>
      <c r="AF412" s="6" t="n">
        <v>52024796.90472313</v>
      </c>
      <c r="AG412" s="6" t="n">
        <v>10161070.99280025</v>
      </c>
      <c r="AH412" s="6" t="n">
        <v>10222981.32613805</v>
      </c>
      <c r="AI412" s="6" t="n">
        <v>14032517.42176063</v>
      </c>
      <c r="AJ412" s="6" t="n">
        <v>11330946.25949142</v>
      </c>
      <c r="AK412" s="6" t="n">
        <v>11388972.82128482</v>
      </c>
      <c r="AL412" s="6" t="n">
        <v>10268777.63848501</v>
      </c>
      <c r="AM412" s="6" t="n">
        <v>8430369.91113496</v>
      </c>
      <c r="AN412" s="6" t="n">
        <v>8574360.85590178</v>
      </c>
      <c r="AO412" s="6" t="n">
        <v>12248439.63014649</v>
      </c>
      <c r="AP412" s="6" t="n">
        <v>9985744.620142885</v>
      </c>
      <c r="AQ412" s="6" t="n">
        <v>10036541.86919131</v>
      </c>
      <c r="AR412" s="6" t="n">
        <v>8524365.571771109</v>
      </c>
    </row>
    <row r="413">
      <c r="A413" t="inlineStr">
        <is>
          <t>MyT</t>
        </is>
      </c>
      <c r="B413" s="8" t="n">
        <v>202503</v>
      </c>
      <c r="C413" s="8" t="n">
        <v>2025</v>
      </c>
      <c r="D413" s="9" t="n">
        <v>8695881.566953037</v>
      </c>
      <c r="E413" s="10" t="n">
        <v>0.1130230451979444</v>
      </c>
      <c r="F413" s="22">
        <f>D413*(1-E413)</f>
        <v/>
      </c>
      <c r="G413" s="10" t="n">
        <v>0.9867899999999999</v>
      </c>
      <c r="H413" s="10" t="n">
        <v>0.02863656414454595</v>
      </c>
      <c r="I413" s="10" t="n">
        <v>0.1559789431205926</v>
      </c>
      <c r="J413" s="10" t="n">
        <v>0.1328460623488626</v>
      </c>
      <c r="K413" s="9" t="n">
        <v>56010634.15475748</v>
      </c>
      <c r="L413" s="18" t="n">
        <v>56760439.56136309</v>
      </c>
      <c r="M413" s="18" t="n">
        <v>52802411.27662849</v>
      </c>
      <c r="N413" s="23">
        <f>IF(L413=0,"",M413/L413)</f>
        <v/>
      </c>
      <c r="O413" s="9" t="n">
        <v>66351065.79148013</v>
      </c>
      <c r="P413" s="22">
        <f>M413*G413*(1+H413+I413)</f>
        <v/>
      </c>
      <c r="Q413" s="9" t="n">
        <v>58910273.59435788</v>
      </c>
      <c r="R413" s="22">
        <f>P413-M413*G413*J413</f>
        <v/>
      </c>
      <c r="S413" s="22">
        <f>IF(A413=A412,O413-O412,"")</f>
        <v/>
      </c>
      <c r="T413" s="22">
        <f>IF(A413=A412,P413-P412,"")</f>
        <v/>
      </c>
      <c r="U413" s="22">
        <f>IF(A413=A412,Q413-Q412,"")</f>
        <v/>
      </c>
      <c r="V413" s="22">
        <f>IF(A413=A412,R413-R412,"")</f>
        <v/>
      </c>
      <c r="W413" s="22">
        <f>IF(S413="","",D413-S413)</f>
        <v/>
      </c>
      <c r="X413" s="22">
        <f>IF(T413="","",D413-T413)</f>
        <v/>
      </c>
      <c r="Y413" s="22">
        <f>IF(U413="","",F413-U413)</f>
        <v/>
      </c>
      <c r="Z413" s="22">
        <f>IF(V413="","",F413-V413)</f>
        <v/>
      </c>
      <c r="AA413" s="9" t="n">
        <v>51810650.48895977</v>
      </c>
      <c r="AB413" s="9" t="n">
        <v>44220374.8517172</v>
      </c>
      <c r="AC413" s="9" t="n">
        <v>18749814.56856611</v>
      </c>
      <c r="AD413" s="9" t="n">
        <v>6104211.650909496</v>
      </c>
      <c r="AE413" s="9" t="n">
        <v>6134651.051763277</v>
      </c>
      <c r="AF413" s="9" t="n">
        <v>52030405.21187384</v>
      </c>
      <c r="AG413" s="9" t="n">
        <v>9218816.880590748</v>
      </c>
      <c r="AH413" s="9" t="n">
        <v>8928200.905783143</v>
      </c>
      <c r="AI413" s="9" t="n">
        <v>12864096.1657618</v>
      </c>
      <c r="AJ413" s="9" t="n">
        <v>10405959.41338591</v>
      </c>
      <c r="AK413" s="9" t="n">
        <v>10512738.30156674</v>
      </c>
      <c r="AL413" s="9" t="n">
        <v>9256491.611183655</v>
      </c>
      <c r="AM413" s="9" t="n">
        <v>9450719.569278508</v>
      </c>
      <c r="AN413" s="9" t="n">
        <v>9001682.39656689</v>
      </c>
      <c r="AO413" s="9" t="n">
        <v>11957593.26029069</v>
      </c>
      <c r="AP413" s="9" t="n">
        <v>9415740.783757553</v>
      </c>
      <c r="AQ413" s="9" t="n">
        <v>9513512.72880907</v>
      </c>
      <c r="AR413" s="9" t="n">
        <v>9490309.491223328</v>
      </c>
    </row>
    <row r="414">
      <c r="A414" s="4" t="inlineStr">
        <is>
          <t>MyT</t>
        </is>
      </c>
      <c r="B414" s="5" t="n">
        <v>202504</v>
      </c>
      <c r="C414" s="5" t="n">
        <v>2025</v>
      </c>
      <c r="D414" s="6" t="n">
        <v>8178000.357369456</v>
      </c>
      <c r="E414" s="11" t="n">
        <v>0.1130230451979444</v>
      </c>
      <c r="F414" s="22">
        <f>D414*(1-E414)</f>
        <v/>
      </c>
      <c r="G414" s="11" t="n">
        <v>0.97864</v>
      </c>
      <c r="H414" s="11" t="n">
        <v>0.02887507425479119</v>
      </c>
      <c r="I414" s="11" t="n">
        <v>0.190535208838714</v>
      </c>
      <c r="J414" s="11" t="n">
        <v>0.1212516292769102</v>
      </c>
      <c r="K414" s="6" t="n">
        <v>55425028.09479135</v>
      </c>
      <c r="L414" s="18" t="n">
        <v>56634746.27523027</v>
      </c>
      <c r="M414" s="18" t="n">
        <v>52599217.51479034</v>
      </c>
      <c r="N414" s="23">
        <f>IF(L414=0,"",M414/L414)</f>
        <v/>
      </c>
      <c r="O414" s="6" t="n">
        <v>67585849.199535</v>
      </c>
      <c r="P414" s="22">
        <f>M414*G414*(1+H414+I414)</f>
        <v/>
      </c>
      <c r="Q414" s="6" t="n">
        <v>60865474.24032302</v>
      </c>
      <c r="R414" s="22">
        <f>P414-M414*G414*J414</f>
        <v/>
      </c>
      <c r="S414" s="22">
        <f>IF(A414=A413,O414-O413,"")</f>
        <v/>
      </c>
      <c r="T414" s="22">
        <f>IF(A414=A413,P414-P413,"")</f>
        <v/>
      </c>
      <c r="U414" s="22">
        <f>IF(A414=A413,Q414-Q413,"")</f>
        <v/>
      </c>
      <c r="V414" s="22">
        <f>IF(A414=A413,R414-R413,"")</f>
        <v/>
      </c>
      <c r="W414" s="22">
        <f>IF(S414="","",D414-S414)</f>
        <v/>
      </c>
      <c r="X414" s="22">
        <f>IF(T414="","",D414-T414)</f>
        <v/>
      </c>
      <c r="Y414" s="22">
        <f>IF(U414="","",F414-U414)</f>
        <v/>
      </c>
      <c r="Z414" s="22">
        <f>IF(V414="","",F414-V414)</f>
        <v/>
      </c>
      <c r="AA414" s="6" t="n">
        <v>51667325.72856475</v>
      </c>
      <c r="AB414" s="6" t="n">
        <v>44167620.85808384</v>
      </c>
      <c r="AC414" s="6" t="n">
        <v>17475371.7172707</v>
      </c>
      <c r="AD414" s="6" t="n">
        <v>6133432.595051809</v>
      </c>
      <c r="AE414" s="6" t="n">
        <v>6080292.998326831</v>
      </c>
      <c r="AF414" s="6" t="n">
        <v>51893145.10754266</v>
      </c>
      <c r="AG414" s="6" t="n">
        <v>7085017.432336312</v>
      </c>
      <c r="AH414" s="6" t="n">
        <v>7162113.091185819</v>
      </c>
      <c r="AI414" s="6" t="n">
        <v>9241436.009737257</v>
      </c>
      <c r="AJ414" s="6" t="n">
        <v>7994205.04004555</v>
      </c>
      <c r="AK414" s="6" t="n">
        <v>8093202.551792028</v>
      </c>
      <c r="AL414" s="6" t="n">
        <v>7072418.748605337</v>
      </c>
      <c r="AM414" s="6" t="n">
        <v>5499728.771454584</v>
      </c>
      <c r="AN414" s="6" t="n">
        <v>5681914.824830864</v>
      </c>
      <c r="AO414" s="6" t="n">
        <v>7932855.673728738</v>
      </c>
      <c r="AP414" s="6" t="n">
        <v>6997497.818700355</v>
      </c>
      <c r="AQ414" s="6" t="n">
        <v>7086199.359309537</v>
      </c>
      <c r="AR414" s="6" t="n">
        <v>5485118.295047354</v>
      </c>
    </row>
    <row r="415">
      <c r="A415" t="inlineStr">
        <is>
          <t>MyT</t>
        </is>
      </c>
      <c r="B415" s="8" t="n">
        <v>202505</v>
      </c>
      <c r="C415" s="8" t="n">
        <v>2025</v>
      </c>
      <c r="D415" s="9" t="n">
        <v>4980560.691490768</v>
      </c>
      <c r="E415" s="10" t="n">
        <v>0.1130230451979444</v>
      </c>
      <c r="F415" s="22">
        <f>D415*(1-E415)</f>
        <v/>
      </c>
      <c r="G415" s="10" t="n">
        <v>0.9884999999999999</v>
      </c>
      <c r="H415" s="10" t="n">
        <v>0.02858711636717935</v>
      </c>
      <c r="I415" s="10" t="n">
        <v>0.1683877055598598</v>
      </c>
      <c r="J415" s="10" t="n">
        <v>0.1211358254899234</v>
      </c>
      <c r="K415" s="9" t="n">
        <v>51962553.73716855</v>
      </c>
      <c r="L415" s="18" t="n">
        <v>52567075.10082807</v>
      </c>
      <c r="M415" s="18" t="n">
        <v>49288493.54783304</v>
      </c>
      <c r="N415" s="23">
        <f>IF(L415=0,"",M415/L415)</f>
        <v/>
      </c>
      <c r="O415" s="9" t="n">
        <v>62197868.50642153</v>
      </c>
      <c r="P415" s="22">
        <f>M415*G415*(1+H415+I415)</f>
        <v/>
      </c>
      <c r="Q415" s="9" t="n">
        <v>55903341.66490511</v>
      </c>
      <c r="R415" s="22">
        <f>P415-M415*G415*J415</f>
        <v/>
      </c>
      <c r="S415" s="22">
        <f>IF(A415=A414,O415-O414,"")</f>
        <v/>
      </c>
      <c r="T415" s="22">
        <f>IF(A415=A414,P415-P414,"")</f>
        <v/>
      </c>
      <c r="U415" s="22">
        <f>IF(A415=A414,Q415-Q414,"")</f>
        <v/>
      </c>
      <c r="V415" s="22">
        <f>IF(A415=A414,R415-R414,"")</f>
        <v/>
      </c>
      <c r="W415" s="22">
        <f>IF(S415="","",D415-S415)</f>
        <v/>
      </c>
      <c r="X415" s="22">
        <f>IF(T415="","",D415-T415)</f>
        <v/>
      </c>
      <c r="Y415" s="22">
        <f>IF(U415="","",F415-U415)</f>
        <v/>
      </c>
      <c r="Z415" s="22">
        <f>IF(V415="","",F415-V415)</f>
        <v/>
      </c>
      <c r="AA415" s="9" t="n">
        <v>48335477.77106941</v>
      </c>
      <c r="AB415" s="9" t="n">
        <v>40659848.40139306</v>
      </c>
      <c r="AC415" s="9" t="n">
        <v>15147428.87336826</v>
      </c>
      <c r="AD415" s="9" t="n">
        <v>6126639.471788606</v>
      </c>
      <c r="AE415" s="9" t="n">
        <v>6247151.438075447</v>
      </c>
      <c r="AF415" s="9" t="n">
        <v>48574008.11672303</v>
      </c>
      <c r="AG415" s="9" t="n">
        <v>9447468.756138571</v>
      </c>
      <c r="AH415" s="9" t="n">
        <v>9579471.801457591</v>
      </c>
      <c r="AI415" s="9" t="n">
        <v>7912451.151609062</v>
      </c>
      <c r="AJ415" s="9" t="n">
        <v>5050877.671698026</v>
      </c>
      <c r="AK415" s="9" t="n">
        <v>4844871.890217668</v>
      </c>
      <c r="AL415" s="9" t="n">
        <v>9434722.003520221</v>
      </c>
      <c r="AM415" s="9" t="n">
        <v>8541441.883266632</v>
      </c>
      <c r="AN415" s="9" t="n">
        <v>8644271.54428133</v>
      </c>
      <c r="AO415" s="9" t="n">
        <v>7089670.789070229</v>
      </c>
      <c r="AP415" s="9" t="n">
        <v>4493776.772172585</v>
      </c>
      <c r="AQ415" s="9" t="n">
        <v>4308507.06116098</v>
      </c>
      <c r="AR415" s="9" t="n">
        <v>8530461.303259749</v>
      </c>
    </row>
    <row r="416">
      <c r="A416" s="4" t="inlineStr">
        <is>
          <t>MyT</t>
        </is>
      </c>
      <c r="B416" s="5" t="n">
        <v>202506</v>
      </c>
      <c r="C416" s="5" t="n">
        <v>2025</v>
      </c>
      <c r="D416" s="6" t="n">
        <v>14820175.57008535</v>
      </c>
      <c r="E416" s="11" t="n">
        <v>0.1130230451979444</v>
      </c>
      <c r="F416" s="22">
        <f>D416*(1-E416)</f>
        <v/>
      </c>
      <c r="G416" s="11" t="n">
        <v>0.9884999999999999</v>
      </c>
      <c r="H416" s="11" t="n">
        <v>0.03205036400280765</v>
      </c>
      <c r="I416" s="11" t="n">
        <v>0.1363843372712064</v>
      </c>
      <c r="J416" s="11" t="n">
        <v>0.110788405720329</v>
      </c>
      <c r="K416" s="6" t="n">
        <v>51491802.2893197</v>
      </c>
      <c r="L416" s="18" t="n">
        <v>52090847.03016662</v>
      </c>
      <c r="M416" s="18" t="n">
        <v>55187939.49498889</v>
      </c>
      <c r="N416" s="23">
        <f>IF(L416=0,"",M416/L416)</f>
        <v/>
      </c>
      <c r="O416" s="6" t="n">
        <v>60164808.62598186</v>
      </c>
      <c r="P416" s="22">
        <f>M416*G416*(1+H416+I416)</f>
        <v/>
      </c>
      <c r="Q416" s="6" t="n">
        <v>54460113.94268175</v>
      </c>
      <c r="R416" s="22">
        <f>P416-M416*G416*J416</f>
        <v/>
      </c>
      <c r="S416" s="22">
        <f>IF(A416=A415,O416-O415,"")</f>
        <v/>
      </c>
      <c r="T416" s="22">
        <f>IF(A416=A415,P416-P415,"")</f>
        <v/>
      </c>
      <c r="U416" s="22">
        <f>IF(A416=A415,Q416-Q415,"")</f>
        <v/>
      </c>
      <c r="V416" s="22">
        <f>IF(A416=A415,R416-R415,"")</f>
        <v/>
      </c>
      <c r="W416" s="22">
        <f>IF(S416="","",D416-S416)</f>
        <v/>
      </c>
      <c r="X416" s="22">
        <f>IF(T416="","",D416-T416)</f>
        <v/>
      </c>
      <c r="Y416" s="22">
        <f>IF(U416="","",F416-U416)</f>
        <v/>
      </c>
      <c r="Z416" s="22">
        <f>IF(V416="","",F416-V416)</f>
        <v/>
      </c>
      <c r="AA416" s="6" t="n">
        <v>54113245.71956389</v>
      </c>
      <c r="AB416" s="6" t="n">
        <v>45634380.55850075</v>
      </c>
      <c r="AC416" s="6" t="n">
        <v>13025056.63034285</v>
      </c>
      <c r="AD416" s="6" t="n">
        <v>6355790.352212334</v>
      </c>
      <c r="AE416" s="6" t="n">
        <v>6497358.048293245</v>
      </c>
      <c r="AF416" s="6" t="n">
        <v>54302363.41363275</v>
      </c>
      <c r="AG416" s="6" t="n">
        <v>9510502.978858078</v>
      </c>
      <c r="AH416" s="6" t="n">
        <v>10221694.31290909</v>
      </c>
      <c r="AI416" s="6" t="n">
        <v>17698848.52299394</v>
      </c>
      <c r="AJ416" s="6" t="n">
        <v>14728351.02661731</v>
      </c>
      <c r="AK416" s="6" t="n">
        <v>14707431.57974512</v>
      </c>
      <c r="AL416" s="6" t="n">
        <v>9574303.874367187</v>
      </c>
      <c r="AM416" s="6" t="n">
        <v>7973834.2613876</v>
      </c>
      <c r="AN416" s="6" t="n">
        <v>8675569.35369434</v>
      </c>
      <c r="AO416" s="6" t="n">
        <v>15636462.62454655</v>
      </c>
      <c r="AP416" s="6" t="n">
        <v>13015759.0916094</v>
      </c>
      <c r="AQ416" s="6" t="n">
        <v>12995912.90152736</v>
      </c>
      <c r="AR416" s="6" t="n">
        <v>8029783.973399771</v>
      </c>
    </row>
    <row r="417">
      <c r="A417" t="inlineStr">
        <is>
          <t>MyT</t>
        </is>
      </c>
      <c r="B417" s="8" t="n">
        <v>202507</v>
      </c>
      <c r="C417" s="8" t="n">
        <v>2025</v>
      </c>
      <c r="D417" s="9" t="n">
        <v>15294679.87142911</v>
      </c>
      <c r="E417" s="10" t="n">
        <v>0.1130230451979444</v>
      </c>
      <c r="F417" s="22">
        <f>D417*(1-E417)</f>
        <v/>
      </c>
      <c r="G417" s="10" t="n">
        <v>0.885968</v>
      </c>
      <c r="H417" s="10" t="n">
        <v>0.03189545709584125</v>
      </c>
      <c r="I417" s="10" t="n">
        <v>0.1414145962527791</v>
      </c>
      <c r="J417" s="10" t="n">
        <v>0.1430075968246829</v>
      </c>
      <c r="K417" s="9" t="n">
        <v>56852219.04176383</v>
      </c>
      <c r="L417" s="18" t="n">
        <v>64169607.75306086</v>
      </c>
      <c r="M417" s="18" t="n">
        <v>60963275.71609239</v>
      </c>
      <c r="N417" s="23">
        <f>IF(L417=0,"",M417/L417)</f>
        <v/>
      </c>
      <c r="O417" s="9" t="n">
        <v>66705280.15687937</v>
      </c>
      <c r="P417" s="22">
        <f>M417*G417*(1+H417+I417)</f>
        <v/>
      </c>
      <c r="Q417" s="9" t="n">
        <v>58574980.93756624</v>
      </c>
      <c r="R417" s="22">
        <f>P417-M417*G417*J417</f>
        <v/>
      </c>
      <c r="S417" s="22">
        <f>IF(A417=A416,O417-O416,"")</f>
        <v/>
      </c>
      <c r="T417" s="22">
        <f>IF(A417=A416,P417-P416,"")</f>
        <v/>
      </c>
      <c r="U417" s="22">
        <f>IF(A417=A416,Q417-Q416,"")</f>
        <v/>
      </c>
      <c r="V417" s="22">
        <f>IF(A417=A416,R417-R416,"")</f>
        <v/>
      </c>
      <c r="W417" s="22">
        <f>IF(S417="","",D417-S417)</f>
        <v/>
      </c>
      <c r="X417" s="22">
        <f>IF(T417="","",D417-T417)</f>
        <v/>
      </c>
      <c r="Y417" s="22">
        <f>IF(U417="","",F417-U417)</f>
        <v/>
      </c>
      <c r="Z417" s="22">
        <f>IF(V417="","",F417-V417)</f>
        <v/>
      </c>
      <c r="AA417" s="9" t="n">
        <v>59814886.20634162</v>
      </c>
      <c r="AB417" s="9" t="n">
        <v>51428294.47247013</v>
      </c>
      <c r="AC417" s="9" t="n">
        <v>15673576.81486573</v>
      </c>
      <c r="AD417" s="9" t="n">
        <v>8709851.597203162</v>
      </c>
      <c r="AE417" s="9" t="n">
        <v>8906719.231719932</v>
      </c>
      <c r="AF417" s="9" t="n">
        <v>59765939.8799063</v>
      </c>
      <c r="AG417" s="9" t="n">
        <v>15616873.25098781</v>
      </c>
      <c r="AH417" s="9" t="n">
        <v>14541792.73198837</v>
      </c>
      <c r="AI417" s="9" t="n">
        <v>14045669.61906086</v>
      </c>
      <c r="AJ417" s="9" t="n">
        <v>13581580.33559966</v>
      </c>
      <c r="AK417" s="9" t="n">
        <v>13540443.80842185</v>
      </c>
      <c r="AL417" s="9" t="n">
        <v>15886184.20150616</v>
      </c>
      <c r="AM417" s="9" t="n">
        <v>15540600.94386653</v>
      </c>
      <c r="AN417" s="9" t="n">
        <v>14331495.27013818</v>
      </c>
      <c r="AO417" s="9" t="n">
        <v>12876432.46133823</v>
      </c>
      <c r="AP417" s="9" t="n">
        <v>12260418.40502845</v>
      </c>
      <c r="AQ417" s="9" t="n">
        <v>12228721.34490076</v>
      </c>
      <c r="AR417" s="9" t="n">
        <v>15782999.28799172</v>
      </c>
    </row>
    <row r="418">
      <c r="A418" s="4" t="inlineStr">
        <is>
          <t>MyT</t>
        </is>
      </c>
      <c r="B418" s="5" t="n">
        <v>202508</v>
      </c>
      <c r="C418" s="5" t="n">
        <v>2025</v>
      </c>
      <c r="D418" s="6" t="n">
        <v>8796819.200260065</v>
      </c>
      <c r="E418" s="11" t="n">
        <v>0.1130230451979444</v>
      </c>
      <c r="F418" s="22">
        <f>D418*(1-E418)</f>
        <v/>
      </c>
      <c r="G418" s="11" t="n">
        <v>0.922683</v>
      </c>
      <c r="H418" s="11" t="n">
        <v>0.03062627449130033</v>
      </c>
      <c r="I418" s="11" t="n">
        <v>0.1483881523064844</v>
      </c>
      <c r="J418" s="11" t="n">
        <v>0.1412297325369978</v>
      </c>
      <c r="K418" s="6" t="n">
        <v>61284390.84853844</v>
      </c>
      <c r="L418" s="18" t="n">
        <v>66419768.05526756</v>
      </c>
      <c r="M418" s="18" t="n">
        <v>60141541.54360528</v>
      </c>
      <c r="N418" s="23">
        <f>IF(L418=0,"",M418/L418)</f>
        <v/>
      </c>
      <c r="O418" s="6" t="n">
        <v>72255180.94794096</v>
      </c>
      <c r="P418" s="22">
        <f>M418*G418*(1+H418+I418)</f>
        <v/>
      </c>
      <c r="Q418" s="6" t="n">
        <v>63600002.81970904</v>
      </c>
      <c r="R418" s="22">
        <f>P418-M418*G418*J418</f>
        <v/>
      </c>
      <c r="S418" s="22">
        <f>IF(A418=A417,O418-O417,"")</f>
        <v/>
      </c>
      <c r="T418" s="22">
        <f>IF(A418=A417,P418-P417,"")</f>
        <v/>
      </c>
      <c r="U418" s="22">
        <f>IF(A418=A417,Q418-Q417,"")</f>
        <v/>
      </c>
      <c r="V418" s="22">
        <f>IF(A418=A417,R418-R417,"")</f>
        <v/>
      </c>
      <c r="W418" s="22">
        <f>IF(S418="","",D418-S418)</f>
        <v/>
      </c>
      <c r="X418" s="22">
        <f>IF(T418="","",D418-T418)</f>
        <v/>
      </c>
      <c r="Y418" s="22">
        <f>IF(U418="","",F418-U418)</f>
        <v/>
      </c>
      <c r="Z418" s="22">
        <f>IF(V418="","",F418-V418)</f>
        <v/>
      </c>
      <c r="AA418" s="6" t="n">
        <v>59166515.01617227</v>
      </c>
      <c r="AB418" s="6" t="n">
        <v>51225612.34731933</v>
      </c>
      <c r="AC418" s="6" t="n">
        <v>16194338.3262076</v>
      </c>
      <c r="AD418" s="6" t="n">
        <v>9375535.129147647</v>
      </c>
      <c r="AE418" s="6" t="n">
        <v>9589936.87354615</v>
      </c>
      <c r="AF418" s="6" t="n">
        <v>59616727.91943211</v>
      </c>
      <c r="AG418" s="6" t="n">
        <v>6610618.298511952</v>
      </c>
      <c r="AH418" s="6" t="n">
        <v>6531192.166168012</v>
      </c>
      <c r="AI418" s="6" t="n">
        <v>7472622.613394937</v>
      </c>
      <c r="AJ418" s="6" t="n">
        <v>7651604.516476069</v>
      </c>
      <c r="AK418" s="6" t="n">
        <v>7623013.06142243</v>
      </c>
      <c r="AL418" s="6" t="n">
        <v>6069970.786118165</v>
      </c>
      <c r="AM418" s="6" t="n">
        <v>5747824.420439923</v>
      </c>
      <c r="AN418" s="6" t="n">
        <v>5696199.559793303</v>
      </c>
      <c r="AO418" s="6" t="n">
        <v>6602823.367936766</v>
      </c>
      <c r="AP418" s="6" t="n">
        <v>6775550.224063032</v>
      </c>
      <c r="AQ418" s="6" t="n">
        <v>6749954.359201437</v>
      </c>
      <c r="AR418" s="6" t="n">
        <v>5272045.781639697</v>
      </c>
    </row>
    <row r="419">
      <c r="A419" t="inlineStr">
        <is>
          <t>MyT</t>
        </is>
      </c>
      <c r="B419" s="8" t="n">
        <v>202509</v>
      </c>
      <c r="C419" s="8" t="n">
        <v>2025</v>
      </c>
      <c r="D419" s="9" t="n">
        <v>10576840.39027165</v>
      </c>
      <c r="E419" s="10" t="n">
        <v>0.1130230451979444</v>
      </c>
      <c r="F419" s="22">
        <f>D419*(1-E419)</f>
        <v/>
      </c>
      <c r="G419" s="10" t="n">
        <v>0.905812783</v>
      </c>
      <c r="H419" s="10" t="n">
        <v>0.03119668093314689</v>
      </c>
      <c r="I419" s="10" t="n">
        <v>0.1678268688323153</v>
      </c>
      <c r="J419" s="10" t="n">
        <v>0.1424199889241485</v>
      </c>
      <c r="K419" s="9" t="n">
        <v>59994888.74237634</v>
      </c>
      <c r="L419" s="18" t="n">
        <v>66233210.51363032</v>
      </c>
      <c r="M419" s="18" t="n">
        <v>61753759.52905969</v>
      </c>
      <c r="N419" s="23">
        <f>IF(L419=0,"",M419/L419)</f>
        <v/>
      </c>
      <c r="O419" s="9" t="n">
        <v>71935284.46766806</v>
      </c>
      <c r="P419" s="22">
        <f>M419*G419*(1+H419+I419)</f>
        <v/>
      </c>
      <c r="Q419" s="9" t="n">
        <v>63390813.0774733</v>
      </c>
      <c r="R419" s="22">
        <f>P419-M419*G419*J419</f>
        <v/>
      </c>
      <c r="S419" s="22">
        <f>IF(A419=A418,O419-O418,"")</f>
        <v/>
      </c>
      <c r="T419" s="22">
        <f>IF(A419=A418,P419-P418,"")</f>
        <v/>
      </c>
      <c r="U419" s="22">
        <f>IF(A419=A418,Q419-Q418,"")</f>
        <v/>
      </c>
      <c r="V419" s="22">
        <f>IF(A419=A418,R419-R418,"")</f>
        <v/>
      </c>
      <c r="W419" s="22">
        <f>IF(S419="","",D419-S419)</f>
        <v/>
      </c>
      <c r="X419" s="22">
        <f>IF(T419="","",D419-T419)</f>
        <v/>
      </c>
      <c r="Y419" s="22">
        <f>IF(U419="","",F419-U419)</f>
        <v/>
      </c>
      <c r="Z419" s="22">
        <f>IF(V419="","",F419-V419)</f>
        <v/>
      </c>
      <c r="AA419" s="9" t="n">
        <v>60677509.63443592</v>
      </c>
      <c r="AB419" s="9" t="n">
        <v>52008377.56331412</v>
      </c>
      <c r="AC419" s="9" t="n">
        <v>16387491.1928461</v>
      </c>
      <c r="AD419" s="9" t="n">
        <v>9123106.785310069</v>
      </c>
      <c r="AE419" s="9" t="n">
        <v>9394260.923720784</v>
      </c>
      <c r="AF419" s="9" t="n">
        <v>60795247.07894118</v>
      </c>
      <c r="AG419" s="9" t="n">
        <v>9040233.847408896</v>
      </c>
      <c r="AH419" s="9" t="n">
        <v>9817135.813917687</v>
      </c>
      <c r="AI419" s="9" t="n">
        <v>10395653.33047068</v>
      </c>
      <c r="AJ419" s="9" t="n">
        <v>10867554.9818104</v>
      </c>
      <c r="AK419" s="9" t="n">
        <v>10806295.29675126</v>
      </c>
      <c r="AL419" s="9" t="n">
        <v>9402127.349201215</v>
      </c>
      <c r="AM419" s="9" t="n">
        <v>7962555.890831182</v>
      </c>
      <c r="AN419" s="9" t="n">
        <v>8655870.33297007</v>
      </c>
      <c r="AO419" s="9" t="n">
        <v>9204020.141392983</v>
      </c>
      <c r="AP419" s="9" t="n">
        <v>9627333.841007439</v>
      </c>
      <c r="AQ419" s="9" t="n">
        <v>9573115.875202022</v>
      </c>
      <c r="AR419" s="9" t="n">
        <v>8280970.844849395</v>
      </c>
    </row>
    <row r="420">
      <c r="A420" s="4" t="inlineStr">
        <is>
          <t>MyT</t>
        </is>
      </c>
      <c r="B420" s="5" t="n">
        <v>202510</v>
      </c>
      <c r="C420" s="5" t="n">
        <v>2025</v>
      </c>
      <c r="D420" s="6" t="n">
        <v>6650449.687592989</v>
      </c>
      <c r="E420" s="11" t="n">
        <v>0.1130230451979444</v>
      </c>
      <c r="F420" s="22">
        <f>D420*(1-E420)</f>
        <v/>
      </c>
      <c r="G420" s="11" t="n">
        <v>0.941978</v>
      </c>
      <c r="H420" s="11" t="n">
        <v>0.02999892786237574</v>
      </c>
      <c r="I420" s="11" t="n">
        <v>0.1819225504424241</v>
      </c>
      <c r="J420" s="11" t="n">
        <v>0.1177984028699071</v>
      </c>
      <c r="K420" s="6" t="n">
        <v>58803065.96213052</v>
      </c>
      <c r="L420" s="18" t="n">
        <v>62425094.81339322</v>
      </c>
      <c r="M420" s="18" t="n">
        <v>58927792.49710928</v>
      </c>
      <c r="N420" s="23">
        <f>IF(L420=0,"",M420/L420)</f>
        <v/>
      </c>
      <c r="O420" s="6" t="n">
        <v>71264698.62967987</v>
      </c>
      <c r="P420" s="22">
        <f>M420*G420*(1+H420+I420)</f>
        <v/>
      </c>
      <c r="Q420" s="6" t="n">
        <v>64337791.3754871</v>
      </c>
      <c r="R420" s="22">
        <f>P420-M420*G420*J420</f>
        <v/>
      </c>
      <c r="S420" s="22">
        <f>IF(A420=A419,O420-O419,"")</f>
        <v/>
      </c>
      <c r="T420" s="22">
        <f>IF(A420=A419,P420-P419,"")</f>
        <v/>
      </c>
      <c r="U420" s="22">
        <f>IF(A420=A419,Q420-Q419,"")</f>
        <v/>
      </c>
      <c r="V420" s="22">
        <f>IF(A420=A419,R420-R419,"")</f>
        <v/>
      </c>
      <c r="W420" s="22">
        <f>IF(S420="","",D420-S420)</f>
        <v/>
      </c>
      <c r="X420" s="22">
        <f>IF(T420="","",D420-T420)</f>
        <v/>
      </c>
      <c r="Y420" s="22">
        <f>IF(U420="","",F420-U420)</f>
        <v/>
      </c>
      <c r="Z420" s="22">
        <f>IF(V420="","",F420-V420)</f>
        <v/>
      </c>
      <c r="AA420" s="6" t="n">
        <v>57817901.60557828</v>
      </c>
      <c r="AB420" s="6" t="n">
        <v>49218771.42493825</v>
      </c>
      <c r="AC420" s="6" t="n">
        <v>17514497.80042805</v>
      </c>
      <c r="AD420" s="6" t="n">
        <v>8738927.162491858</v>
      </c>
      <c r="AE420" s="6" t="n">
        <v>9029494.482029408</v>
      </c>
      <c r="AF420" s="6" t="n">
        <v>57767762.71903478</v>
      </c>
      <c r="AG420" s="6" t="n">
        <v>6546626.881773693</v>
      </c>
      <c r="AH420" s="6" t="n">
        <v>6947957.784023611</v>
      </c>
      <c r="AI420" s="6" t="n">
        <v>4454144.347904222</v>
      </c>
      <c r="AJ420" s="6" t="n">
        <v>6582583.866772603</v>
      </c>
      <c r="AK420" s="6" t="n">
        <v>6545369.266463356</v>
      </c>
      <c r="AL420" s="6" t="n">
        <v>6731739.165814159</v>
      </c>
      <c r="AM420" s="6" t="n">
        <v>4382896.263427678</v>
      </c>
      <c r="AN420" s="6" t="n">
        <v>4948406.271457631</v>
      </c>
      <c r="AO420" s="6" t="n">
        <v>3531878.14422855</v>
      </c>
      <c r="AP420" s="6" t="n">
        <v>5623697.656007873</v>
      </c>
      <c r="AQ420" s="6" t="n">
        <v>5583744.954440881</v>
      </c>
      <c r="AR420" s="6" t="n">
        <v>4547256.142237935</v>
      </c>
    </row>
    <row r="421">
      <c r="A421" t="inlineStr">
        <is>
          <t>MyT</t>
        </is>
      </c>
      <c r="B421" s="8" t="n">
        <v>202511</v>
      </c>
      <c r="C421" s="8" t="n">
        <v>2025</v>
      </c>
      <c r="D421" s="9" t="n">
        <v>7743797.082752024</v>
      </c>
      <c r="E421" s="10" t="n">
        <v>0.1130230451979444</v>
      </c>
      <c r="F421" s="22">
        <f>D421*(1-E421)</f>
        <v/>
      </c>
      <c r="G421" s="10" t="n">
        <v>0.9139833000000001</v>
      </c>
      <c r="H421" s="10" t="n">
        <v>0.03091778181912206</v>
      </c>
      <c r="I421" s="10" t="n">
        <v>0.1642800673094737</v>
      </c>
      <c r="J421" s="10" t="n">
        <v>0.1103856603936505</v>
      </c>
      <c r="K421" s="9" t="n">
        <v>54107291.68092352</v>
      </c>
      <c r="L421" s="18" t="n">
        <v>59199431.41294105</v>
      </c>
      <c r="M421" s="18" t="n">
        <v>56779218.50754965</v>
      </c>
      <c r="N421" s="23">
        <f>IF(L421=0,"",M421/L421)</f>
        <v/>
      </c>
      <c r="O421" s="9" t="n">
        <v>64668918.63921335</v>
      </c>
      <c r="P421" s="22">
        <f>M421*G421*(1+H421+I421)</f>
        <v/>
      </c>
      <c r="Q421" s="9" t="n">
        <v>58696249.51490273</v>
      </c>
      <c r="R421" s="22">
        <f>P421-M421*G421*J421</f>
        <v/>
      </c>
      <c r="S421" s="22">
        <f>IF(A421=A420,O421-O420,"")</f>
        <v/>
      </c>
      <c r="T421" s="22">
        <f>IF(A421=A420,P421-P420,"")</f>
        <v/>
      </c>
      <c r="U421" s="22">
        <f>IF(A421=A420,Q421-Q420,"")</f>
        <v/>
      </c>
      <c r="V421" s="22">
        <f>IF(A421=A420,R421-R420,"")</f>
        <v/>
      </c>
      <c r="W421" s="22">
        <f>IF(S421="","",D421-S421)</f>
        <v/>
      </c>
      <c r="X421" s="22">
        <f>IF(T421="","",D421-T421)</f>
        <v/>
      </c>
      <c r="Y421" s="22">
        <f>IF(U421="","",F421-U421)</f>
        <v/>
      </c>
      <c r="Z421" s="22">
        <f>IF(V421="","",F421-V421)</f>
        <v/>
      </c>
      <c r="AA421" s="9" t="n">
        <v>55723145.51343641</v>
      </c>
      <c r="AB421" s="9" t="n">
        <v>47396512.64200943</v>
      </c>
      <c r="AC421" s="9" t="n">
        <v>18792626.54696343</v>
      </c>
      <c r="AD421" s="9" t="n">
        <v>7418454.088410329</v>
      </c>
      <c r="AE421" s="9" t="n">
        <v>7645545.240940783</v>
      </c>
      <c r="AF421" s="9" t="n">
        <v>56127210.58307704</v>
      </c>
      <c r="AG421" s="9" t="n">
        <v>12877452.77267179</v>
      </c>
      <c r="AH421" s="9" t="n">
        <v>12156594.53927423</v>
      </c>
      <c r="AI421" s="9" t="n">
        <v>7209513.056647413</v>
      </c>
      <c r="AJ421" s="9" t="n">
        <v>9616334.236587852</v>
      </c>
      <c r="AK421" s="9" t="n">
        <v>9699974.565209813</v>
      </c>
      <c r="AL421" s="9" t="n">
        <v>12378817.05611252</v>
      </c>
      <c r="AM421" s="9" t="n">
        <v>11208492.67222273</v>
      </c>
      <c r="AN421" s="9" t="n">
        <v>10601744.65045728</v>
      </c>
      <c r="AO421" s="9" t="n">
        <v>6286815.79382307</v>
      </c>
      <c r="AP421" s="9" t="n">
        <v>8519857.386442445</v>
      </c>
      <c r="AQ421" s="9" t="n">
        <v>8594166.721182693</v>
      </c>
      <c r="AR421" s="9" t="n">
        <v>10756186.92978061</v>
      </c>
    </row>
    <row r="422">
      <c r="A422" s="4" t="inlineStr">
        <is>
          <t>MyT</t>
        </is>
      </c>
      <c r="B422" s="5" t="n">
        <v>202512</v>
      </c>
      <c r="C422" s="5" t="n">
        <v>2025</v>
      </c>
      <c r="D422" s="6" t="n">
        <v>6284464.677035218</v>
      </c>
      <c r="E422" s="11" t="n">
        <v>0.1130230451979444</v>
      </c>
      <c r="F422" s="22">
        <f>D422*(1-E422)</f>
        <v/>
      </c>
      <c r="G422" s="11" t="n">
        <v>0.872207</v>
      </c>
      <c r="H422" s="11" t="n">
        <v>0.03239867822755817</v>
      </c>
      <c r="I422" s="11" t="n">
        <v>0.1794893886395797</v>
      </c>
      <c r="J422" s="11" t="n">
        <v>0.1119857484161587</v>
      </c>
      <c r="K422" s="6" t="n">
        <v>48141453.07141271</v>
      </c>
      <c r="L422" s="18" t="n">
        <v>55194985.90519534</v>
      </c>
      <c r="M422" s="18" t="n">
        <v>54204350.599282</v>
      </c>
      <c r="N422" s="23">
        <f>IF(L422=0,"",M422/L422)</f>
        <v/>
      </c>
      <c r="O422" s="6" t="n">
        <v>58342052.49888938</v>
      </c>
      <c r="P422" s="22">
        <f>M422*G422*(1+H422+I422)</f>
        <v/>
      </c>
      <c r="Q422" s="6" t="n">
        <v>52950895.84684584</v>
      </c>
      <c r="R422" s="22">
        <f>P422-M422*G422*J422</f>
        <v/>
      </c>
      <c r="S422" s="22">
        <f>IF(A422=A421,O422-O421,"")</f>
        <v/>
      </c>
      <c r="T422" s="22">
        <f>IF(A422=A421,P422-P421,"")</f>
        <v/>
      </c>
      <c r="U422" s="22">
        <f>IF(A422=A421,Q422-Q421,"")</f>
        <v/>
      </c>
      <c r="V422" s="22">
        <f>IF(A422=A421,R422-R421,"")</f>
        <v/>
      </c>
      <c r="W422" s="22">
        <f>IF(S422="","",D422-S422)</f>
        <v/>
      </c>
      <c r="X422" s="22">
        <f>IF(T422="","",D422-T422)</f>
        <v/>
      </c>
      <c r="Y422" s="22">
        <f>IF(U422="","",F422-U422)</f>
        <v/>
      </c>
      <c r="Z422" s="22">
        <f>IF(V422="","",F422-V422)</f>
        <v/>
      </c>
      <c r="AA422" s="6" t="n">
        <v>53170870.11614171</v>
      </c>
      <c r="AB422" s="6" t="n">
        <v>44912013.21399287</v>
      </c>
      <c r="AC422" s="6" t="n">
        <v>18578133.35127006</v>
      </c>
      <c r="AD422" s="6" t="n">
        <v>5576085.460729002</v>
      </c>
      <c r="AE422" s="6" t="n">
        <v>5692732.535302776</v>
      </c>
      <c r="AF422" s="6" t="n">
        <v>53267723.68852844</v>
      </c>
      <c r="AG422" s="6" t="n">
        <v>10953393.13971138</v>
      </c>
      <c r="AH422" s="6" t="n">
        <v>10587209.63060944</v>
      </c>
      <c r="AI422" s="6" t="n">
        <v>7175950.900508819</v>
      </c>
      <c r="AJ422" s="6" t="n">
        <v>8494297.676509552</v>
      </c>
      <c r="AK422" s="6" t="n">
        <v>8619072.008582119</v>
      </c>
      <c r="AL422" s="6" t="n">
        <v>11292414.23717544</v>
      </c>
      <c r="AM422" s="6" t="n">
        <v>9814611.065654416</v>
      </c>
      <c r="AN422" s="6" t="n">
        <v>9481825.14708491</v>
      </c>
      <c r="AO422" s="6" t="n">
        <v>6384275.853459575</v>
      </c>
      <c r="AP422" s="6" t="n">
        <v>7580198.458928671</v>
      </c>
      <c r="AQ422" s="6" t="n">
        <v>7693454.891252203</v>
      </c>
      <c r="AR422" s="6" t="n">
        <v>10122325.9243606</v>
      </c>
    </row>
    <row r="423">
      <c r="A423" t="inlineStr">
        <is>
          <t>MyT</t>
        </is>
      </c>
      <c r="B423" s="8" t="n">
        <v>202601</v>
      </c>
      <c r="C423" s="8" t="n">
        <v>2026</v>
      </c>
      <c r="D423" s="9" t="n">
        <v>13478545.34453952</v>
      </c>
      <c r="E423" s="10" t="n">
        <v>0.1130230451979444</v>
      </c>
      <c r="F423" s="22">
        <f>D423*(1-E423)</f>
        <v/>
      </c>
      <c r="G423" s="10" t="n">
        <v>0.862915</v>
      </c>
      <c r="H423" s="10" t="n">
        <v>0.03274754686916471</v>
      </c>
      <c r="I423" s="10" t="n">
        <v>0.1810890580764453</v>
      </c>
      <c r="J423" s="10" t="n">
        <v>0.1204360988603649</v>
      </c>
      <c r="K423" s="9" t="n">
        <v>50616970.14770294</v>
      </c>
      <c r="L423" s="18" t="n">
        <v>58658118.29404164</v>
      </c>
      <c r="M423" s="18" t="n">
        <v>58432389.98900785</v>
      </c>
      <c r="N423" s="23">
        <f>IF(L423=0,"",M423/L423)</f>
        <v/>
      </c>
      <c r="O423" s="9" t="n">
        <v>61440731.19672103</v>
      </c>
      <c r="P423" s="22">
        <f>M423*G423*(1+H423+I423)</f>
        <v/>
      </c>
      <c r="Q423" s="9" t="n">
        <v>55344620.77600014</v>
      </c>
      <c r="R423" s="22">
        <f>P423-M423*G423*J423</f>
        <v/>
      </c>
      <c r="S423" s="22">
        <f>IF(A423=A422,O423-O422,"")</f>
        <v/>
      </c>
      <c r="T423" s="22">
        <f>IF(A423=A422,P423-P422,"")</f>
        <v/>
      </c>
      <c r="U423" s="22">
        <f>IF(A423=A422,Q423-Q422,"")</f>
        <v/>
      </c>
      <c r="V423" s="22">
        <f>IF(A423=A422,R423-R422,"")</f>
        <v/>
      </c>
      <c r="W423" s="22">
        <f>IF(S423="","",D423-S423)</f>
        <v/>
      </c>
      <c r="X423" s="22">
        <f>IF(T423="","",D423-T423)</f>
        <v/>
      </c>
      <c r="Y423" s="22">
        <f>IF(U423="","",F423-U423)</f>
        <v/>
      </c>
      <c r="Z423" s="22">
        <f>IF(V423="","",F423-V423)</f>
        <v/>
      </c>
      <c r="AA423" s="9" t="n">
        <v>57328580.21159758</v>
      </c>
      <c r="AB423" s="9" t="n">
        <v>48628289.68999246</v>
      </c>
      <c r="AC423" s="9" t="n">
        <v>16485868.0610881</v>
      </c>
      <c r="AD423" s="9" t="n">
        <v>5937725.173958284</v>
      </c>
      <c r="AE423" s="9" t="n">
        <v>6168952.805475516</v>
      </c>
      <c r="AF423" s="9" t="n">
        <v>57289063.28656913</v>
      </c>
      <c r="AG423" s="9" t="n">
        <v>9632949.793928254</v>
      </c>
      <c r="AH423" s="9" t="n">
        <v>10016208.82537925</v>
      </c>
      <c r="AI423" s="9" t="n">
        <v>15848031.26200274</v>
      </c>
      <c r="AJ423" s="9" t="n">
        <v>13153166.01656794</v>
      </c>
      <c r="AK423" s="9" t="n">
        <v>13034267.42227101</v>
      </c>
      <c r="AL423" s="9" t="n">
        <v>9776717.212728884</v>
      </c>
      <c r="AM423" s="9" t="n">
        <v>8874048.604707796</v>
      </c>
      <c r="AN423" s="9" t="n">
        <v>9159802.04552165</v>
      </c>
      <c r="AO423" s="9" t="n">
        <v>14223342.66418</v>
      </c>
      <c r="AP423" s="9" t="n">
        <v>11702221.71975456</v>
      </c>
      <c r="AQ423" s="9" t="n">
        <v>11595960.24089528</v>
      </c>
      <c r="AR423" s="9" t="n">
        <v>9004249.034139331</v>
      </c>
    </row>
    <row r="424">
      <c r="A424" s="4" t="inlineStr">
        <is>
          <t>MyT</t>
        </is>
      </c>
      <c r="B424" s="5" t="n">
        <v>202602</v>
      </c>
      <c r="C424" s="5" t="n">
        <v>2026</v>
      </c>
      <c r="D424" s="6" t="n">
        <v>9390537.141262084</v>
      </c>
      <c r="E424" s="11" t="n">
        <v>0.1130230451979444</v>
      </c>
      <c r="F424" s="22">
        <f>D424*(1-E424)</f>
        <v/>
      </c>
      <c r="G424" s="11" t="n">
        <v>0.87571</v>
      </c>
      <c r="H424" s="11" t="n">
        <v>0.03274754686916471</v>
      </c>
      <c r="I424" s="11" t="n">
        <v>0.1810890580764453</v>
      </c>
      <c r="J424" s="11" t="n">
        <v>0.1204360988603649</v>
      </c>
      <c r="K424" s="6" t="n">
        <v>51170085.63643961</v>
      </c>
      <c r="L424" s="18" t="n">
        <v>58432683.92097796</v>
      </c>
      <c r="M424" s="18" t="n">
        <v>58361168.75558043</v>
      </c>
      <c r="N424" s="23">
        <f>IF(L424=0,"",M424/L424)</f>
        <v/>
      </c>
      <c r="O424" s="6" t="n">
        <v>62112123.02371198</v>
      </c>
      <c r="P424" s="22">
        <f>M424*G424*(1+H424+I424)</f>
        <v/>
      </c>
      <c r="Q424" s="6" t="n">
        <v>55949397.5313084</v>
      </c>
      <c r="R424" s="22">
        <f>P424-M424*G424*J424</f>
        <v/>
      </c>
      <c r="S424" s="22">
        <f>IF(A424=A423,O424-O423,"")</f>
        <v/>
      </c>
      <c r="T424" s="22">
        <f>IF(A424=A423,P424-P423,"")</f>
        <v/>
      </c>
      <c r="U424" s="22">
        <f>IF(A424=A423,Q424-Q423,"")</f>
        <v/>
      </c>
      <c r="V424" s="22">
        <f>IF(A424=A423,R424-R423,"")</f>
        <v/>
      </c>
      <c r="W424" s="22">
        <f>IF(S424="","",D424-S424)</f>
        <v/>
      </c>
      <c r="X424" s="22">
        <f>IF(T424="","",D424-T424)</f>
        <v/>
      </c>
      <c r="Y424" s="22">
        <f>IF(U424="","",F424-U424)</f>
        <v/>
      </c>
      <c r="Z424" s="22">
        <f>IF(V424="","",F424-V424)</f>
        <v/>
      </c>
      <c r="AA424" s="6" t="n">
        <v>57254600.72031475</v>
      </c>
      <c r="AB424" s="6" t="n">
        <v>48527305.17672881</v>
      </c>
      <c r="AC424" s="6" t="n">
        <v>12551542.74480656</v>
      </c>
      <c r="AD424" s="6" t="n">
        <v>5341822.566564959</v>
      </c>
      <c r="AE424" s="6" t="n">
        <v>5608358.799896618</v>
      </c>
      <c r="AF424" s="6" t="n">
        <v>57161693.55268931</v>
      </c>
      <c r="AG424" s="6" t="n">
        <v>8578802.600544728</v>
      </c>
      <c r="AH424" s="6" t="n">
        <v>8742632.652330384</v>
      </c>
      <c r="AI424" s="6" t="n">
        <v>13316559.74554048</v>
      </c>
      <c r="AJ424" s="6" t="n">
        <v>9931744.009144265</v>
      </c>
      <c r="AK424" s="6" t="n">
        <v>9890620.859715078</v>
      </c>
      <c r="AL424" s="6" t="n">
        <v>8636168.504414372</v>
      </c>
      <c r="AM424" s="6" t="n">
        <v>7597995.283612893</v>
      </c>
      <c r="AN424" s="6" t="n">
        <v>7745570.221462482</v>
      </c>
      <c r="AO424" s="6" t="n">
        <v>11865675.16650739</v>
      </c>
      <c r="AP424" s="6" t="n">
        <v>8816698.702869803</v>
      </c>
      <c r="AQ424" s="6" t="n">
        <v>8779655.766271509</v>
      </c>
      <c r="AR424" s="6" t="n">
        <v>7649669.378847414</v>
      </c>
    </row>
    <row r="425">
      <c r="A425" t="inlineStr">
        <is>
          <t>MyT</t>
        </is>
      </c>
      <c r="B425" s="8" t="n">
        <v>202603</v>
      </c>
      <c r="C425" s="8" t="n">
        <v>2026</v>
      </c>
      <c r="D425" s="9" t="n">
        <v>11459300.49551481</v>
      </c>
      <c r="E425" s="10" t="n">
        <v>0.1130230451979444</v>
      </c>
      <c r="F425" s="22">
        <f>D425*(1-E425)</f>
        <v/>
      </c>
      <c r="G425" s="10" t="n">
        <v>0.893035</v>
      </c>
      <c r="H425" s="10" t="n">
        <v>0.02938447192786687</v>
      </c>
      <c r="I425" s="10" t="n">
        <v>0.1855522313396051</v>
      </c>
      <c r="J425" s="10" t="n">
        <v>0.1435795731346236</v>
      </c>
      <c r="K425" s="9" t="n">
        <v>54353740.9780644</v>
      </c>
      <c r="L425" s="18" t="n">
        <v>60864065.77353004</v>
      </c>
      <c r="M425" s="18" t="n">
        <v>60204373.40427434</v>
      </c>
      <c r="N425" s="23">
        <f>IF(L425=0,"",M425/L425)</f>
        <v/>
      </c>
      <c r="O425" s="9" t="n">
        <v>66036354.87414367</v>
      </c>
      <c r="P425" s="22">
        <f>M425*G425*(1+H425+I425)</f>
        <v/>
      </c>
      <c r="Q425" s="9" t="n">
        <v>58232267.94624329</v>
      </c>
      <c r="R425" s="22">
        <f>P425-M425*G425*J425</f>
        <v/>
      </c>
      <c r="S425" s="22">
        <f>IF(A425=A424,O425-O424,"")</f>
        <v/>
      </c>
      <c r="T425" s="22">
        <f>IF(A425=A424,P425-P424,"")</f>
        <v/>
      </c>
      <c r="U425" s="22">
        <f>IF(A425=A424,Q425-Q424,"")</f>
        <v/>
      </c>
      <c r="V425" s="22">
        <f>IF(A425=A424,R425-R424,"")</f>
        <v/>
      </c>
      <c r="W425" s="22">
        <f>IF(S425="","",D425-S425)</f>
        <v/>
      </c>
      <c r="X425" s="22">
        <f>IF(T425="","",D425-T425)</f>
        <v/>
      </c>
      <c r="Y425" s="22">
        <f>IF(U425="","",F425-U425)</f>
        <v/>
      </c>
      <c r="Z425" s="22">
        <f>IF(V425="","",F425-V425)</f>
        <v/>
      </c>
      <c r="AA425" s="9" t="n">
        <v>59070939.81990303</v>
      </c>
      <c r="AB425" s="9" t="n">
        <v>50068214.0267361</v>
      </c>
      <c r="AC425" s="9" t="n">
        <v>10351525.82025823</v>
      </c>
      <c r="AD425" s="9" t="n">
        <v>4784316.784296468</v>
      </c>
      <c r="AE425" s="9" t="n">
        <v>5043601.209338136</v>
      </c>
      <c r="AF425" s="9" t="n">
        <v>58891451.11887874</v>
      </c>
      <c r="AG425" s="9" t="n">
        <v>8228310.484307082</v>
      </c>
      <c r="AH425" s="9" t="n">
        <v>8719253.570798667</v>
      </c>
      <c r="AI425" s="9" t="n">
        <v>13569990.67072685</v>
      </c>
      <c r="AJ425" s="9" t="n">
        <v>11946598.70050542</v>
      </c>
      <c r="AK425" s="9" t="n">
        <v>11948599.74036176</v>
      </c>
      <c r="AL425" s="9" t="n">
        <v>8324294.888982432</v>
      </c>
      <c r="AM425" s="9" t="n">
        <v>8468838.445884896</v>
      </c>
      <c r="AN425" s="9" t="n">
        <v>8725880.288086763</v>
      </c>
      <c r="AO425" s="9" t="n">
        <v>12278339.90606769</v>
      </c>
      <c r="AP425" s="9" t="n">
        <v>10701499.82540198</v>
      </c>
      <c r="AQ425" s="9" t="n">
        <v>10708635.9224244</v>
      </c>
      <c r="AR425" s="9" t="n">
        <v>8551607.174167288</v>
      </c>
    </row>
    <row r="426">
      <c r="A426" s="4" t="inlineStr">
        <is>
          <t>MyT</t>
        </is>
      </c>
      <c r="B426" s="5" t="n">
        <v>202604</v>
      </c>
      <c r="C426" s="5" t="n">
        <v>2026</v>
      </c>
      <c r="D426" s="6" t="n">
        <v>8450916.340244642</v>
      </c>
      <c r="E426" s="11" t="n">
        <v>0.1130230451979444</v>
      </c>
      <c r="F426" s="22">
        <f>D426*(1-E426)</f>
        <v/>
      </c>
      <c r="G426" s="11" t="n">
        <v>0.900056</v>
      </c>
      <c r="H426" s="11" t="n">
        <v>0.02915341850039435</v>
      </c>
      <c r="I426" s="11" t="n">
        <v>0.1800805887319981</v>
      </c>
      <c r="J426" s="11" t="n">
        <v>0.1549955636122567</v>
      </c>
      <c r="K426" s="6" t="n">
        <v>53177369.2634869</v>
      </c>
      <c r="L426" s="18" t="n">
        <v>59082289.61696483</v>
      </c>
      <c r="M426" s="18" t="n">
        <v>58786670.74039344</v>
      </c>
      <c r="N426" s="23">
        <f>IF(L426=0,"",M426/L426)</f>
        <v/>
      </c>
      <c r="O426" s="6" t="n">
        <v>64303883.32856292</v>
      </c>
      <c r="P426" s="22">
        <f>M426*G426*(1+H426+I426)</f>
        <v/>
      </c>
      <c r="Q426" s="6" t="n">
        <v>56061627.00815167</v>
      </c>
      <c r="R426" s="22">
        <f>P426-M426*G426*J426</f>
        <v/>
      </c>
      <c r="S426" s="22">
        <f>IF(A426=A425,O426-O425,"")</f>
        <v/>
      </c>
      <c r="T426" s="22">
        <f>IF(A426=A425,P426-P425,"")</f>
        <v/>
      </c>
      <c r="U426" s="22">
        <f>IF(A426=A425,Q426-Q425,"")</f>
        <v/>
      </c>
      <c r="V426" s="22">
        <f>IF(A426=A425,R426-R425,"")</f>
        <v/>
      </c>
      <c r="W426" s="22">
        <f>IF(S426="","",D426-S426)</f>
        <v/>
      </c>
      <c r="X426" s="22">
        <f>IF(T426="","",D426-T426)</f>
        <v/>
      </c>
      <c r="Y426" s="22">
        <f>IF(U426="","",F426-U426)</f>
        <v/>
      </c>
      <c r="Z426" s="22">
        <f>IF(V426="","",F426-V426)</f>
        <v/>
      </c>
      <c r="AA426" s="6" t="n">
        <v>57650061.10043988</v>
      </c>
      <c r="AB426" s="6" t="n">
        <v>48532541.74257797</v>
      </c>
      <c r="AC426" s="6" t="n">
        <v>9914243.639601897</v>
      </c>
      <c r="AD426" s="6" t="n">
        <v>5356946.751276285</v>
      </c>
      <c r="AE426" s="6" t="n">
        <v>5621688.970374206</v>
      </c>
      <c r="AF426" s="6" t="n">
        <v>57606592.94093453</v>
      </c>
      <c r="AG426" s="6" t="n">
        <v>9796686.769527493</v>
      </c>
      <c r="AH426" s="6" t="n">
        <v>9952210.780736407</v>
      </c>
      <c r="AI426" s="6" t="n">
        <v>8891677.291471647</v>
      </c>
      <c r="AJ426" s="6" t="n">
        <v>7811424.418616849</v>
      </c>
      <c r="AK426" s="6" t="n">
        <v>7804603.400460955</v>
      </c>
      <c r="AL426" s="6" t="n">
        <v>9649254.74198941</v>
      </c>
      <c r="AM426" s="6" t="n">
        <v>9309822.721891459</v>
      </c>
      <c r="AN426" s="6" t="n">
        <v>9347753.811208043</v>
      </c>
      <c r="AO426" s="6" t="n">
        <v>7992323.409327906</v>
      </c>
      <c r="AP426" s="6" t="n">
        <v>6990142.62206435</v>
      </c>
      <c r="AQ426" s="6" t="n">
        <v>6987008.524610266</v>
      </c>
      <c r="AR426" s="6" t="n">
        <v>9179341.007939357</v>
      </c>
    </row>
    <row r="427">
      <c r="A427" t="inlineStr">
        <is>
          <t>MyT</t>
        </is>
      </c>
      <c r="B427" s="8" t="n">
        <v>202605</v>
      </c>
      <c r="C427" s="8" t="n">
        <v>2026</v>
      </c>
      <c r="D427" s="9" t="n">
        <v>3899639.431798732</v>
      </c>
      <c r="E427" s="10" t="n">
        <v>0.1130230451979444</v>
      </c>
      <c r="F427" s="22">
        <f>D427*(1-E427)</f>
        <v/>
      </c>
      <c r="G427" s="10" t="n">
        <v>0.960191</v>
      </c>
      <c r="H427" s="10" t="n">
        <v>0.02732769014872262</v>
      </c>
      <c r="I427" s="10" t="n">
        <v>0.1847960519133111</v>
      </c>
      <c r="J427" s="10" t="n">
        <v>0.160912212529956</v>
      </c>
      <c r="K427" s="9" t="n">
        <v>54792359.2118846</v>
      </c>
      <c r="L427" s="18" t="n">
        <v>57064020.8165715</v>
      </c>
      <c r="M427" s="18" t="n">
        <v>53028714.94979517</v>
      </c>
      <c r="N427" s="23">
        <f>IF(L427=0,"",M427/L427)</f>
        <v/>
      </c>
      <c r="O427" s="9" t="n">
        <v>66415119.48431671</v>
      </c>
      <c r="P427" s="22">
        <f>M427*G427*(1+H427+I427)</f>
        <v/>
      </c>
      <c r="Q427" s="9" t="n">
        <v>57598359.73379624</v>
      </c>
      <c r="R427" s="22">
        <f>P427-M427*G427*J427</f>
        <v/>
      </c>
      <c r="S427" s="22">
        <f>IF(A427=A426,O427-O426,"")</f>
        <v/>
      </c>
      <c r="T427" s="22">
        <f>IF(A427=A426,P427-P426,"")</f>
        <v/>
      </c>
      <c r="U427" s="22">
        <f>IF(A427=A426,Q427-Q426,"")</f>
        <v/>
      </c>
      <c r="V427" s="22">
        <f>IF(A427=A426,R427-R426,"")</f>
        <v/>
      </c>
      <c r="W427" s="22">
        <f>IF(S427="","",D427-S427)</f>
        <v/>
      </c>
      <c r="X427" s="22">
        <f>IF(T427="","",D427-T427)</f>
        <v/>
      </c>
      <c r="Y427" s="22">
        <f>IF(U427="","",F427-U427)</f>
        <v/>
      </c>
      <c r="Z427" s="22">
        <f>IF(V427="","",F427-V427)</f>
        <v/>
      </c>
      <c r="AA427" s="9" t="n">
        <v>51900211.71339244</v>
      </c>
      <c r="AB427" s="9" t="n">
        <v>43228636.35869484</v>
      </c>
      <c r="AC427" s="9" t="n">
        <v>3100179.709283662</v>
      </c>
      <c r="AD427" s="9" t="n">
        <v>4941816.540938877</v>
      </c>
      <c r="AE427" s="9" t="n">
        <v>5296421.841859323</v>
      </c>
      <c r="AF427" s="9" t="n">
        <v>51897435.66545732</v>
      </c>
      <c r="AG427" s="9" t="n">
        <v>6239600.895641958</v>
      </c>
      <c r="AH427" s="9" t="n">
        <v>6408879.540459028</v>
      </c>
      <c r="AI427" s="9" t="n">
        <v>11081880.19102141</v>
      </c>
      <c r="AJ427" s="9" t="n">
        <v>3978390.616987288</v>
      </c>
      <c r="AK427" s="9" t="n">
        <v>3853815.728793037</v>
      </c>
      <c r="AL427" s="9" t="n">
        <v>6195522.052834263</v>
      </c>
      <c r="AM427" s="9" t="n">
        <v>5775315.937239382</v>
      </c>
      <c r="AN427" s="9" t="n">
        <v>5876716.870714325</v>
      </c>
      <c r="AO427" s="9" t="n">
        <v>9737045.398310544</v>
      </c>
      <c r="AP427" s="9" t="n">
        <v>3553864.884522882</v>
      </c>
      <c r="AQ427" s="9" t="n">
        <v>3447146.025042922</v>
      </c>
      <c r="AR427" s="9" t="n">
        <v>5736872.189083647</v>
      </c>
    </row>
    <row r="428">
      <c r="A428" s="4" t="inlineStr">
        <is>
          <t>RC</t>
        </is>
      </c>
      <c r="B428" s="5" t="n">
        <v>202201</v>
      </c>
      <c r="C428" s="5" t="n">
        <v>2022</v>
      </c>
      <c r="D428" s="6" t="n">
        <v>1973353.787942795</v>
      </c>
      <c r="E428" s="11" t="n">
        <v>0.3334660142657401</v>
      </c>
      <c r="F428" s="22">
        <f>D428*(1-E428)</f>
        <v/>
      </c>
      <c r="G428" s="11" t="n">
        <v>0.6300091653823073</v>
      </c>
      <c r="H428" s="11" t="n">
        <v>0.06046858712369956</v>
      </c>
      <c r="I428" s="11" t="n">
        <v>0.1466141846043515</v>
      </c>
      <c r="J428" s="11" t="n">
        <v>0.3863793436018866</v>
      </c>
      <c r="K428" s="6" t="n">
        <v>4164369.889974483</v>
      </c>
      <c r="L428" s="18" t="n">
        <v>6610014.772479422</v>
      </c>
      <c r="M428" s="18" t="n">
        <v>6630719.972938368</v>
      </c>
      <c r="N428" s="23">
        <f>IF(L428=0,"",M428/L428)</f>
        <v/>
      </c>
      <c r="O428" s="6" t="n">
        <v>5026739.149291238</v>
      </c>
      <c r="P428" s="22">
        <f>M428*G428*(1+H428+I428)</f>
        <v/>
      </c>
      <c r="Q428" s="6" t="n">
        <v>3417712.644687436</v>
      </c>
      <c r="R428" s="22">
        <f>P428-M428*G428*J428</f>
        <v/>
      </c>
      <c r="S428" s="22">
        <f>IF(A428=A427,O428-O427,"")</f>
        <v/>
      </c>
      <c r="T428" s="22">
        <f>IF(A428=A427,P428-P427,"")</f>
        <v/>
      </c>
      <c r="U428" s="22">
        <f>IF(A428=A427,Q428-Q427,"")</f>
        <v/>
      </c>
      <c r="V428" s="22">
        <f>IF(A428=A427,R428-R427,"")</f>
        <v/>
      </c>
      <c r="W428" s="22">
        <f>IF(S428="","",D428-S428)</f>
        <v/>
      </c>
      <c r="X428" s="22">
        <f>IF(T428="","",D428-T428)</f>
        <v/>
      </c>
      <c r="Y428" s="22">
        <f>IF(U428="","",F428-U428)</f>
        <v/>
      </c>
      <c r="Z428" s="22">
        <f>IF(V428="","",F428-V428)</f>
        <v/>
      </c>
      <c r="AA428" s="6" t="n">
        <v>6630719.972938368</v>
      </c>
      <c r="AB428" s="6" t="n">
        <v>5726920.772964511</v>
      </c>
      <c r="AC428" s="6" t="n">
        <v>2192913.986970423</v>
      </c>
      <c r="AD428" s="6" t="n">
        <v>938978.4809522579</v>
      </c>
      <c r="AE428" s="6" t="n">
        <v>694335.8185597964</v>
      </c>
      <c r="AF428" s="6" t="n">
        <v>6553370.051976849</v>
      </c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</row>
    <row r="429">
      <c r="A429" t="inlineStr">
        <is>
          <t>RC</t>
        </is>
      </c>
      <c r="B429" s="8" t="n">
        <v>202202</v>
      </c>
      <c r="C429" s="8" t="n">
        <v>2022</v>
      </c>
      <c r="D429" s="9" t="n">
        <v>222782.8827968153</v>
      </c>
      <c r="E429" s="10" t="n">
        <v>0.3334660142657401</v>
      </c>
      <c r="F429" s="22">
        <f>D429*(1-E429)</f>
        <v/>
      </c>
      <c r="G429" s="10" t="n">
        <v>0.5881954171504892</v>
      </c>
      <c r="H429" s="10" t="n">
        <v>0.06476726735755896</v>
      </c>
      <c r="I429" s="10" t="n">
        <v>0.1128688564530179</v>
      </c>
      <c r="J429" s="10" t="n">
        <v>0.4407703705437823</v>
      </c>
      <c r="K429" s="9" t="n">
        <v>4584218.182659883</v>
      </c>
      <c r="L429" s="18" t="n">
        <v>7793699.251973287</v>
      </c>
      <c r="M429" s="18" t="n">
        <v>5835619.561961652</v>
      </c>
      <c r="N429" s="23">
        <f>IF(L429=0,"",M429/L429)</f>
        <v/>
      </c>
      <c r="O429" s="9" t="n">
        <v>5398540.931329552</v>
      </c>
      <c r="P429" s="22">
        <f>M429*G429*(1+H429+I429)</f>
        <v/>
      </c>
      <c r="Q429" s="9" t="n">
        <v>3377953.384305011</v>
      </c>
      <c r="R429" s="22">
        <f>P429-M429*G429*J429</f>
        <v/>
      </c>
      <c r="S429" s="22">
        <f>IF(A429=A428,O429-O428,"")</f>
        <v/>
      </c>
      <c r="T429" s="22">
        <f>IF(A429=A428,P429-P428,"")</f>
        <v/>
      </c>
      <c r="U429" s="22">
        <f>IF(A429=A428,Q429-Q428,"")</f>
        <v/>
      </c>
      <c r="V429" s="22">
        <f>IF(A429=A428,R429-R428,"")</f>
        <v/>
      </c>
      <c r="W429" s="22">
        <f>IF(S429="","",D429-S429)</f>
        <v/>
      </c>
      <c r="X429" s="22">
        <f>IF(T429="","",D429-T429)</f>
        <v/>
      </c>
      <c r="Y429" s="22">
        <f>IF(U429="","",F429-U429)</f>
        <v/>
      </c>
      <c r="Z429" s="22">
        <f>IF(V429="","",F429-V429)</f>
        <v/>
      </c>
      <c r="AA429" s="9" t="n">
        <v>5835619.561961652</v>
      </c>
      <c r="AB429" s="9" t="n">
        <v>4971271.9970388</v>
      </c>
      <c r="AC429" s="9" t="n">
        <v>988537.7700447494</v>
      </c>
      <c r="AD429" s="9" t="n">
        <v>730985.9211803828</v>
      </c>
      <c r="AE429" s="9" t="n">
        <v>493292.787619788</v>
      </c>
      <c r="AF429" s="9" t="n">
        <v>5766221.56890194</v>
      </c>
      <c r="AG429" s="9" t="n">
        <v>1223049.825703524</v>
      </c>
      <c r="AH429" s="9" t="n">
        <v>1134451.166455641</v>
      </c>
      <c r="AI429" s="9" t="n">
        <v>1205694.709075756</v>
      </c>
      <c r="AJ429" s="9" t="n">
        <v>430511.4089656994</v>
      </c>
      <c r="AK429" s="9" t="n">
        <v>409112.538723039</v>
      </c>
      <c r="AL429" s="9" t="n">
        <v>1212297.896756753</v>
      </c>
      <c r="AM429" s="9" t="n">
        <v>1047630.234319317</v>
      </c>
      <c r="AN429" s="9" t="n">
        <v>954946.67882289</v>
      </c>
      <c r="AO429" s="9" t="n">
        <v>853886.9475927299</v>
      </c>
      <c r="AP429" s="9" t="n">
        <v>317167.1344125096</v>
      </c>
      <c r="AQ429" s="9" t="n">
        <v>293695.6887249436</v>
      </c>
      <c r="AR429" s="9" t="n">
        <v>1037714.956603727</v>
      </c>
    </row>
    <row r="430">
      <c r="A430" s="4" t="inlineStr">
        <is>
          <t>RC</t>
        </is>
      </c>
      <c r="B430" s="5" t="n">
        <v>202203</v>
      </c>
      <c r="C430" s="5" t="n">
        <v>2022</v>
      </c>
      <c r="D430" s="6" t="n">
        <v>1464114.82526909</v>
      </c>
      <c r="E430" s="11" t="n">
        <v>0.3334660142657401</v>
      </c>
      <c r="F430" s="22">
        <f>D430*(1-E430)</f>
        <v/>
      </c>
      <c r="G430" s="11" t="n">
        <v>0.6112517934567353</v>
      </c>
      <c r="H430" s="11" t="n">
        <v>0.06232398763327742</v>
      </c>
      <c r="I430" s="11" t="n">
        <v>0.1739649127665685</v>
      </c>
      <c r="J430" s="11" t="n">
        <v>0.4192191564453618</v>
      </c>
      <c r="K430" s="6" t="n">
        <v>4944522.522635751</v>
      </c>
      <c r="L430" s="18" t="n">
        <v>8089174.666750041</v>
      </c>
      <c r="M430" s="18" t="n">
        <v>6279364.150009044</v>
      </c>
      <c r="N430" s="23">
        <f>IF(L430=0,"",M430/L430)</f>
        <v/>
      </c>
      <c r="O430" s="6" t="n">
        <v>6112858.312511625</v>
      </c>
      <c r="P430" s="22">
        <f>M430*G430*(1+H430+I430)</f>
        <v/>
      </c>
      <c r="Q430" s="6" t="n">
        <v>4040019.751547174</v>
      </c>
      <c r="R430" s="22">
        <f>P430-M430*G430*J430</f>
        <v/>
      </c>
      <c r="S430" s="22">
        <f>IF(A430=A429,O430-O429,"")</f>
        <v/>
      </c>
      <c r="T430" s="22">
        <f>IF(A430=A429,P430-P429,"")</f>
        <v/>
      </c>
      <c r="U430" s="22">
        <f>IF(A430=A429,Q430-Q429,"")</f>
        <v/>
      </c>
      <c r="V430" s="22">
        <f>IF(A430=A429,R430-R429,"")</f>
        <v/>
      </c>
      <c r="W430" s="22">
        <f>IF(S430="","",D430-S430)</f>
        <v/>
      </c>
      <c r="X430" s="22">
        <f>IF(T430="","",D430-T430)</f>
        <v/>
      </c>
      <c r="Y430" s="22">
        <f>IF(U430="","",F430-U430)</f>
        <v/>
      </c>
      <c r="Z430" s="22">
        <f>IF(V430="","",F430-V430)</f>
        <v/>
      </c>
      <c r="AA430" s="6" t="n">
        <v>6279364.150009044</v>
      </c>
      <c r="AB430" s="6" t="n">
        <v>5344589.27099758</v>
      </c>
      <c r="AC430" s="6" t="n">
        <v>796007.3472775751</v>
      </c>
      <c r="AD430" s="6" t="n">
        <v>703778.8209603343</v>
      </c>
      <c r="AE430" s="6" t="n">
        <v>435745.2530959757</v>
      </c>
      <c r="AF430" s="6" t="n">
        <v>6192289.895612933</v>
      </c>
      <c r="AG430" s="6" t="n">
        <v>761118.9717151399</v>
      </c>
      <c r="AH430" s="6" t="n">
        <v>868796.792378023</v>
      </c>
      <c r="AI430" s="6" t="n">
        <v>1547325.473890448</v>
      </c>
      <c r="AJ430" s="6" t="n">
        <v>1438620.019089679</v>
      </c>
      <c r="AK430" s="6" t="n">
        <v>1476523.325794891</v>
      </c>
      <c r="AL430" s="6" t="n">
        <v>778848.9621147921</v>
      </c>
      <c r="AM430" s="6" t="n">
        <v>369026.292012962</v>
      </c>
      <c r="AN430" s="6" t="n">
        <v>461259.4704489275</v>
      </c>
      <c r="AO430" s="6" t="n">
        <v>1006781.172136973</v>
      </c>
      <c r="AP430" s="6" t="n">
        <v>941214.9630087235</v>
      </c>
      <c r="AQ430" s="6" t="n">
        <v>972059.1911192548</v>
      </c>
      <c r="AR430" s="6" t="n">
        <v>382435.7007641112</v>
      </c>
    </row>
    <row r="431">
      <c r="A431" t="inlineStr">
        <is>
          <t>RC</t>
        </is>
      </c>
      <c r="B431" s="8" t="n">
        <v>202204</v>
      </c>
      <c r="C431" s="8" t="n">
        <v>2022</v>
      </c>
      <c r="D431" s="9" t="n">
        <v>898619.56723371</v>
      </c>
      <c r="E431" s="10" t="n">
        <v>0.3334660142657401</v>
      </c>
      <c r="F431" s="22">
        <f>D431*(1-E431)</f>
        <v/>
      </c>
      <c r="G431" s="10" t="n">
        <v>0.5887576913921546</v>
      </c>
      <c r="H431" s="10" t="n">
        <v>0.06470534724390593</v>
      </c>
      <c r="I431" s="10" t="n">
        <v>0.092259151360091</v>
      </c>
      <c r="J431" s="10" t="n">
        <v>0.4172723248801963</v>
      </c>
      <c r="K431" s="9" t="n">
        <v>4639535.76354244</v>
      </c>
      <c r="L431" s="18" t="n">
        <v>7880212.575349913</v>
      </c>
      <c r="M431" s="18" t="n">
        <v>6112276.085491497</v>
      </c>
      <c r="N431" s="23">
        <f>IF(L431=0,"",M431/L431)</f>
        <v/>
      </c>
      <c r="O431" s="9" t="n">
        <v>5367778.168422191</v>
      </c>
      <c r="P431" s="22">
        <f>M431*G431*(1+H431+I431)</f>
        <v/>
      </c>
      <c r="Q431" s="9" t="n">
        <v>3431828.294004021</v>
      </c>
      <c r="R431" s="22">
        <f>P431-M431*G431*J431</f>
        <v/>
      </c>
      <c r="S431" s="22">
        <f>IF(A431=A430,O431-O430,"")</f>
        <v/>
      </c>
      <c r="T431" s="22">
        <f>IF(A431=A430,P431-P430,"")</f>
        <v/>
      </c>
      <c r="U431" s="22">
        <f>IF(A431=A430,Q431-Q430,"")</f>
        <v/>
      </c>
      <c r="V431" s="22">
        <f>IF(A431=A430,R431-R430,"")</f>
        <v/>
      </c>
      <c r="W431" s="22">
        <f>IF(S431="","",D431-S431)</f>
        <v/>
      </c>
      <c r="X431" s="22">
        <f>IF(T431="","",D431-T431)</f>
        <v/>
      </c>
      <c r="Y431" s="22">
        <f>IF(U431="","",F431-U431)</f>
        <v/>
      </c>
      <c r="Z431" s="22">
        <f>IF(V431="","",F431-V431)</f>
        <v/>
      </c>
      <c r="AA431" s="9" t="n">
        <v>6112276.085491497</v>
      </c>
      <c r="AB431" s="9" t="n">
        <v>5221881.387767432</v>
      </c>
      <c r="AC431" s="9" t="n">
        <v>702311.3733777393</v>
      </c>
      <c r="AD431" s="9" t="n">
        <v>678160.5840225894</v>
      </c>
      <c r="AE431" s="9" t="n">
        <v>419452.0841572844</v>
      </c>
      <c r="AF431" s="9" t="n">
        <v>6036401.408131401</v>
      </c>
      <c r="AG431" s="9" t="n">
        <v>1480323.596769888</v>
      </c>
      <c r="AH431" s="9" t="n">
        <v>1380441.068914431</v>
      </c>
      <c r="AI431" s="9" t="n">
        <v>1021754.765005318</v>
      </c>
      <c r="AJ431" s="9" t="n">
        <v>968509.9964503715</v>
      </c>
      <c r="AK431" s="9" t="n">
        <v>942186.2901961179</v>
      </c>
      <c r="AL431" s="9" t="n">
        <v>1466206.679211088</v>
      </c>
      <c r="AM431" s="9" t="n">
        <v>1073203.977590008</v>
      </c>
      <c r="AN431" s="9" t="n">
        <v>994110.7690787471</v>
      </c>
      <c r="AO431" s="9" t="n">
        <v>690658.4655792457</v>
      </c>
      <c r="AP431" s="9" t="n">
        <v>655113.9352319089</v>
      </c>
      <c r="AQ431" s="9" t="n">
        <v>633915.908520665</v>
      </c>
      <c r="AR431" s="9" t="n">
        <v>1062759.397941311</v>
      </c>
    </row>
    <row r="432">
      <c r="A432" s="4" t="inlineStr">
        <is>
          <t>RC</t>
        </is>
      </c>
      <c r="B432" s="5" t="n">
        <v>202205</v>
      </c>
      <c r="C432" s="5" t="n">
        <v>2022</v>
      </c>
      <c r="D432" s="6" t="n">
        <v>765494.5463777907</v>
      </c>
      <c r="E432" s="11" t="n">
        <v>0.3334660142657401</v>
      </c>
      <c r="F432" s="22">
        <f>D432*(1-E432)</f>
        <v/>
      </c>
      <c r="G432" s="11" t="n">
        <v>0.6209590678798015</v>
      </c>
      <c r="H432" s="11" t="n">
        <v>0.06134976286244192</v>
      </c>
      <c r="I432" s="11" t="n">
        <v>0.1059378781552218</v>
      </c>
      <c r="J432" s="11" t="n">
        <v>0.3936848825120704</v>
      </c>
      <c r="K432" s="6" t="n">
        <v>4682958.727997764</v>
      </c>
      <c r="L432" s="18" t="n">
        <v>7541493.425625021</v>
      </c>
      <c r="M432" s="18" t="n">
        <v>5867184.690226578</v>
      </c>
      <c r="N432" s="23">
        <f>IF(L432=0,"",M432/L432)</f>
        <v/>
      </c>
      <c r="O432" s="6" t="n">
        <v>5466359.846587589</v>
      </c>
      <c r="P432" s="22">
        <f>M432*G432*(1+H432+I432)</f>
        <v/>
      </c>
      <c r="Q432" s="6" t="n">
        <v>3622749.789946914</v>
      </c>
      <c r="R432" s="22">
        <f>P432-M432*G432*J432</f>
        <v/>
      </c>
      <c r="S432" s="22">
        <f>IF(A432=A431,O432-O431,"")</f>
        <v/>
      </c>
      <c r="T432" s="22">
        <f>IF(A432=A431,P432-P431,"")</f>
        <v/>
      </c>
      <c r="U432" s="22">
        <f>IF(A432=A431,Q432-Q431,"")</f>
        <v/>
      </c>
      <c r="V432" s="22">
        <f>IF(A432=A431,R432-R431,"")</f>
        <v/>
      </c>
      <c r="W432" s="22">
        <f>IF(S432="","",D432-S432)</f>
        <v/>
      </c>
      <c r="X432" s="22">
        <f>IF(T432="","",D432-T432)</f>
        <v/>
      </c>
      <c r="Y432" s="22">
        <f>IF(U432="","",F432-U432)</f>
        <v/>
      </c>
      <c r="Z432" s="22">
        <f>IF(V432="","",F432-V432)</f>
        <v/>
      </c>
      <c r="AA432" s="6" t="n">
        <v>5867184.690226578</v>
      </c>
      <c r="AB432" s="6" t="n">
        <v>5045988.302658654</v>
      </c>
      <c r="AC432" s="6" t="n">
        <v>787352.962076597</v>
      </c>
      <c r="AD432" s="6" t="n">
        <v>824242.4960635691</v>
      </c>
      <c r="AE432" s="6" t="n">
        <v>578352.9181564857</v>
      </c>
      <c r="AF432" s="6" t="n">
        <v>5827808.369738661</v>
      </c>
      <c r="AG432" s="6" t="n">
        <v>676246.8169315566</v>
      </c>
      <c r="AH432" s="6" t="n">
        <v>664969.3252753104</v>
      </c>
      <c r="AI432" s="6" t="n">
        <v>673185.9869839044</v>
      </c>
      <c r="AJ432" s="6" t="n">
        <v>629996.2212649661</v>
      </c>
      <c r="AK432" s="6" t="n">
        <v>632001.3722753543</v>
      </c>
      <c r="AL432" s="6" t="n">
        <v>653104.5776910955</v>
      </c>
      <c r="AM432" s="6" t="n">
        <v>353668.3980131148</v>
      </c>
      <c r="AN432" s="6" t="n">
        <v>360384.7377203054</v>
      </c>
      <c r="AO432" s="6" t="n">
        <v>437859.163255524</v>
      </c>
      <c r="AP432" s="6" t="n">
        <v>409620.6738291138</v>
      </c>
      <c r="AQ432" s="6" t="n">
        <v>415072.6280168319</v>
      </c>
      <c r="AR432" s="6" t="n">
        <v>339540.4427210361</v>
      </c>
    </row>
    <row r="433">
      <c r="A433" t="inlineStr">
        <is>
          <t>RC</t>
        </is>
      </c>
      <c r="B433" s="8" t="n">
        <v>202206</v>
      </c>
      <c r="C433" s="8" t="n">
        <v>2022</v>
      </c>
      <c r="D433" s="9" t="n">
        <v>2610516.284938889</v>
      </c>
      <c r="E433" s="10" t="n">
        <v>0.3334660142657401</v>
      </c>
      <c r="F433" s="22">
        <f>D433*(1-E433)</f>
        <v/>
      </c>
      <c r="G433" s="10" t="n">
        <v>0.7758242390875748</v>
      </c>
      <c r="H433" s="10" t="n">
        <v>0.0491035909862063</v>
      </c>
      <c r="I433" s="10" t="n">
        <v>0.1011375298841317</v>
      </c>
      <c r="J433" s="10" t="n">
        <v>0.3785598424684826</v>
      </c>
      <c r="K433" s="9" t="n">
        <v>6916842.634577085</v>
      </c>
      <c r="L433" s="18" t="n">
        <v>8915476.323235003</v>
      </c>
      <c r="M433" s="18" t="n">
        <v>7439696.598371647</v>
      </c>
      <c r="N433" s="23">
        <f>IF(L433=0,"",M433/L433)</f>
        <v/>
      </c>
      <c r="O433" s="9" t="n">
        <v>7956036.824879688</v>
      </c>
      <c r="P433" s="22">
        <f>M433*G433*(1+H433+I433)</f>
        <v/>
      </c>
      <c r="Q433" s="9" t="n">
        <v>5337597.966754902</v>
      </c>
      <c r="R433" s="22">
        <f>P433-M433*G433*J433</f>
        <v/>
      </c>
      <c r="S433" s="22">
        <f>IF(A433=A432,O433-O432,"")</f>
        <v/>
      </c>
      <c r="T433" s="22">
        <f>IF(A433=A432,P433-P432,"")</f>
        <v/>
      </c>
      <c r="U433" s="22">
        <f>IF(A433=A432,Q433-Q432,"")</f>
        <v/>
      </c>
      <c r="V433" s="22">
        <f>IF(A433=A432,R433-R432,"")</f>
        <v/>
      </c>
      <c r="W433" s="22">
        <f>IF(S433="","",D433-S433)</f>
        <v/>
      </c>
      <c r="X433" s="22">
        <f>IF(T433="","",D433-T433)</f>
        <v/>
      </c>
      <c r="Y433" s="22">
        <f>IF(U433="","",F433-U433)</f>
        <v/>
      </c>
      <c r="Z433" s="22">
        <f>IF(V433="","",F433-V433)</f>
        <v/>
      </c>
      <c r="AA433" s="9" t="n">
        <v>7439696.598371647</v>
      </c>
      <c r="AB433" s="9" t="n">
        <v>6462305.507093095</v>
      </c>
      <c r="AC433" s="9" t="n">
        <v>755441.9581388949</v>
      </c>
      <c r="AD433" s="9" t="n">
        <v>835115.5968986045</v>
      </c>
      <c r="AE433" s="9" t="n">
        <v>556327.8892070063</v>
      </c>
      <c r="AF433" s="9" t="n">
        <v>7353755.329313532</v>
      </c>
      <c r="AG433" s="9" t="n">
        <v>224200.5748732006</v>
      </c>
      <c r="AH433" s="9" t="n">
        <v>501175.447224746</v>
      </c>
      <c r="AI433" s="9" t="n">
        <v>2507074.481354519</v>
      </c>
      <c r="AJ433" s="9" t="n">
        <v>2462713.856158938</v>
      </c>
      <c r="AK433" s="9" t="n">
        <v>2533269.736735282</v>
      </c>
      <c r="AL433" s="9" t="n">
        <v>272351.8220017999</v>
      </c>
      <c r="AM433" s="9" t="n">
        <v>104385.6516465144</v>
      </c>
      <c r="AN433" s="9" t="n">
        <v>295056.2397342124</v>
      </c>
      <c r="AO433" s="9" t="n">
        <v>1665948.192280584</v>
      </c>
      <c r="AP433" s="9" t="n">
        <v>1635969.291714864</v>
      </c>
      <c r="AQ433" s="9" t="n">
        <v>1684757.071691392</v>
      </c>
      <c r="AR433" s="9" t="n">
        <v>136922.3221062282</v>
      </c>
    </row>
    <row r="434">
      <c r="A434" s="4" t="inlineStr">
        <is>
          <t>RC</t>
        </is>
      </c>
      <c r="B434" s="5" t="n">
        <v>202207</v>
      </c>
      <c r="C434" s="5" t="n">
        <v>2022</v>
      </c>
      <c r="D434" s="6" t="n">
        <v>1288582.885138931</v>
      </c>
      <c r="E434" s="11" t="n">
        <v>0.3334660142657401</v>
      </c>
      <c r="F434" s="22">
        <f>D434*(1-E434)</f>
        <v/>
      </c>
      <c r="G434" s="11" t="n">
        <v>0.6906323099706988</v>
      </c>
      <c r="H434" s="11" t="n">
        <v>0.05115672200269031</v>
      </c>
      <c r="I434" s="11" t="n">
        <v>0.1505413840937454</v>
      </c>
      <c r="J434" s="11" t="n">
        <v>0.3490272094862963</v>
      </c>
      <c r="K434" s="6" t="n">
        <v>5606443.050985631</v>
      </c>
      <c r="L434" s="18" t="n">
        <v>8117840.665785667</v>
      </c>
      <c r="M434" s="18" t="n">
        <v>7594547.250285022</v>
      </c>
      <c r="N434" s="23">
        <f>IF(L434=0,"",M434/L434)</f>
        <v/>
      </c>
      <c r="O434" s="6" t="n">
        <v>6737251.996306955</v>
      </c>
      <c r="P434" s="22">
        <f>M434*G434*(1+H434+I434)</f>
        <v/>
      </c>
      <c r="Q434" s="6" t="n">
        <v>4780450.823077603</v>
      </c>
      <c r="R434" s="22">
        <f>P434-M434*G434*J434</f>
        <v/>
      </c>
      <c r="S434" s="22">
        <f>IF(A434=A433,O434-O433,"")</f>
        <v/>
      </c>
      <c r="T434" s="22">
        <f>IF(A434=A433,P434-P433,"")</f>
        <v/>
      </c>
      <c r="U434" s="22">
        <f>IF(A434=A433,Q434-Q433,"")</f>
        <v/>
      </c>
      <c r="V434" s="22">
        <f>IF(A434=A433,R434-R433,"")</f>
        <v/>
      </c>
      <c r="W434" s="22">
        <f>IF(S434="","",D434-S434)</f>
        <v/>
      </c>
      <c r="X434" s="22">
        <f>IF(T434="","",D434-T434)</f>
        <v/>
      </c>
      <c r="Y434" s="22">
        <f>IF(U434="","",F434-U434)</f>
        <v/>
      </c>
      <c r="Z434" s="22">
        <f>IF(V434="","",F434-V434)</f>
        <v/>
      </c>
      <c r="AA434" s="6" t="n">
        <v>7594547.250285022</v>
      </c>
      <c r="AB434" s="6" t="n">
        <v>6566986.861932954</v>
      </c>
      <c r="AC434" s="6" t="n">
        <v>771842.5111481887</v>
      </c>
      <c r="AD434" s="6" t="n">
        <v>866338.7485778598</v>
      </c>
      <c r="AE434" s="6" t="n">
        <v>588537.3449285082</v>
      </c>
      <c r="AF434" s="6" t="n">
        <v>7493645.239989016</v>
      </c>
      <c r="AG434" s="6" t="n">
        <v>1624701.818616979</v>
      </c>
      <c r="AH434" s="6" t="n">
        <v>1605297.5003754</v>
      </c>
      <c r="AI434" s="6" t="n">
        <v>1322151.470347651</v>
      </c>
      <c r="AJ434" s="6" t="n">
        <v>1314825.618130019</v>
      </c>
      <c r="AK434" s="6" t="n">
        <v>1296595.81210868</v>
      </c>
      <c r="AL434" s="6" t="n">
        <v>1631750.8848648</v>
      </c>
      <c r="AM434" s="6" t="n">
        <v>840656.3926373122</v>
      </c>
      <c r="AN434" s="6" t="n">
        <v>860614.9474154667</v>
      </c>
      <c r="AO434" s="6" t="n">
        <v>856634.8911255049</v>
      </c>
      <c r="AP434" s="6" t="n">
        <v>848687.4854818762</v>
      </c>
      <c r="AQ434" s="6" t="n">
        <v>845372.6061229556</v>
      </c>
      <c r="AR434" s="6" t="n">
        <v>848623.681502234</v>
      </c>
    </row>
    <row r="435">
      <c r="A435" t="inlineStr">
        <is>
          <t>RC</t>
        </is>
      </c>
      <c r="B435" s="8" t="n">
        <v>202208</v>
      </c>
      <c r="C435" s="8" t="n">
        <v>2022</v>
      </c>
      <c r="D435" s="9" t="n">
        <v>2143144.303982982</v>
      </c>
      <c r="E435" s="10" t="n">
        <v>0.3334660142657401</v>
      </c>
      <c r="F435" s="22">
        <f>D435*(1-E435)</f>
        <v/>
      </c>
      <c r="G435" s="10" t="n">
        <v>0.8855541630869047</v>
      </c>
      <c r="H435" s="10" t="n">
        <v>0.03989644191648114</v>
      </c>
      <c r="I435" s="10" t="n">
        <v>0.1803431440868769</v>
      </c>
      <c r="J435" s="10" t="n">
        <v>0.3763563850327364</v>
      </c>
      <c r="K435" s="9" t="n">
        <v>7730569.186127327</v>
      </c>
      <c r="L435" s="18" t="n">
        <v>8729640.160213081</v>
      </c>
      <c r="M435" s="18" t="n">
        <v>8392362.320457632</v>
      </c>
      <c r="N435" s="23">
        <f>IF(L435=0,"",M435/L435)</f>
        <v/>
      </c>
      <c r="O435" s="9" t="n">
        <v>9433146.543250326</v>
      </c>
      <c r="P435" s="22">
        <f>M435*G435*(1+H435+I435)</f>
        <v/>
      </c>
      <c r="Q435" s="9" t="n">
        <v>6523697.470113982</v>
      </c>
      <c r="R435" s="22">
        <f>P435-M435*G435*J435</f>
        <v/>
      </c>
      <c r="S435" s="22">
        <f>IF(A435=A434,O435-O434,"")</f>
        <v/>
      </c>
      <c r="T435" s="22">
        <f>IF(A435=A434,P435-P434,"")</f>
        <v/>
      </c>
      <c r="U435" s="22">
        <f>IF(A435=A434,Q435-Q434,"")</f>
        <v/>
      </c>
      <c r="V435" s="22">
        <f>IF(A435=A434,R435-R434,"")</f>
        <v/>
      </c>
      <c r="W435" s="22">
        <f>IF(S435="","",D435-S435)</f>
        <v/>
      </c>
      <c r="X435" s="22">
        <f>IF(T435="","",D435-T435)</f>
        <v/>
      </c>
      <c r="Y435" s="22">
        <f>IF(U435="","",F435-U435)</f>
        <v/>
      </c>
      <c r="Z435" s="22">
        <f>IF(V435="","",F435-V435)</f>
        <v/>
      </c>
      <c r="AA435" s="9" t="n">
        <v>8392362.320457632</v>
      </c>
      <c r="AB435" s="9" t="n">
        <v>7344655.491464928</v>
      </c>
      <c r="AC435" s="9" t="n">
        <v>761962.3811912877</v>
      </c>
      <c r="AD435" s="9" t="n">
        <v>960310.539843231</v>
      </c>
      <c r="AE435" s="9" t="n">
        <v>677865.055471496</v>
      </c>
      <c r="AF435" s="9" t="n">
        <v>8371008.364346719</v>
      </c>
      <c r="AG435" s="9" t="n">
        <v>-622589.4835271495</v>
      </c>
      <c r="AH435" s="9" t="n">
        <v>-343254.5739645879</v>
      </c>
      <c r="AI435" s="9" t="n">
        <v>1960353.15453603</v>
      </c>
      <c r="AJ435" s="9" t="n">
        <v>1824445.87356052</v>
      </c>
      <c r="AK435" s="9" t="n">
        <v>1899096.997484934</v>
      </c>
      <c r="AL435" s="9" t="n">
        <v>-683256.4102451527</v>
      </c>
      <c r="AM435" s="9" t="n">
        <v>-370877.0685459562</v>
      </c>
      <c r="AN435" s="9" t="n">
        <v>-193033.1587311588</v>
      </c>
      <c r="AO435" s="9" t="n">
        <v>1313584.981347088</v>
      </c>
      <c r="AP435" s="9" t="n">
        <v>1221005.693100101</v>
      </c>
      <c r="AQ435" s="9" t="n">
        <v>1268486.147040557</v>
      </c>
      <c r="AR435" s="9" t="n">
        <v>-414338.5504995706</v>
      </c>
    </row>
    <row r="436">
      <c r="A436" s="4" t="inlineStr">
        <is>
          <t>RC</t>
        </is>
      </c>
      <c r="B436" s="5" t="n">
        <v>202209</v>
      </c>
      <c r="C436" s="5" t="n">
        <v>2022</v>
      </c>
      <c r="D436" s="6" t="n">
        <v>2723660.844772968</v>
      </c>
      <c r="E436" s="11" t="n">
        <v>0.3334660142657401</v>
      </c>
      <c r="F436" s="22">
        <f>D436*(1-E436)</f>
        <v/>
      </c>
      <c r="G436" s="11" t="n">
        <v>0.6996489570805446</v>
      </c>
      <c r="H436" s="11" t="n">
        <v>0.05049759825212303</v>
      </c>
      <c r="I436" s="11" t="n">
        <v>0.184796653905111</v>
      </c>
      <c r="J436" s="11" t="n">
        <v>0.3549726494352724</v>
      </c>
      <c r="K436" s="6" t="n">
        <v>6786227.846535269</v>
      </c>
      <c r="L436" s="18" t="n">
        <v>9699475.398137452</v>
      </c>
      <c r="M436" s="18" t="n">
        <v>9704971.170802178</v>
      </c>
      <c r="N436" s="23">
        <f>IF(L436=0,"",M436/L436)</f>
        <v/>
      </c>
      <c r="O436" s="6" t="n">
        <v>8382988.252654382</v>
      </c>
      <c r="P436" s="22">
        <f>M436*G436*(1+H436+I436)</f>
        <v/>
      </c>
      <c r="Q436" s="6" t="n">
        <v>5974062.974298335</v>
      </c>
      <c r="R436" s="22">
        <f>P436-M436*G436*J436</f>
        <v/>
      </c>
      <c r="S436" s="22">
        <f>IF(A436=A435,O436-O435,"")</f>
        <v/>
      </c>
      <c r="T436" s="22">
        <f>IF(A436=A435,P436-P435,"")</f>
        <v/>
      </c>
      <c r="U436" s="22">
        <f>IF(A436=A435,Q436-Q435,"")</f>
        <v/>
      </c>
      <c r="V436" s="22">
        <f>IF(A436=A435,R436-R435,"")</f>
        <v/>
      </c>
      <c r="W436" s="22">
        <f>IF(S436="","",D436-S436)</f>
        <v/>
      </c>
      <c r="X436" s="22">
        <f>IF(T436="","",D436-T436)</f>
        <v/>
      </c>
      <c r="Y436" s="22">
        <f>IF(U436="","",F436-U436)</f>
        <v/>
      </c>
      <c r="Z436" s="22">
        <f>IF(V436="","",F436-V436)</f>
        <v/>
      </c>
      <c r="AA436" s="6" t="n">
        <v>9704971.170802178</v>
      </c>
      <c r="AB436" s="6" t="n">
        <v>8557815.559746301</v>
      </c>
      <c r="AC436" s="6" t="n">
        <v>855007.5910241684</v>
      </c>
      <c r="AD436" s="6" t="n">
        <v>981764.8435439894</v>
      </c>
      <c r="AE436" s="6" t="n">
        <v>690744.4595454447</v>
      </c>
      <c r="AF436" s="6" t="n">
        <v>9763003.713324592</v>
      </c>
      <c r="AG436" s="6" t="n">
        <v>3404610.822037847</v>
      </c>
      <c r="AH436" s="6" t="n">
        <v>3263925.996872584</v>
      </c>
      <c r="AI436" s="6" t="n">
        <v>2808069.029969968</v>
      </c>
      <c r="AJ436" s="6" t="n">
        <v>2912848.932055787</v>
      </c>
      <c r="AK436" s="6" t="n">
        <v>2859162.528563824</v>
      </c>
      <c r="AL436" s="6" t="n">
        <v>3331380.067028718</v>
      </c>
      <c r="AM436" s="6" t="n">
        <v>2109612.905854223</v>
      </c>
      <c r="AN436" s="6" t="n">
        <v>2033208.706504704</v>
      </c>
      <c r="AO436" s="6" t="n">
        <v>1858217.335229319</v>
      </c>
      <c r="AP436" s="6" t="n">
        <v>1928371.931964509</v>
      </c>
      <c r="AQ436" s="6" t="n">
        <v>1896543.349507987</v>
      </c>
      <c r="AR436" s="6" t="n">
        <v>2057911.826264506</v>
      </c>
    </row>
    <row r="437">
      <c r="A437" t="inlineStr">
        <is>
          <t>RC</t>
        </is>
      </c>
      <c r="B437" s="8" t="n">
        <v>202210</v>
      </c>
      <c r="C437" s="8" t="n">
        <v>2022</v>
      </c>
      <c r="D437" s="9" t="n">
        <v>1178291.729036915</v>
      </c>
      <c r="E437" s="10" t="n">
        <v>0.3334660142657401</v>
      </c>
      <c r="F437" s="22">
        <f>D437*(1-E437)</f>
        <v/>
      </c>
      <c r="G437" s="10" t="n">
        <v>0.7393002740943241</v>
      </c>
      <c r="H437" s="10" t="n">
        <v>0.04778905815335929</v>
      </c>
      <c r="I437" s="10" t="n">
        <v>0.2067342921035201</v>
      </c>
      <c r="J437" s="10" t="n">
        <v>0.3574319955969416</v>
      </c>
      <c r="K437" s="9" t="n">
        <v>7557518.774072072</v>
      </c>
      <c r="L437" s="18" t="n">
        <v>10222529.38203002</v>
      </c>
      <c r="M437" s="18" t="n">
        <v>9512600.260972979</v>
      </c>
      <c r="N437" s="23">
        <f>IF(L437=0,"",M437/L437)</f>
        <v/>
      </c>
      <c r="O437" s="9" t="n">
        <v>9481083.77207816</v>
      </c>
      <c r="P437" s="22">
        <f>M437*G437*(1+H437+I437)</f>
        <v/>
      </c>
      <c r="Q437" s="9" t="n">
        <v>6779784.754900228</v>
      </c>
      <c r="R437" s="22">
        <f>P437-M437*G437*J437</f>
        <v/>
      </c>
      <c r="S437" s="22">
        <f>IF(A437=A436,O437-O436,"")</f>
        <v/>
      </c>
      <c r="T437" s="22">
        <f>IF(A437=A436,P437-P436,"")</f>
        <v/>
      </c>
      <c r="U437" s="22">
        <f>IF(A437=A436,Q437-Q436,"")</f>
        <v/>
      </c>
      <c r="V437" s="22">
        <f>IF(A437=A436,R437-R436,"")</f>
        <v/>
      </c>
      <c r="W437" s="22">
        <f>IF(S437="","",D437-S437)</f>
        <v/>
      </c>
      <c r="X437" s="22">
        <f>IF(T437="","",D437-T437)</f>
        <v/>
      </c>
      <c r="Y437" s="22">
        <f>IF(U437="","",F437-U437)</f>
        <v/>
      </c>
      <c r="Z437" s="22">
        <f>IF(V437="","",F437-V437)</f>
        <v/>
      </c>
      <c r="AA437" s="9" t="n">
        <v>9512600.260972979</v>
      </c>
      <c r="AB437" s="9" t="n">
        <v>8309124.438610436</v>
      </c>
      <c r="AC437" s="9" t="n">
        <v>1362771.150327818</v>
      </c>
      <c r="AD437" s="9" t="n">
        <v>1067785.588098152</v>
      </c>
      <c r="AE437" s="9" t="n">
        <v>786876.776829019</v>
      </c>
      <c r="AF437" s="9" t="n">
        <v>9549854.041772375</v>
      </c>
      <c r="AG437" s="9" t="n">
        <v>743383.6300920125</v>
      </c>
      <c r="AH437" s="9" t="n">
        <v>868115.8383975334</v>
      </c>
      <c r="AI437" s="9" t="n">
        <v>653322.5179485629</v>
      </c>
      <c r="AJ437" s="9" t="n">
        <v>1036465.403724867</v>
      </c>
      <c r="AK437" s="9" t="n">
        <v>1045478.879423676</v>
      </c>
      <c r="AL437" s="9" t="n">
        <v>758987.8072978619</v>
      </c>
      <c r="AM437" s="9" t="n">
        <v>453873.7463197326</v>
      </c>
      <c r="AN437" s="9" t="n">
        <v>545491.2420850107</v>
      </c>
      <c r="AO437" s="9" t="n">
        <v>408167.4911893676</v>
      </c>
      <c r="AP437" s="9" t="n">
        <v>681879.6131756955</v>
      </c>
      <c r="AQ437" s="9" t="n">
        <v>688939.7851255909</v>
      </c>
      <c r="AR437" s="9" t="n">
        <v>464909.4748800686</v>
      </c>
    </row>
    <row r="438">
      <c r="A438" s="4" t="inlineStr">
        <is>
          <t>RC</t>
        </is>
      </c>
      <c r="B438" s="5" t="n">
        <v>202211</v>
      </c>
      <c r="C438" s="5" t="n">
        <v>2022</v>
      </c>
      <c r="D438" s="6" t="n">
        <v>859682.7156928957</v>
      </c>
      <c r="E438" s="11" t="n">
        <v>0.3334660142657401</v>
      </c>
      <c r="F438" s="22">
        <f>D438*(1-E438)</f>
        <v/>
      </c>
      <c r="G438" s="11" t="n">
        <v>0.6090841042154032</v>
      </c>
      <c r="H438" s="11" t="n">
        <v>0.05800577408145965</v>
      </c>
      <c r="I438" s="11" t="n">
        <v>0.226798713889204</v>
      </c>
      <c r="J438" s="11" t="n">
        <v>0.3597290243722799</v>
      </c>
      <c r="K438" s="6" t="n">
        <v>6136544.791046245</v>
      </c>
      <c r="L438" s="18" t="n">
        <v>10075036.84396934</v>
      </c>
      <c r="M438" s="18" t="n">
        <v>8957851.156894574</v>
      </c>
      <c r="N438" s="23">
        <f>IF(L438=0,"",M438/L438)</f>
        <v/>
      </c>
      <c r="O438" s="6" t="n">
        <v>7884260.288169215</v>
      </c>
      <c r="P438" s="22">
        <f>M438*G438*(1+H438+I438)</f>
        <v/>
      </c>
      <c r="Q438" s="6" t="n">
        <v>5676767.017469352</v>
      </c>
      <c r="R438" s="22">
        <f>P438-M438*G438*J438</f>
        <v/>
      </c>
      <c r="S438" s="22">
        <f>IF(A438=A437,O438-O437,"")</f>
        <v/>
      </c>
      <c r="T438" s="22">
        <f>IF(A438=A437,P438-P437,"")</f>
        <v/>
      </c>
      <c r="U438" s="22">
        <f>IF(A438=A437,Q438-Q437,"")</f>
        <v/>
      </c>
      <c r="V438" s="22">
        <f>IF(A438=A437,R438-R437,"")</f>
        <v/>
      </c>
      <c r="W438" s="22">
        <f>IF(S438="","",D438-S438)</f>
        <v/>
      </c>
      <c r="X438" s="22">
        <f>IF(T438="","",D438-T438)</f>
        <v/>
      </c>
      <c r="Y438" s="22">
        <f>IF(U438="","",F438-U438)</f>
        <v/>
      </c>
      <c r="Z438" s="22">
        <f>IF(V438="","",F438-V438)</f>
        <v/>
      </c>
      <c r="AA438" s="6" t="n">
        <v>8957851.156894574</v>
      </c>
      <c r="AB438" s="6" t="n">
        <v>7743546.20287523</v>
      </c>
      <c r="AC438" s="6" t="n">
        <v>1467700.232791544</v>
      </c>
      <c r="AD438" s="6" t="n">
        <v>995998.6641836946</v>
      </c>
      <c r="AE438" s="6" t="n">
        <v>724355.6455886613</v>
      </c>
      <c r="AF438" s="6" t="n">
        <v>9002038.145358358</v>
      </c>
      <c r="AG438" s="6" t="n">
        <v>2672326.741112357</v>
      </c>
      <c r="AH438" s="6" t="n">
        <v>2506398.861621924</v>
      </c>
      <c r="AI438" s="6" t="n">
        <v>975056.659852121</v>
      </c>
      <c r="AJ438" s="6" t="n">
        <v>1070598.505624627</v>
      </c>
      <c r="AK438" s="6" t="n">
        <v>1022639.491286948</v>
      </c>
      <c r="AL438" s="6" t="n">
        <v>2672299.780793461</v>
      </c>
      <c r="AM438" s="6" t="n">
        <v>1834663.264956146</v>
      </c>
      <c r="AN438" s="6" t="n">
        <v>1720692.789883548</v>
      </c>
      <c r="AO438" s="6" t="n">
        <v>649850.7953931914</v>
      </c>
      <c r="AP438" s="6" t="n">
        <v>719990.1688738705</v>
      </c>
      <c r="AQ438" s="6" t="n">
        <v>686742.7815515312</v>
      </c>
      <c r="AR438" s="6" t="n">
        <v>1834473.60928945</v>
      </c>
    </row>
    <row r="439">
      <c r="A439" t="inlineStr">
        <is>
          <t>RC</t>
        </is>
      </c>
      <c r="B439" s="8" t="n">
        <v>202212</v>
      </c>
      <c r="C439" s="8" t="n">
        <v>2022</v>
      </c>
      <c r="D439" s="9" t="n">
        <v>1363601.427108653</v>
      </c>
      <c r="E439" s="10" t="n">
        <v>0.3334660142657401</v>
      </c>
      <c r="F439" s="22">
        <f>D439*(1-E439)</f>
        <v/>
      </c>
      <c r="G439" s="10" t="n">
        <v>0.6675289989145602</v>
      </c>
      <c r="H439" s="10" t="n">
        <v>0.05292697813402333</v>
      </c>
      <c r="I439" s="10" t="n">
        <v>0.2240743213457652</v>
      </c>
      <c r="J439" s="10" t="n">
        <v>0.3517191990927382</v>
      </c>
      <c r="K439" s="9" t="n">
        <v>6474596.370887133</v>
      </c>
      <c r="L439" s="18" t="n">
        <v>9699348.464883462</v>
      </c>
      <c r="M439" s="18" t="n">
        <v>8894211.616339274</v>
      </c>
      <c r="N439" s="23">
        <f>IF(L439=0,"",M439/L439)</f>
        <v/>
      </c>
      <c r="O439" s="9" t="n">
        <v>8268067.979229992</v>
      </c>
      <c r="P439" s="22">
        <f>M439*G439*(1+H439+I439)</f>
        <v/>
      </c>
      <c r="Q439" s="9" t="n">
        <v>5990828.129212821</v>
      </c>
      <c r="R439" s="22">
        <f>P439-M439*G439*J439</f>
        <v/>
      </c>
      <c r="S439" s="22">
        <f>IF(A439=A438,O439-O438,"")</f>
        <v/>
      </c>
      <c r="T439" s="22">
        <f>IF(A439=A438,P439-P438,"")</f>
        <v/>
      </c>
      <c r="U439" s="22">
        <f>IF(A439=A438,Q439-Q438,"")</f>
        <v/>
      </c>
      <c r="V439" s="22">
        <f>IF(A439=A438,R439-R438,"")</f>
        <v/>
      </c>
      <c r="W439" s="22">
        <f>IF(S439="","",D439-S439)</f>
        <v/>
      </c>
      <c r="X439" s="22">
        <f>IF(T439="","",D439-T439)</f>
        <v/>
      </c>
      <c r="Y439" s="22">
        <f>IF(U439="","",F439-U439)</f>
        <v/>
      </c>
      <c r="Z439" s="22">
        <f>IF(V439="","",F439-V439)</f>
        <v/>
      </c>
      <c r="AA439" s="9" t="n">
        <v>8894211.616339274</v>
      </c>
      <c r="AB439" s="9" t="n">
        <v>7699960.561213541</v>
      </c>
      <c r="AC439" s="9" t="n">
        <v>2336600.261663496</v>
      </c>
      <c r="AD439" s="9" t="n">
        <v>1158420.493309155</v>
      </c>
      <c r="AE439" s="9" t="n">
        <v>887614.2754856593</v>
      </c>
      <c r="AF439" s="9" t="n">
        <v>8928149.867447976</v>
      </c>
      <c r="AG439" s="9" t="n">
        <v>791862.7691153195</v>
      </c>
      <c r="AH439" s="9" t="n">
        <v>859625.456231568</v>
      </c>
      <c r="AI439" s="9" t="n">
        <v>520355.3248724143</v>
      </c>
      <c r="AJ439" s="9" t="n">
        <v>1155545.520958514</v>
      </c>
      <c r="AK439" s="9" t="n">
        <v>1173814.999082193</v>
      </c>
      <c r="AL439" s="9" t="n">
        <v>797511.3066452974</v>
      </c>
      <c r="AM439" s="9" t="n">
        <v>462643.5876442858</v>
      </c>
      <c r="AN439" s="9" t="n">
        <v>516077.2770226963</v>
      </c>
      <c r="AO439" s="9" t="n">
        <v>292653.2638418124</v>
      </c>
      <c r="AP439" s="9" t="n">
        <v>754579.4373505701</v>
      </c>
      <c r="AQ439" s="9" t="n">
        <v>768786.6891318371</v>
      </c>
      <c r="AR439" s="9" t="n">
        <v>466578.6413088434</v>
      </c>
    </row>
    <row r="440">
      <c r="A440" s="4" t="inlineStr">
        <is>
          <t>RC</t>
        </is>
      </c>
      <c r="B440" s="5" t="n">
        <v>202301</v>
      </c>
      <c r="C440" s="5" t="n">
        <v>2023</v>
      </c>
      <c r="D440" s="6" t="n">
        <v>735560.8539370456</v>
      </c>
      <c r="E440" s="11" t="n">
        <v>0.3334660142657401</v>
      </c>
      <c r="F440" s="22">
        <f>D440*(1-E440)</f>
        <v/>
      </c>
      <c r="G440" s="11" t="n">
        <v>0.6599849344535796</v>
      </c>
      <c r="H440" s="11" t="n">
        <v>0.04394004008124743</v>
      </c>
      <c r="I440" s="11" t="n">
        <v>0.2367462612360056</v>
      </c>
      <c r="J440" s="11" t="n">
        <v>0.3383664275817955</v>
      </c>
      <c r="K440" s="6" t="n">
        <v>5821945.978024311</v>
      </c>
      <c r="L440" s="18" t="n">
        <v>8821331.630614366</v>
      </c>
      <c r="M440" s="18" t="n">
        <v>8240966.819400702</v>
      </c>
      <c r="N440" s="23">
        <f>IF(L440=0,"",M440/L440)</f>
        <v/>
      </c>
      <c r="O440" s="6" t="n">
        <v>7456086.461064812</v>
      </c>
      <c r="P440" s="22">
        <f>M440*G440*(1+H440+I440)</f>
        <v/>
      </c>
      <c r="Q440" s="6" t="n">
        <v>5486135.398906523</v>
      </c>
      <c r="R440" s="22">
        <f>P440-M440*G440*J440</f>
        <v/>
      </c>
      <c r="S440" s="22">
        <f>IF(A440=A439,O440-O439,"")</f>
        <v/>
      </c>
      <c r="T440" s="22">
        <f>IF(A440=A439,P440-P439,"")</f>
        <v/>
      </c>
      <c r="U440" s="22">
        <f>IF(A440=A439,Q440-Q439,"")</f>
        <v/>
      </c>
      <c r="V440" s="22">
        <f>IF(A440=A439,R440-R439,"")</f>
        <v/>
      </c>
      <c r="W440" s="22">
        <f>IF(S440="","",D440-S440)</f>
        <v/>
      </c>
      <c r="X440" s="22">
        <f>IF(T440="","",D440-T440)</f>
        <v/>
      </c>
      <c r="Y440" s="22">
        <f>IF(U440="","",F440-U440)</f>
        <v/>
      </c>
      <c r="Z440" s="22">
        <f>IF(V440="","",F440-V440)</f>
        <v/>
      </c>
      <c r="AA440" s="6" t="n">
        <v>8240966.819400702</v>
      </c>
      <c r="AB440" s="6" t="n">
        <v>7085617.283031004</v>
      </c>
      <c r="AC440" s="6" t="n">
        <v>2161013.287926963</v>
      </c>
      <c r="AD440" s="6" t="n">
        <v>1101815.74588114</v>
      </c>
      <c r="AE440" s="6" t="n">
        <v>832938.9563416496</v>
      </c>
      <c r="AF440" s="6" t="n">
        <v>8304689.759506532</v>
      </c>
      <c r="AG440" s="6" t="n">
        <v>1351759.097524803</v>
      </c>
      <c r="AH440" s="6" t="n">
        <v>1310277.545332506</v>
      </c>
      <c r="AI440" s="6" t="n">
        <v>900800.4497489961</v>
      </c>
      <c r="AJ440" s="6" t="n">
        <v>791747.7287850903</v>
      </c>
      <c r="AK440" s="6" t="n">
        <v>788166.6365848616</v>
      </c>
      <c r="AL440" s="6" t="n">
        <v>1326828.489965177</v>
      </c>
      <c r="AM440" s="6" t="n">
        <v>858612.83857373</v>
      </c>
      <c r="AN440" s="6" t="n">
        <v>839511.9537970464</v>
      </c>
      <c r="AO440" s="6" t="n">
        <v>589512.8860522356</v>
      </c>
      <c r="AP440" s="6" t="n">
        <v>520539.9217131118</v>
      </c>
      <c r="AQ440" s="6" t="n">
        <v>520494.7727579787</v>
      </c>
      <c r="AR440" s="6" t="n">
        <v>839944.5141202122</v>
      </c>
    </row>
    <row r="441">
      <c r="A441" t="inlineStr">
        <is>
          <t>RC</t>
        </is>
      </c>
      <c r="B441" s="8" t="n">
        <v>202302</v>
      </c>
      <c r="C441" s="8" t="n">
        <v>2023</v>
      </c>
      <c r="D441" s="9" t="n">
        <v>617173.6713194328</v>
      </c>
      <c r="E441" s="10" t="n">
        <v>0.3334660142657401</v>
      </c>
      <c r="F441" s="22">
        <f>D441*(1-E441)</f>
        <v/>
      </c>
      <c r="G441" s="10" t="n">
        <v>0.6225425785354172</v>
      </c>
      <c r="H441" s="10" t="n">
        <v>0.0465827401170459</v>
      </c>
      <c r="I441" s="10" t="n">
        <v>0.2064028289448862</v>
      </c>
      <c r="J441" s="10" t="n">
        <v>0.3160917732409754</v>
      </c>
      <c r="K441" s="9" t="n">
        <v>4997415.830573034</v>
      </c>
      <c r="L441" s="18" t="n">
        <v>8027428.167772664</v>
      </c>
      <c r="M441" s="18" t="n">
        <v>7524846.527060667</v>
      </c>
      <c r="N441" s="23">
        <f>IF(L441=0,"",M441/L441)</f>
        <v/>
      </c>
      <c r="O441" s="9" t="n">
        <v>6261689.918309661</v>
      </c>
      <c r="P441" s="22">
        <f>M441*G441*(1+H441+I441)</f>
        <v/>
      </c>
      <c r="Q441" s="9" t="n">
        <v>4682047.886801309</v>
      </c>
      <c r="R441" s="22">
        <f>P441-M441*G441*J441</f>
        <v/>
      </c>
      <c r="S441" s="22">
        <f>IF(A441=A440,O441-O440,"")</f>
        <v/>
      </c>
      <c r="T441" s="22">
        <f>IF(A441=A440,P441-P440,"")</f>
        <v/>
      </c>
      <c r="U441" s="22">
        <f>IF(A441=A440,Q441-Q440,"")</f>
        <v/>
      </c>
      <c r="V441" s="22">
        <f>IF(A441=A440,R441-R440,"")</f>
        <v/>
      </c>
      <c r="W441" s="22">
        <f>IF(S441="","",D441-S441)</f>
        <v/>
      </c>
      <c r="X441" s="22">
        <f>IF(T441="","",D441-T441)</f>
        <v/>
      </c>
      <c r="Y441" s="22">
        <f>IF(U441="","",F441-U441)</f>
        <v/>
      </c>
      <c r="Z441" s="22">
        <f>IF(V441="","",F441-V441)</f>
        <v/>
      </c>
      <c r="AA441" s="9" t="n">
        <v>7524846.527060667</v>
      </c>
      <c r="AB441" s="9" t="n">
        <v>6384064.784187642</v>
      </c>
      <c r="AC441" s="9" t="n">
        <v>1923033.080731191</v>
      </c>
      <c r="AD441" s="9" t="n">
        <v>985337.971626812</v>
      </c>
      <c r="AE441" s="9" t="n">
        <v>728473.8340147582</v>
      </c>
      <c r="AF441" s="9" t="n">
        <v>7559046.654853897</v>
      </c>
      <c r="AG441" s="9" t="n">
        <v>1713058.54631842</v>
      </c>
      <c r="AH441" s="9" t="n">
        <v>1626370.040440941</v>
      </c>
      <c r="AI441" s="9" t="n">
        <v>943698.1524976119</v>
      </c>
      <c r="AJ441" s="9" t="n">
        <v>779865.4876031637</v>
      </c>
      <c r="AK441" s="9" t="n">
        <v>752965.2706022759</v>
      </c>
      <c r="AL441" s="9" t="n">
        <v>1740241.959969192</v>
      </c>
      <c r="AM441" s="9" t="n">
        <v>1147649.941103353</v>
      </c>
      <c r="AN441" s="9" t="n">
        <v>1094486.630832319</v>
      </c>
      <c r="AO441" s="9" t="n">
        <v>633716.835407082</v>
      </c>
      <c r="AP441" s="9" t="n">
        <v>521900.5228867663</v>
      </c>
      <c r="AQ441" s="9" t="n">
        <v>504499.11928095</v>
      </c>
      <c r="AR441" s="9" t="n">
        <v>1167332.876459911</v>
      </c>
    </row>
    <row r="442">
      <c r="A442" s="4" t="inlineStr">
        <is>
          <t>RC</t>
        </is>
      </c>
      <c r="B442" s="5" t="n">
        <v>202303</v>
      </c>
      <c r="C442" s="5" t="n">
        <v>2023</v>
      </c>
      <c r="D442" s="6" t="n">
        <v>898237.0092208146</v>
      </c>
      <c r="E442" s="11" t="n">
        <v>0.3334660142657401</v>
      </c>
      <c r="F442" s="22">
        <f>D442*(1-E442)</f>
        <v/>
      </c>
      <c r="G442" s="11" t="n">
        <v>0.6871457398815016</v>
      </c>
      <c r="H442" s="11" t="n">
        <v>0.04220279898055954</v>
      </c>
      <c r="I442" s="11" t="n">
        <v>0.2282830783470824</v>
      </c>
      <c r="J442" s="11" t="n">
        <v>0.2828127800204642</v>
      </c>
      <c r="K442" s="6" t="n">
        <v>5122340.282240388</v>
      </c>
      <c r="L442" s="18" t="n">
        <v>7454517.993699177</v>
      </c>
      <c r="M442" s="18" t="n">
        <v>7076374.351260604</v>
      </c>
      <c r="N442" s="23">
        <f>IF(L442=0,"",M442/L442)</f>
        <v/>
      </c>
      <c r="O442" s="6" t="n">
        <v>6507860.987452901</v>
      </c>
      <c r="P442" s="22">
        <f>M442*G442*(1+H442+I442)</f>
        <v/>
      </c>
      <c r="Q442" s="6" t="n">
        <v>5059197.692021688</v>
      </c>
      <c r="R442" s="22">
        <f>P442-M442*G442*J442</f>
        <v/>
      </c>
      <c r="S442" s="22">
        <f>IF(A442=A441,O442-O441,"")</f>
        <v/>
      </c>
      <c r="T442" s="22">
        <f>IF(A442=A441,P442-P441,"")</f>
        <v/>
      </c>
      <c r="U442" s="22">
        <f>IF(A442=A441,Q442-Q441,"")</f>
        <v/>
      </c>
      <c r="V442" s="22">
        <f>IF(A442=A441,R442-R441,"")</f>
        <v/>
      </c>
      <c r="W442" s="22">
        <f>IF(S442="","",D442-S442)</f>
        <v/>
      </c>
      <c r="X442" s="22">
        <f>IF(T442="","",D442-T442)</f>
        <v/>
      </c>
      <c r="Y442" s="22">
        <f>IF(U442="","",F442-U442)</f>
        <v/>
      </c>
      <c r="Z442" s="22">
        <f>IF(V442="","",F442-V442)</f>
        <v/>
      </c>
      <c r="AA442" s="6" t="n">
        <v>7076374.351260604</v>
      </c>
      <c r="AB442" s="6" t="n">
        <v>5958768.914306177</v>
      </c>
      <c r="AC442" s="6" t="n">
        <v>1650023.773562428</v>
      </c>
      <c r="AD442" s="6" t="n">
        <v>875747.2492939035</v>
      </c>
      <c r="AE442" s="6" t="n">
        <v>624345.1240400167</v>
      </c>
      <c r="AF442" s="6" t="n">
        <v>7131560.673932681</v>
      </c>
      <c r="AG442" s="6" t="n">
        <v>590156.5189587402</v>
      </c>
      <c r="AH442" s="6" t="n">
        <v>675984.2604591644</v>
      </c>
      <c r="AI442" s="6" t="n">
        <v>957788.173173557</v>
      </c>
      <c r="AJ442" s="6" t="n">
        <v>902301.7598360346</v>
      </c>
      <c r="AK442" s="6" t="n">
        <v>921414.5701338509</v>
      </c>
      <c r="AL442" s="6" t="n">
        <v>568655.7254326206</v>
      </c>
      <c r="AM442" s="6" t="n">
        <v>185058.5639022299</v>
      </c>
      <c r="AN442" s="6" t="n">
        <v>278181.7224889322</v>
      </c>
      <c r="AO442" s="6" t="n">
        <v>600496.1333159584</v>
      </c>
      <c r="AP442" s="6" t="n">
        <v>579061.9724924647</v>
      </c>
      <c r="AQ442" s="6" t="n">
        <v>599864.7794267668</v>
      </c>
      <c r="AR442" s="6" t="n">
        <v>167552.4057227763</v>
      </c>
    </row>
    <row r="443">
      <c r="A443" t="inlineStr">
        <is>
          <t>RC</t>
        </is>
      </c>
      <c r="B443" s="8" t="n">
        <v>202304</v>
      </c>
      <c r="C443" s="8" t="n">
        <v>2023</v>
      </c>
      <c r="D443" s="9" t="n">
        <v>5710318.631862555</v>
      </c>
      <c r="E443" s="10" t="n">
        <v>0.3334660142657401</v>
      </c>
      <c r="F443" s="22">
        <f>D443*(1-E443)</f>
        <v/>
      </c>
      <c r="G443" s="10" t="n">
        <v>0.6401006210093712</v>
      </c>
      <c r="H443" s="10" t="n">
        <v>0.04530529650594622</v>
      </c>
      <c r="I443" s="10" t="n">
        <v>0.2045878282397924</v>
      </c>
      <c r="J443" s="10" t="n">
        <v>0.3610010108123635</v>
      </c>
      <c r="K443" s="9" t="n">
        <v>7213989.472543111</v>
      </c>
      <c r="L443" s="18" t="n">
        <v>11270086.66413635</v>
      </c>
      <c r="M443" s="18" t="n">
        <v>11289643.00321138</v>
      </c>
      <c r="N443" s="23">
        <f>IF(L443=0,"",M443/L443)</f>
        <v/>
      </c>
      <c r="O443" s="9" t="n">
        <v>9016715.843719771</v>
      </c>
      <c r="P443" s="22">
        <f>M443*G443*(1+H443+I443)</f>
        <v/>
      </c>
      <c r="Q443" s="9" t="n">
        <v>6412458.35214196</v>
      </c>
      <c r="R443" s="22">
        <f>P443-M443*G443*J443</f>
        <v/>
      </c>
      <c r="S443" s="22">
        <f>IF(A443=A442,O443-O442,"")</f>
        <v/>
      </c>
      <c r="T443" s="22">
        <f>IF(A443=A442,P443-P442,"")</f>
        <v/>
      </c>
      <c r="U443" s="22">
        <f>IF(A443=A442,Q443-Q442,"")</f>
        <v/>
      </c>
      <c r="V443" s="22">
        <f>IF(A443=A442,R443-R442,"")</f>
        <v/>
      </c>
      <c r="W443" s="22">
        <f>IF(S443="","",D443-S443)</f>
        <v/>
      </c>
      <c r="X443" s="22">
        <f>IF(T443="","",D443-T443)</f>
        <v/>
      </c>
      <c r="Y443" s="22">
        <f>IF(U443="","",F443-U443)</f>
        <v/>
      </c>
      <c r="Z443" s="22">
        <f>IF(V443="","",F443-V443)</f>
        <v/>
      </c>
      <c r="AA443" s="9" t="n">
        <v>11289643.00321138</v>
      </c>
      <c r="AB443" s="9" t="n">
        <v>9783590.496298315</v>
      </c>
      <c r="AC443" s="9" t="n">
        <v>1649074.765034503</v>
      </c>
      <c r="AD443" s="9" t="n">
        <v>1014003.645359993</v>
      </c>
      <c r="AE443" s="9" t="n">
        <v>736756.8744266391</v>
      </c>
      <c r="AF443" s="9" t="n">
        <v>11187234.9650635</v>
      </c>
      <c r="AG443" s="9" t="n">
        <v>2855694.795149825</v>
      </c>
      <c r="AH443" s="9" t="n">
        <v>3084943.637724251</v>
      </c>
      <c r="AI443" s="9" t="n">
        <v>5831449.755630691</v>
      </c>
      <c r="AJ443" s="9" t="n">
        <v>5663592.740645234</v>
      </c>
      <c r="AK443" s="9" t="n">
        <v>5665929.754295141</v>
      </c>
      <c r="AL443" s="9" t="n">
        <v>2985805.25440261</v>
      </c>
      <c r="AM443" s="9" t="n">
        <v>2185096.830751515</v>
      </c>
      <c r="AN443" s="9" t="n">
        <v>2283519.906113548</v>
      </c>
      <c r="AO443" s="9" t="n">
        <v>3987660.708261691</v>
      </c>
      <c r="AP443" s="9" t="n">
        <v>3823521.324455929</v>
      </c>
      <c r="AQ443" s="9" t="n">
        <v>3810648.873289686</v>
      </c>
      <c r="AR443" s="9" t="n">
        <v>2280818.594133244</v>
      </c>
    </row>
    <row r="444">
      <c r="A444" s="4" t="inlineStr">
        <is>
          <t>RC</t>
        </is>
      </c>
      <c r="B444" s="5" t="n">
        <v>202305</v>
      </c>
      <c r="C444" s="5" t="n">
        <v>2023</v>
      </c>
      <c r="D444" s="6" t="n">
        <v>1222689.223620863</v>
      </c>
      <c r="E444" s="11" t="n">
        <v>0.3334660142657401</v>
      </c>
      <c r="F444" s="22">
        <f>D444*(1-E444)</f>
        <v/>
      </c>
      <c r="G444" s="11" t="n">
        <v>0.621424884</v>
      </c>
      <c r="H444" s="11" t="n">
        <v>0.04666643666900926</v>
      </c>
      <c r="I444" s="11" t="n">
        <v>0.1921731648728238</v>
      </c>
      <c r="J444" s="11" t="n">
        <v>0.3392612476643131</v>
      </c>
      <c r="K444" s="6" t="n">
        <v>6600650.229526361</v>
      </c>
      <c r="L444" s="18" t="n">
        <v>10621799.0290945</v>
      </c>
      <c r="M444" s="18" t="n">
        <v>10780831.31157812</v>
      </c>
      <c r="N444" s="23">
        <f>IF(L444=0,"",M444/L444)</f>
        <v/>
      </c>
      <c r="O444" s="6" t="n">
        <v>8177146.900263446</v>
      </c>
      <c r="P444" s="22">
        <f>M444*G444*(1+H444+I444)</f>
        <v/>
      </c>
      <c r="Q444" s="6" t="n">
        <v>5937802.067998597</v>
      </c>
      <c r="R444" s="22">
        <f>P444-M444*G444*J444</f>
        <v/>
      </c>
      <c r="S444" s="22">
        <f>IF(A444=A443,O444-O443,"")</f>
        <v/>
      </c>
      <c r="T444" s="22">
        <f>IF(A444=A443,P444-P443,"")</f>
        <v/>
      </c>
      <c r="U444" s="22">
        <f>IF(A444=A443,Q444-Q443,"")</f>
        <v/>
      </c>
      <c r="V444" s="22">
        <f>IF(A444=A443,R444-R443,"")</f>
        <v/>
      </c>
      <c r="W444" s="22">
        <f>IF(S444="","",D444-S444)</f>
        <v/>
      </c>
      <c r="X444" s="22">
        <f>IF(T444="","",D444-T444)</f>
        <v/>
      </c>
      <c r="Y444" s="22">
        <f>IF(U444="","",F444-U444)</f>
        <v/>
      </c>
      <c r="Z444" s="22">
        <f>IF(V444="","",F444-V444)</f>
        <v/>
      </c>
      <c r="AA444" s="6" t="n">
        <v>10780831.31157812</v>
      </c>
      <c r="AB444" s="6" t="n">
        <v>9303268.46310295</v>
      </c>
      <c r="AC444" s="6" t="n">
        <v>1462482.349846981</v>
      </c>
      <c r="AD444" s="6" t="n">
        <v>883668.8471429838</v>
      </c>
      <c r="AE444" s="6" t="n">
        <v>602959.6333726605</v>
      </c>
      <c r="AF444" s="6" t="n">
        <v>10665946.22915077</v>
      </c>
      <c r="AG444" s="6" t="n">
        <v>1955474.032506804</v>
      </c>
      <c r="AH444" s="6" t="n">
        <v>1888041.119407669</v>
      </c>
      <c r="AI444" s="6" t="n">
        <v>1416157.805600824</v>
      </c>
      <c r="AJ444" s="6" t="n">
        <v>1353661.597175811</v>
      </c>
      <c r="AK444" s="6" t="n">
        <v>1347951.07287456</v>
      </c>
      <c r="AL444" s="6" t="n">
        <v>1961985.520414</v>
      </c>
      <c r="AM444" s="6" t="n">
        <v>1211845.09312751</v>
      </c>
      <c r="AN444" s="6" t="n">
        <v>1180918.480619267</v>
      </c>
      <c r="AO444" s="6" t="n">
        <v>935697.7008255383</v>
      </c>
      <c r="AP444" s="6" t="n">
        <v>897923.2257245819</v>
      </c>
      <c r="AQ444" s="6" t="n">
        <v>897097.4184504418</v>
      </c>
      <c r="AR444" s="6" t="n">
        <v>1217800.02898848</v>
      </c>
    </row>
    <row r="445">
      <c r="A445" t="inlineStr">
        <is>
          <t>RC</t>
        </is>
      </c>
      <c r="B445" s="8" t="n">
        <v>202306</v>
      </c>
      <c r="C445" s="8" t="n">
        <v>2023</v>
      </c>
      <c r="D445" s="9" t="n">
        <v>1309635.680041015</v>
      </c>
      <c r="E445" s="10" t="n">
        <v>0.3334660142657401</v>
      </c>
      <c r="F445" s="22">
        <f>D445*(1-E445)</f>
        <v/>
      </c>
      <c r="G445" s="10" t="n">
        <v>0.7122892593042426</v>
      </c>
      <c r="H445" s="10" t="n">
        <v>0.04071347151018051</v>
      </c>
      <c r="I445" s="10" t="n">
        <v>0.2140611497889796</v>
      </c>
      <c r="J445" s="10" t="n">
        <v>0.3159137323465431</v>
      </c>
      <c r="K445" s="9" t="n">
        <v>7154276.626586272</v>
      </c>
      <c r="L445" s="18" t="n">
        <v>10044060.79852236</v>
      </c>
      <c r="M445" s="18" t="n">
        <v>10253177.53387444</v>
      </c>
      <c r="N445" s="23">
        <f>IF(L445=0,"",M445/L445)</f>
        <v/>
      </c>
      <c r="O445" s="9" t="n">
        <v>8977004.744794223</v>
      </c>
      <c r="P445" s="22">
        <f>M445*G445*(1+H445+I445)</f>
        <v/>
      </c>
      <c r="Q445" s="9" t="n">
        <v>6716870.513449719</v>
      </c>
      <c r="R445" s="22">
        <f>P445-M445*G445*J445</f>
        <v/>
      </c>
      <c r="S445" s="22">
        <f>IF(A445=A444,O445-O444,"")</f>
        <v/>
      </c>
      <c r="T445" s="22">
        <f>IF(A445=A444,P445-P444,"")</f>
        <v/>
      </c>
      <c r="U445" s="22">
        <f>IF(A445=A444,Q445-Q444,"")</f>
        <v/>
      </c>
      <c r="V445" s="22">
        <f>IF(A445=A444,R445-R444,"")</f>
        <v/>
      </c>
      <c r="W445" s="22">
        <f>IF(S445="","",D445-S445)</f>
        <v/>
      </c>
      <c r="X445" s="22">
        <f>IF(T445="","",D445-T445)</f>
        <v/>
      </c>
      <c r="Y445" s="22">
        <f>IF(U445="","",F445-U445)</f>
        <v/>
      </c>
      <c r="Z445" s="22">
        <f>IF(V445="","",F445-V445)</f>
        <v/>
      </c>
      <c r="AA445" s="9" t="n">
        <v>10253177.53387444</v>
      </c>
      <c r="AB445" s="9" t="n">
        <v>8838070.841825295</v>
      </c>
      <c r="AC445" s="9" t="n">
        <v>1447760.811911423</v>
      </c>
      <c r="AD445" s="9" t="n">
        <v>883903.5562442789</v>
      </c>
      <c r="AE445" s="9" t="n">
        <v>602332.2524694556</v>
      </c>
      <c r="AF445" s="9" t="n">
        <v>10299902.73886256</v>
      </c>
      <c r="AG445" s="9" t="n">
        <v>445307.470028176</v>
      </c>
      <c r="AH445" s="9" t="n">
        <v>572581.2568486119</v>
      </c>
      <c r="AI445" s="9" t="n">
        <v>1141567.20802494</v>
      </c>
      <c r="AJ445" s="9" t="n">
        <v>1199924.551984472</v>
      </c>
      <c r="AK445" s="9" t="n">
        <v>1235479.62351747</v>
      </c>
      <c r="AL445" s="9" t="n">
        <v>315102.4415799212</v>
      </c>
      <c r="AM445" s="9" t="n">
        <v>42905.69444955525</v>
      </c>
      <c r="AN445" s="9" t="n">
        <v>163257.1532396554</v>
      </c>
      <c r="AO445" s="9" t="n">
        <v>722297.7915697214</v>
      </c>
      <c r="AP445" s="9" t="n">
        <v>775803.4491020432</v>
      </c>
      <c r="AQ445" s="9" t="n">
        <v>807179.4215023718</v>
      </c>
      <c r="AR445" s="9" t="n">
        <v>-52564.44553624175</v>
      </c>
    </row>
    <row r="446">
      <c r="A446" s="4" t="inlineStr">
        <is>
          <t>RC</t>
        </is>
      </c>
      <c r="B446" s="5" t="n">
        <v>202307</v>
      </c>
      <c r="C446" s="5" t="n">
        <v>2023</v>
      </c>
      <c r="D446" s="6" t="n">
        <v>1316422.854143524</v>
      </c>
      <c r="E446" s="11" t="n">
        <v>0.3334660142657401</v>
      </c>
      <c r="F446" s="22">
        <f>D446*(1-E446)</f>
        <v/>
      </c>
      <c r="G446" s="11" t="n">
        <v>0.6871390000000001</v>
      </c>
      <c r="H446" s="11" t="n">
        <v>0.04202674196305407</v>
      </c>
      <c r="I446" s="11" t="n">
        <v>0.1904425423979423</v>
      </c>
      <c r="J446" s="11" t="n">
        <v>0.2995120495358278</v>
      </c>
      <c r="K446" s="6" t="n">
        <v>6559183.330944447</v>
      </c>
      <c r="L446" s="18" t="n">
        <v>9545642.629721856</v>
      </c>
      <c r="M446" s="18" t="n">
        <v>9880463.74201213</v>
      </c>
      <c r="N446" s="23">
        <f>IF(L446=0,"",M446/L446)</f>
        <v/>
      </c>
      <c r="O446" s="6" t="n">
        <v>8083991.985881679</v>
      </c>
      <c r="P446" s="22">
        <f>M446*G446*(1+H446+I446)</f>
        <v/>
      </c>
      <c r="Q446" s="6" t="n">
        <v>6119437.54314927</v>
      </c>
      <c r="R446" s="22">
        <f>P446-M446*G446*J446</f>
        <v/>
      </c>
      <c r="S446" s="22">
        <f>IF(A446=A445,O446-O445,"")</f>
        <v/>
      </c>
      <c r="T446" s="22">
        <f>IF(A446=A445,P446-P445,"")</f>
        <v/>
      </c>
      <c r="U446" s="22">
        <f>IF(A446=A445,Q446-Q445,"")</f>
        <v/>
      </c>
      <c r="V446" s="22">
        <f>IF(A446=A445,R446-R445,"")</f>
        <v/>
      </c>
      <c r="W446" s="22">
        <f>IF(S446="","",D446-S446)</f>
        <v/>
      </c>
      <c r="X446" s="22">
        <f>IF(T446="","",D446-T446)</f>
        <v/>
      </c>
      <c r="Y446" s="22">
        <f>IF(U446="","",F446-U446)</f>
        <v/>
      </c>
      <c r="Z446" s="22">
        <f>IF(V446="","",F446-V446)</f>
        <v/>
      </c>
      <c r="AA446" s="6" t="n">
        <v>9880463.74201213</v>
      </c>
      <c r="AB446" s="6" t="n">
        <v>8518272.024288399</v>
      </c>
      <c r="AC446" s="6" t="n">
        <v>1826091.60747031</v>
      </c>
      <c r="AD446" s="6" t="n">
        <v>1274931.405564025</v>
      </c>
      <c r="AE446" s="6" t="n">
        <v>997786.5273605364</v>
      </c>
      <c r="AF446" s="6" t="n">
        <v>9961259.543897349</v>
      </c>
      <c r="AG446" s="6" t="n">
        <v>2112783.768857437</v>
      </c>
      <c r="AH446" s="6" t="n">
        <v>2001624.299031895</v>
      </c>
      <c r="AI446" s="6" t="n">
        <v>1063900.874268392</v>
      </c>
      <c r="AJ446" s="6" t="n">
        <v>1026711.702428293</v>
      </c>
      <c r="AK446" s="6" t="n">
        <v>1009761.654324071</v>
      </c>
      <c r="AL446" s="6" t="n">
        <v>2086120.840401383</v>
      </c>
      <c r="AM446" s="6" t="n">
        <v>1400074.171840683</v>
      </c>
      <c r="AN446" s="6" t="n">
        <v>1326996.993792202</v>
      </c>
      <c r="AO446" s="6" t="n">
        <v>674961.9772336648</v>
      </c>
      <c r="AP446" s="6" t="n">
        <v>651220.7667287649</v>
      </c>
      <c r="AQ446" s="6" t="n">
        <v>640592.2523439871</v>
      </c>
      <c r="AR446" s="6" t="n">
        <v>1379525.340196472</v>
      </c>
    </row>
    <row r="447">
      <c r="A447" t="inlineStr">
        <is>
          <t>RC</t>
        </is>
      </c>
      <c r="B447" s="8" t="n">
        <v>202308</v>
      </c>
      <c r="C447" s="8" t="n">
        <v>2023</v>
      </c>
      <c r="D447" s="9" t="n">
        <v>959446.2810972607</v>
      </c>
      <c r="E447" s="10" t="n">
        <v>0.3334660142657401</v>
      </c>
      <c r="F447" s="22">
        <f>D447*(1-E447)</f>
        <v/>
      </c>
      <c r="G447" s="10" t="n">
        <v>0.7857</v>
      </c>
      <c r="H447" s="10" t="n">
        <v>0.03722774734069015</v>
      </c>
      <c r="I447" s="10" t="n">
        <v>0.3302532982649497</v>
      </c>
      <c r="J447" s="10" t="n">
        <v>0.3045803146222658</v>
      </c>
      <c r="K447" s="9" t="n">
        <v>6791011.923049862</v>
      </c>
      <c r="L447" s="18" t="n">
        <v>8643263.234122263</v>
      </c>
      <c r="M447" s="18" t="n">
        <v>9257609.372355876</v>
      </c>
      <c r="N447" s="23">
        <f>IF(L447=0,"",M447/L447)</f>
        <v/>
      </c>
      <c r="O447" s="9" t="n">
        <v>9286580.085252592</v>
      </c>
      <c r="P447" s="22">
        <f>M447*G447*(1+H447+I447)</f>
        <v/>
      </c>
      <c r="Q447" s="9" t="n">
        <v>7218171.537126508</v>
      </c>
      <c r="R447" s="22">
        <f>P447-M447*G447*J447</f>
        <v/>
      </c>
      <c r="S447" s="22">
        <f>IF(A447=A446,O447-O446,"")</f>
        <v/>
      </c>
      <c r="T447" s="22">
        <f>IF(A447=A446,P447-P446,"")</f>
        <v/>
      </c>
      <c r="U447" s="22">
        <f>IF(A447=A446,Q447-Q446,"")</f>
        <v/>
      </c>
      <c r="V447" s="22">
        <f>IF(A447=A446,R447-R446,"")</f>
        <v/>
      </c>
      <c r="W447" s="22">
        <f>IF(S447="","",D447-S447)</f>
        <v/>
      </c>
      <c r="X447" s="22">
        <f>IF(T447="","",D447-T447)</f>
        <v/>
      </c>
      <c r="Y447" s="22">
        <f>IF(U447="","",F447-U447)</f>
        <v/>
      </c>
      <c r="Z447" s="22">
        <f>IF(V447="","",F447-V447)</f>
        <v/>
      </c>
      <c r="AA447" s="9" t="n">
        <v>9257609.372355876</v>
      </c>
      <c r="AB447" s="9" t="n">
        <v>7996746.731320289</v>
      </c>
      <c r="AC447" s="9" t="n">
        <v>1668285.331874964</v>
      </c>
      <c r="AD447" s="9" t="n">
        <v>1170363.941549029</v>
      </c>
      <c r="AE447" s="9" t="n">
        <v>907653.8161369635</v>
      </c>
      <c r="AF447" s="9" t="n">
        <v>9342741.026051208</v>
      </c>
      <c r="AG447" s="9" t="n">
        <v>-619661.1146843001</v>
      </c>
      <c r="AH447" s="9" t="n">
        <v>-418562.4515565686</v>
      </c>
      <c r="AI447" s="9" t="n">
        <v>713466.9913293574</v>
      </c>
      <c r="AJ447" s="9" t="n">
        <v>781683.3092915971</v>
      </c>
      <c r="AK447" s="9" t="n">
        <v>829239.0916794904</v>
      </c>
      <c r="AL447" s="9" t="n">
        <v>-642704.9414293157</v>
      </c>
      <c r="AM447" s="9" t="n">
        <v>-757639.6593587258</v>
      </c>
      <c r="AN447" s="9" t="n">
        <v>-577928.6753749921</v>
      </c>
      <c r="AO447" s="9" t="n">
        <v>416938.1883797006</v>
      </c>
      <c r="AP447" s="9" t="n">
        <v>479429.8618348168</v>
      </c>
      <c r="AQ447" s="9" t="n">
        <v>521155.0041477097</v>
      </c>
      <c r="AR447" s="9" t="n">
        <v>-776939.0301458788</v>
      </c>
    </row>
    <row r="448">
      <c r="A448" s="4" t="inlineStr">
        <is>
          <t>RC</t>
        </is>
      </c>
      <c r="B448" s="5" t="n">
        <v>202309</v>
      </c>
      <c r="C448" s="5" t="n">
        <v>2023</v>
      </c>
      <c r="D448" s="6" t="n">
        <v>1245851.518334395</v>
      </c>
      <c r="E448" s="11" t="n">
        <v>0.3334660142657401</v>
      </c>
      <c r="F448" s="22">
        <f>D448*(1-E448)</f>
        <v/>
      </c>
      <c r="G448" s="11" t="n">
        <v>0.7304015019357452</v>
      </c>
      <c r="H448" s="11" t="n">
        <v>0.03970378454848354</v>
      </c>
      <c r="I448" s="11" t="n">
        <v>0.3252331930000025</v>
      </c>
      <c r="J448" s="11" t="n">
        <v>0.2913166305765287</v>
      </c>
      <c r="K448" s="6" t="n">
        <v>6162719.323613286</v>
      </c>
      <c r="L448" s="18" t="n">
        <v>8437440.650492299</v>
      </c>
      <c r="M448" s="18" t="n">
        <v>9026096.422115324</v>
      </c>
      <c r="N448" s="23">
        <f>IF(L448=0,"",M448/L448)</f>
        <v/>
      </c>
      <c r="O448" s="6" t="n">
        <v>8411723.48705237</v>
      </c>
      <c r="P448" s="22">
        <f>M448*G448*(1+H448+I448)</f>
        <v/>
      </c>
      <c r="Q448" s="6" t="n">
        <v>6616420.858508484</v>
      </c>
      <c r="R448" s="22">
        <f>P448-M448*G448*J448</f>
        <v/>
      </c>
      <c r="S448" s="22">
        <f>IF(A448=A447,O448-O447,"")</f>
        <v/>
      </c>
      <c r="T448" s="22">
        <f>IF(A448=A447,P448-P447,"")</f>
        <v/>
      </c>
      <c r="U448" s="22">
        <f>IF(A448=A447,Q448-Q447,"")</f>
        <v/>
      </c>
      <c r="V448" s="22">
        <f>IF(A448=A447,R448-R447,"")</f>
        <v/>
      </c>
      <c r="W448" s="22">
        <f>IF(S448="","",D448-S448)</f>
        <v/>
      </c>
      <c r="X448" s="22">
        <f>IF(T448="","",D448-T448)</f>
        <v/>
      </c>
      <c r="Y448" s="22">
        <f>IF(U448="","",F448-U448)</f>
        <v/>
      </c>
      <c r="Z448" s="22">
        <f>IF(V448="","",F448-V448)</f>
        <v/>
      </c>
      <c r="AA448" s="6" t="n">
        <v>9026096.422115324</v>
      </c>
      <c r="AB448" s="6" t="n">
        <v>7820740.986821021</v>
      </c>
      <c r="AC448" s="6" t="n">
        <v>1876605.653076758</v>
      </c>
      <c r="AD448" s="6" t="n">
        <v>1176152.459240157</v>
      </c>
      <c r="AE448" s="6" t="n">
        <v>921744.4984404445</v>
      </c>
      <c r="AF448" s="6" t="n">
        <v>9119972.203703325</v>
      </c>
      <c r="AG448" s="6" t="n">
        <v>2193918.390621253</v>
      </c>
      <c r="AH448" s="6" t="n">
        <v>2040891.45701071</v>
      </c>
      <c r="AI448" s="6" t="n">
        <v>1167421.296116351</v>
      </c>
      <c r="AJ448" s="6" t="n">
        <v>1330757.913070629</v>
      </c>
      <c r="AK448" s="6" t="n">
        <v>1302126.840480619</v>
      </c>
      <c r="AL448" s="6" t="n">
        <v>2191796.731234981</v>
      </c>
      <c r="AM448" s="6" t="n">
        <v>1483597.981776003</v>
      </c>
      <c r="AN448" s="6" t="n">
        <v>1375833.269961417</v>
      </c>
      <c r="AO448" s="6" t="n">
        <v>752037.4669578548</v>
      </c>
      <c r="AP448" s="6" t="n">
        <v>885489.9281381046</v>
      </c>
      <c r="AQ448" s="6" t="n">
        <v>865595.2444414177</v>
      </c>
      <c r="AR448" s="6" t="n">
        <v>1481078.28335203</v>
      </c>
    </row>
    <row r="449">
      <c r="A449" t="inlineStr">
        <is>
          <t>RC</t>
        </is>
      </c>
      <c r="B449" s="8" t="n">
        <v>202310</v>
      </c>
      <c r="C449" s="8" t="n">
        <v>2023</v>
      </c>
      <c r="D449" s="9" t="n">
        <v>1458420.795147985</v>
      </c>
      <c r="E449" s="10" t="n">
        <v>0.3334660142657401</v>
      </c>
      <c r="F449" s="22">
        <f>D449*(1-E449)</f>
        <v/>
      </c>
      <c r="G449" s="10" t="n">
        <v>0.8265100909289231</v>
      </c>
      <c r="H449" s="10" t="n">
        <v>0.03508702830332263</v>
      </c>
      <c r="I449" s="10" t="n">
        <v>0.3037574084010017</v>
      </c>
      <c r="J449" s="10" t="n">
        <v>0.3596192348264478</v>
      </c>
      <c r="K449" s="9" t="n">
        <v>7135293.873124184</v>
      </c>
      <c r="L449" s="18" t="n">
        <v>8633039.029329641</v>
      </c>
      <c r="M449" s="18" t="n">
        <v>9048445.697698925</v>
      </c>
      <c r="N449" s="23">
        <f>IF(L449=0,"",M449/L449)</f>
        <v/>
      </c>
      <c r="O449" s="9" t="n">
        <v>9553048.506282764</v>
      </c>
      <c r="P449" s="22">
        <f>M449*G449*(1+H449+I449)</f>
        <v/>
      </c>
      <c r="Q449" s="9" t="n">
        <v>6987059.583368006</v>
      </c>
      <c r="R449" s="22">
        <f>P449-M449*G449*J449</f>
        <v/>
      </c>
      <c r="S449" s="22">
        <f>IF(A449=A448,O449-O448,"")</f>
        <v/>
      </c>
      <c r="T449" s="22">
        <f>IF(A449=A448,P449-P448,"")</f>
        <v/>
      </c>
      <c r="U449" s="22">
        <f>IF(A449=A448,Q449-Q448,"")</f>
        <v/>
      </c>
      <c r="V449" s="22">
        <f>IF(A449=A448,R449-R448,"")</f>
        <v/>
      </c>
      <c r="W449" s="22">
        <f>IF(S449="","",D449-S449)</f>
        <v/>
      </c>
      <c r="X449" s="22">
        <f>IF(T449="","",D449-T449)</f>
        <v/>
      </c>
      <c r="Y449" s="22">
        <f>IF(U449="","",F449-U449)</f>
        <v/>
      </c>
      <c r="Z449" s="22">
        <f>IF(V449="","",F449-V449)</f>
        <v/>
      </c>
      <c r="AA449" s="9" t="n">
        <v>9048445.697698925</v>
      </c>
      <c r="AB449" s="9" t="n">
        <v>7878395.67001239</v>
      </c>
      <c r="AC449" s="9" t="n">
        <v>2731273.537098857</v>
      </c>
      <c r="AD449" s="9" t="n">
        <v>1375109.961867719</v>
      </c>
      <c r="AE449" s="9" t="n">
        <v>1122468.644801221</v>
      </c>
      <c r="AF449" s="9" t="n">
        <v>9103071.706058281</v>
      </c>
      <c r="AG449" s="9" t="n">
        <v>444281.427822148</v>
      </c>
      <c r="AH449" s="9" t="n">
        <v>537340.3241464649</v>
      </c>
      <c r="AI449" s="9" t="n">
        <v>306965.4995205863</v>
      </c>
      <c r="AJ449" s="9" t="n">
        <v>1109335.082018931</v>
      </c>
      <c r="AK449" s="9" t="n">
        <v>1135267.459368406</v>
      </c>
      <c r="AL449" s="9" t="n">
        <v>477423.6610634639</v>
      </c>
      <c r="AM449" s="9" t="n">
        <v>726851.771307237</v>
      </c>
      <c r="AN449" s="9" t="n">
        <v>728611.1987639475</v>
      </c>
      <c r="AO449" s="9" t="n">
        <v>233144.6374069592</v>
      </c>
      <c r="AP449" s="9" t="n">
        <v>781464.2791971298</v>
      </c>
      <c r="AQ449" s="9" t="n">
        <v>786436.7927631128</v>
      </c>
      <c r="AR449" s="9" t="n">
        <v>756255.7235050113</v>
      </c>
    </row>
    <row r="450">
      <c r="A450" s="4" t="inlineStr">
        <is>
          <t>RC</t>
        </is>
      </c>
      <c r="B450" s="5" t="n">
        <v>202311</v>
      </c>
      <c r="C450" s="5" t="n">
        <v>2023</v>
      </c>
      <c r="D450" s="6" t="n">
        <v>6674739.237353126</v>
      </c>
      <c r="E450" s="11" t="n">
        <v>0.3334660142657401</v>
      </c>
      <c r="F450" s="22">
        <f>D450*(1-E450)</f>
        <v/>
      </c>
      <c r="G450" s="11" t="n">
        <v>0.9403284109448076</v>
      </c>
      <c r="H450" s="11" t="n">
        <v>0.03084001114546542</v>
      </c>
      <c r="I450" s="11" t="n">
        <v>0.380863927815551</v>
      </c>
      <c r="J450" s="11" t="n">
        <v>0.3731306603108491</v>
      </c>
      <c r="K450" s="6" t="n">
        <v>11580733.78097807</v>
      </c>
      <c r="L450" s="18" t="n">
        <v>12315626.80249358</v>
      </c>
      <c r="M450" s="18" t="n">
        <v>14024181.27154737</v>
      </c>
      <c r="N450" s="23">
        <f>IF(L450=0,"",M450/L450)</f>
        <v/>
      </c>
      <c r="O450" s="6" t="n">
        <v>16348567.49466565</v>
      </c>
      <c r="P450" s="22">
        <f>M450*G450*(1+H450+I450)</f>
        <v/>
      </c>
      <c r="Q450" s="6" t="n">
        <v>12027440.65208514</v>
      </c>
      <c r="R450" s="22">
        <f>P450-M450*G450*J450</f>
        <v/>
      </c>
      <c r="S450" s="22">
        <f>IF(A450=A449,O450-O449,"")</f>
        <v/>
      </c>
      <c r="T450" s="22">
        <f>IF(A450=A449,P450-P449,"")</f>
        <v/>
      </c>
      <c r="U450" s="22">
        <f>IF(A450=A449,Q450-Q449,"")</f>
        <v/>
      </c>
      <c r="V450" s="22">
        <f>IF(A450=A449,R450-R449,"")</f>
        <v/>
      </c>
      <c r="W450" s="22">
        <f>IF(S450="","",D450-S450)</f>
        <v/>
      </c>
      <c r="X450" s="22">
        <f>IF(T450="","",D450-T450)</f>
        <v/>
      </c>
      <c r="Y450" s="22">
        <f>IF(U450="","",F450-U450)</f>
        <v/>
      </c>
      <c r="Z450" s="22">
        <f>IF(V450="","",F450-V450)</f>
        <v/>
      </c>
      <c r="AA450" s="6" t="n">
        <v>14024181.27154737</v>
      </c>
      <c r="AB450" s="6" t="n">
        <v>12367109.0233641</v>
      </c>
      <c r="AC450" s="6" t="n">
        <v>3342509.656300319</v>
      </c>
      <c r="AD450" s="6" t="n">
        <v>1604748.148562287</v>
      </c>
      <c r="AE450" s="6" t="n">
        <v>1339370.131567567</v>
      </c>
      <c r="AF450" s="6" t="n">
        <v>13892061.41576982</v>
      </c>
      <c r="AG450" s="6" t="n">
        <v>-1929150.651058229</v>
      </c>
      <c r="AH450" s="6" t="n">
        <v>-1024185.136619579</v>
      </c>
      <c r="AI450" s="6" t="n">
        <v>5260014.670636922</v>
      </c>
      <c r="AJ450" s="6" t="n">
        <v>6066145.00153062</v>
      </c>
      <c r="AK450" s="6" t="n">
        <v>6138860.2088405</v>
      </c>
      <c r="AL450" s="6" t="n">
        <v>-1693318.707516098</v>
      </c>
      <c r="AM450" s="6" t="n">
        <v>-1923809.71885019</v>
      </c>
      <c r="AN450" s="6" t="n">
        <v>-1252480.743129985</v>
      </c>
      <c r="AO450" s="6" t="n">
        <v>3395173.336367922</v>
      </c>
      <c r="AP450" s="6" t="n">
        <v>3994674.392309322</v>
      </c>
      <c r="AQ450" s="6" t="n">
        <v>4049369.953370641</v>
      </c>
      <c r="AR450" s="6" t="n">
        <v>-1750570.486007843</v>
      </c>
    </row>
    <row r="451">
      <c r="A451" t="inlineStr">
        <is>
          <t>RC</t>
        </is>
      </c>
      <c r="B451" s="8" t="n">
        <v>202312</v>
      </c>
      <c r="C451" s="8" t="n">
        <v>2023</v>
      </c>
      <c r="D451" s="9" t="n">
        <v>2029682.928045648</v>
      </c>
      <c r="E451" s="10" t="n">
        <v>0.3334660142657401</v>
      </c>
      <c r="F451" s="22">
        <f>D451*(1-E451)</f>
        <v/>
      </c>
      <c r="G451" s="10" t="n">
        <v>0.8315012930000001</v>
      </c>
      <c r="H451" s="10" t="n">
        <v>0.03885301951313699</v>
      </c>
      <c r="I451" s="10" t="n">
        <v>0.3017916383043389</v>
      </c>
      <c r="J451" s="10" t="n">
        <v>0.4029913323035152</v>
      </c>
      <c r="K451" s="9" t="n">
        <v>9464065.795739865</v>
      </c>
      <c r="L451" s="18" t="n">
        <v>11381901.47798106</v>
      </c>
      <c r="M451" s="18" t="n">
        <v>14055924.24856562</v>
      </c>
      <c r="N451" s="23">
        <f>IF(L451=0,"",M451/L451)</f>
        <v/>
      </c>
      <c r="O451" s="9" t="n">
        <v>12687949.25029175</v>
      </c>
      <c r="P451" s="22">
        <f>M451*G451*(1+H451+I451)</f>
        <v/>
      </c>
      <c r="Q451" s="9" t="n">
        <v>8874012.766258411</v>
      </c>
      <c r="R451" s="22">
        <f>P451-M451*G451*J451</f>
        <v/>
      </c>
      <c r="S451" s="22">
        <f>IF(A451=A450,O451-O450,"")</f>
        <v/>
      </c>
      <c r="T451" s="22">
        <f>IF(A451=A450,P451-P450,"")</f>
        <v/>
      </c>
      <c r="U451" s="22">
        <f>IF(A451=A450,Q451-Q450,"")</f>
        <v/>
      </c>
      <c r="V451" s="22">
        <f>IF(A451=A450,R451-R450,"")</f>
        <v/>
      </c>
      <c r="W451" s="22">
        <f>IF(S451="","",D451-S451)</f>
        <v/>
      </c>
      <c r="X451" s="22">
        <f>IF(T451="","",D451-T451)</f>
        <v/>
      </c>
      <c r="Y451" s="22">
        <f>IF(U451="","",F451-U451)</f>
        <v/>
      </c>
      <c r="Z451" s="22">
        <f>IF(V451="","",F451-V451)</f>
        <v/>
      </c>
      <c r="AA451" s="9" t="n">
        <v>14055924.24856562</v>
      </c>
      <c r="AB451" s="9" t="n">
        <v>12363491.38070438</v>
      </c>
      <c r="AC451" s="9" t="n">
        <v>4386731.114388143</v>
      </c>
      <c r="AD451" s="9" t="n">
        <v>1792285.05743722</v>
      </c>
      <c r="AE451" s="9" t="n">
        <v>1520555.241330475</v>
      </c>
      <c r="AF451" s="9" t="n">
        <v>13910247.7473519</v>
      </c>
      <c r="AG451" s="9" t="n">
        <v>4977487.0693459</v>
      </c>
      <c r="AH451" s="9" t="n">
        <v>4664416.883696708</v>
      </c>
      <c r="AI451" s="9" t="n">
        <v>1576649.872369235</v>
      </c>
      <c r="AJ451" s="9" t="n">
        <v>2161984.68065869</v>
      </c>
      <c r="AK451" s="9" t="n">
        <v>2112614.77154765</v>
      </c>
      <c r="AL451" s="9" t="n">
        <v>4964495.096849243</v>
      </c>
      <c r="AM451" s="9" t="n">
        <v>4090026.298639703</v>
      </c>
      <c r="AN451" s="9" t="n">
        <v>3791251.735534492</v>
      </c>
      <c r="AO451" s="9" t="n">
        <v>1196988.878503254</v>
      </c>
      <c r="AP451" s="9" t="n">
        <v>1522676.747888569</v>
      </c>
      <c r="AQ451" s="9" t="n">
        <v>1475365.442436572</v>
      </c>
      <c r="AR451" s="9" t="n">
        <v>4074576.186695374</v>
      </c>
    </row>
    <row r="452">
      <c r="A452" s="4" t="inlineStr">
        <is>
          <t>RC</t>
        </is>
      </c>
      <c r="B452" s="5" t="n">
        <v>202401</v>
      </c>
      <c r="C452" s="5" t="n">
        <v>2024</v>
      </c>
      <c r="D452" s="6" t="n">
        <v>1207965.071909628</v>
      </c>
      <c r="E452" s="11" t="n">
        <v>0.4031336158303102</v>
      </c>
      <c r="F452" s="22">
        <f>D452*(1-E452)</f>
        <v/>
      </c>
      <c r="G452" s="11" t="n">
        <v>0.8827700000000001</v>
      </c>
      <c r="H452" s="11" t="n">
        <v>0.03199880814561203</v>
      </c>
      <c r="I452" s="11" t="n">
        <v>0.3452114243656564</v>
      </c>
      <c r="J452" s="11" t="n">
        <v>0.4036904060772862</v>
      </c>
      <c r="K452" s="6" t="n">
        <v>10306963.97721436</v>
      </c>
      <c r="L452" s="18" t="n">
        <v>11675707.12327601</v>
      </c>
      <c r="M452" s="18" t="n">
        <v>13188111.84760218</v>
      </c>
      <c r="N452" s="23">
        <f>IF(L452=0,"",M452/L452)</f>
        <v/>
      </c>
      <c r="O452" s="6" t="n">
        <v>14194856.25554466</v>
      </c>
      <c r="P452" s="22">
        <f>M452*G452*(1+H452+I452)</f>
        <v/>
      </c>
      <c r="Q452" s="6" t="n">
        <v>10034033.78215903</v>
      </c>
      <c r="R452" s="22">
        <f>P452-M452*G452*J452</f>
        <v/>
      </c>
      <c r="S452" s="22">
        <f>IF(A452=A451,O452-O451,"")</f>
        <v/>
      </c>
      <c r="T452" s="22">
        <f>IF(A452=A451,P452-P451,"")</f>
        <v/>
      </c>
      <c r="U452" s="22">
        <f>IF(A452=A451,Q452-Q451,"")</f>
        <v/>
      </c>
      <c r="V452" s="22">
        <f>IF(A452=A451,R452-R451,"")</f>
        <v/>
      </c>
      <c r="W452" s="22">
        <f>IF(S452="","",D452-S452)</f>
        <v/>
      </c>
      <c r="X452" s="22">
        <f>IF(T452="","",D452-T452)</f>
        <v/>
      </c>
      <c r="Y452" s="22">
        <f>IF(U452="","",F452-U452)</f>
        <v/>
      </c>
      <c r="Z452" s="22">
        <f>IF(V452="","",F452-V452)</f>
        <v/>
      </c>
      <c r="AA452" s="6" t="n">
        <v>13188111.84760218</v>
      </c>
      <c r="AB452" s="6" t="n">
        <v>11454699.91410733</v>
      </c>
      <c r="AC452" s="6" t="n">
        <v>3920499.632159535</v>
      </c>
      <c r="AD452" s="6" t="n">
        <v>1702229.297679302</v>
      </c>
      <c r="AE452" s="6" t="n">
        <v>1409318.048108388</v>
      </c>
      <c r="AF452" s="6" t="n">
        <v>13074597.71778325</v>
      </c>
      <c r="AG452" s="6" t="n">
        <v>843197.9959941423</v>
      </c>
      <c r="AH452" s="6" t="n">
        <v>1063974.915691427</v>
      </c>
      <c r="AI452" s="6" t="n">
        <v>1331677.633205046</v>
      </c>
      <c r="AJ452" s="6" t="n">
        <v>1136408.7549974</v>
      </c>
      <c r="AK452" s="6" t="n">
        <v>1189608.294157073</v>
      </c>
      <c r="AL452" s="6" t="n">
        <v>818811.3661461947</v>
      </c>
      <c r="AM452" s="6" t="n">
        <v>346049.5025718011</v>
      </c>
      <c r="AN452" s="6" t="n">
        <v>516211.3567488141</v>
      </c>
      <c r="AO452" s="6" t="n">
        <v>771898.0752914337</v>
      </c>
      <c r="AP452" s="6" t="n">
        <v>655480.8170382794</v>
      </c>
      <c r="AQ452" s="6" t="n">
        <v>695350.1603851001</v>
      </c>
      <c r="AR452" s="6" t="n">
        <v>330024.7416608188</v>
      </c>
    </row>
    <row r="453">
      <c r="A453" t="inlineStr">
        <is>
          <t>RC</t>
        </is>
      </c>
      <c r="B453" s="8" t="n">
        <v>202402</v>
      </c>
      <c r="C453" s="8" t="n">
        <v>2024</v>
      </c>
      <c r="D453" s="9" t="n">
        <v>646466.0056768733</v>
      </c>
      <c r="E453" s="10" t="n">
        <v>0.4031336158303102</v>
      </c>
      <c r="F453" s="22">
        <f>D453*(1-E453)</f>
        <v/>
      </c>
      <c r="G453" s="10" t="n">
        <v>0.8371420000000002</v>
      </c>
      <c r="H453" s="10" t="n">
        <v>0.0337428551020165</v>
      </c>
      <c r="I453" s="10" t="n">
        <v>0.3194618746041774</v>
      </c>
      <c r="J453" s="10" t="n">
        <v>0.4029382256799716</v>
      </c>
      <c r="K453" s="9" t="n">
        <v>8705158.888960555</v>
      </c>
      <c r="L453" s="18" t="n">
        <v>10398664.61001903</v>
      </c>
      <c r="M453" s="18" t="n">
        <v>11801435.05626353</v>
      </c>
      <c r="N453" s="23">
        <f>IF(L453=0,"",M453/L453)</f>
        <v/>
      </c>
      <c r="O453" s="9" t="n">
        <v>11779862.18138534</v>
      </c>
      <c r="P453" s="22">
        <f>M453*G453*(1+H453+I453)</f>
        <v/>
      </c>
      <c r="Q453" s="9" t="n">
        <v>8272220.90440534</v>
      </c>
      <c r="R453" s="22">
        <f>P453-M453*G453*J453</f>
        <v/>
      </c>
      <c r="S453" s="22">
        <f>IF(A453=A452,O453-O452,"")</f>
        <v/>
      </c>
      <c r="T453" s="22">
        <f>IF(A453=A452,P453-P452,"")</f>
        <v/>
      </c>
      <c r="U453" s="22">
        <f>IF(A453=A452,Q453-Q452,"")</f>
        <v/>
      </c>
      <c r="V453" s="22">
        <f>IF(A453=A452,R453-R452,"")</f>
        <v/>
      </c>
      <c r="W453" s="22">
        <f>IF(S453="","",D453-S453)</f>
        <v/>
      </c>
      <c r="X453" s="22">
        <f>IF(T453="","",D453-T453)</f>
        <v/>
      </c>
      <c r="Y453" s="22">
        <f>IF(U453="","",F453-U453)</f>
        <v/>
      </c>
      <c r="Z453" s="22">
        <f>IF(V453="","",F453-V453)</f>
        <v/>
      </c>
      <c r="AA453" s="9" t="n">
        <v>11801435.05626353</v>
      </c>
      <c r="AB453" s="9" t="n">
        <v>10089185.43651249</v>
      </c>
      <c r="AC453" s="9" t="n">
        <v>3435567.825003291</v>
      </c>
      <c r="AD453" s="9" t="n">
        <v>1474259.722152093</v>
      </c>
      <c r="AE453" s="9" t="n">
        <v>1184754.619471069</v>
      </c>
      <c r="AF453" s="9" t="n">
        <v>11700047.8263725</v>
      </c>
      <c r="AG453" s="9" t="n">
        <v>3311088.312597573</v>
      </c>
      <c r="AH453" s="9" t="n">
        <v>3143353.976681164</v>
      </c>
      <c r="AI453" s="9" t="n">
        <v>1520956.704960307</v>
      </c>
      <c r="AJ453" s="9" t="n">
        <v>1045890.534156405</v>
      </c>
      <c r="AK453" s="9" t="n">
        <v>1017739.266617223</v>
      </c>
      <c r="AL453" s="9" t="n">
        <v>3287936.327506818</v>
      </c>
      <c r="AM453" s="9" t="n">
        <v>2331503.283130688</v>
      </c>
      <c r="AN453" s="9" t="n">
        <v>2203927.572944773</v>
      </c>
      <c r="AO453" s="9" t="n">
        <v>1022086.373956027</v>
      </c>
      <c r="AP453" s="9" t="n">
        <v>675954.232195403</v>
      </c>
      <c r="AQ453" s="9" t="n">
        <v>654531.659035861</v>
      </c>
      <c r="AR453" s="9" t="n">
        <v>2314604.262667521</v>
      </c>
    </row>
    <row r="454">
      <c r="A454" s="4" t="inlineStr">
        <is>
          <t>RC</t>
        </is>
      </c>
      <c r="B454" s="5" t="n">
        <v>202403</v>
      </c>
      <c r="C454" s="5" t="n">
        <v>2024</v>
      </c>
      <c r="D454" s="6" t="n">
        <v>2733090.73789059</v>
      </c>
      <c r="E454" s="11" t="n">
        <v>0.4031336158303102</v>
      </c>
      <c r="F454" s="22">
        <f>D454*(1-E454)</f>
        <v/>
      </c>
      <c r="G454" s="11" t="n">
        <v>1.00508</v>
      </c>
      <c r="H454" s="11" t="n">
        <v>0.02810481851764136</v>
      </c>
      <c r="I454" s="11" t="n">
        <v>0.3014730316778759</v>
      </c>
      <c r="J454" s="11" t="n">
        <v>0.4150231933651864</v>
      </c>
      <c r="K454" s="6" t="n">
        <v>11000548.96664151</v>
      </c>
      <c r="L454" s="18" t="n">
        <v>10944948.62761323</v>
      </c>
      <c r="M454" s="18" t="n">
        <v>12425788.66901378</v>
      </c>
      <c r="N454" s="23">
        <f>IF(L454=0,"",M454/L454)</f>
        <v/>
      </c>
      <c r="O454" s="6" t="n">
        <v>14626086.24603774</v>
      </c>
      <c r="P454" s="22">
        <f>M454*G454*(1+H454+I454)</f>
        <v/>
      </c>
      <c r="Q454" s="6" t="n">
        <v>10060603.28513208</v>
      </c>
      <c r="R454" s="22">
        <f>P454-M454*G454*J454</f>
        <v/>
      </c>
      <c r="S454" s="22">
        <f>IF(A454=A453,O454-O453,"")</f>
        <v/>
      </c>
      <c r="T454" s="22">
        <f>IF(A454=A453,P454-P453,"")</f>
        <v/>
      </c>
      <c r="U454" s="22">
        <f>IF(A454=A453,Q454-Q453,"")</f>
        <v/>
      </c>
      <c r="V454" s="22">
        <f>IF(A454=A453,R454-R453,"")</f>
        <v/>
      </c>
      <c r="W454" s="22">
        <f>IF(S454="","",D454-S454)</f>
        <v/>
      </c>
      <c r="X454" s="22">
        <f>IF(T454="","",D454-T454)</f>
        <v/>
      </c>
      <c r="Y454" s="22">
        <f>IF(U454="","",F454-U454)</f>
        <v/>
      </c>
      <c r="Z454" s="22">
        <f>IF(V454="","",F454-V454)</f>
        <v/>
      </c>
      <c r="AA454" s="6" t="n">
        <v>12425788.66901378</v>
      </c>
      <c r="AB454" s="6" t="n">
        <v>10735479.18773472</v>
      </c>
      <c r="AC454" s="6" t="n">
        <v>2945649.247470311</v>
      </c>
      <c r="AD454" s="6" t="n">
        <v>1664657.852176531</v>
      </c>
      <c r="AE454" s="6" t="n">
        <v>1341128.198865619</v>
      </c>
      <c r="AF454" s="6" t="n">
        <v>12295723.37688102</v>
      </c>
      <c r="AG454" s="6" t="n">
        <v>-502934.668663708</v>
      </c>
      <c r="AH454" s="6" t="n">
        <v>-183798.1833643145</v>
      </c>
      <c r="AI454" s="6" t="n">
        <v>2688620.52754899</v>
      </c>
      <c r="AJ454" s="6" t="n">
        <v>2178632.558078423</v>
      </c>
      <c r="AK454" s="6" t="n">
        <v>2283017.143737952</v>
      </c>
      <c r="AL454" s="6" t="n">
        <v>-443978.1823632228</v>
      </c>
      <c r="AM454" s="6" t="n">
        <v>-402366.3262351416</v>
      </c>
      <c r="AN454" s="6" t="n">
        <v>-210741.1196192559</v>
      </c>
      <c r="AO454" s="6" t="n">
        <v>1656669.142127079</v>
      </c>
      <c r="AP454" s="6" t="n">
        <v>1273920.904570199</v>
      </c>
      <c r="AQ454" s="6" t="n">
        <v>1341005.928508123</v>
      </c>
      <c r="AR454" s="6" t="n">
        <v>-363464.5850344617</v>
      </c>
    </row>
    <row r="455">
      <c r="A455" t="inlineStr">
        <is>
          <t>RC</t>
        </is>
      </c>
      <c r="B455" s="8" t="n">
        <v>202404</v>
      </c>
      <c r="C455" s="8" t="n">
        <v>2024</v>
      </c>
      <c r="D455" s="9" t="n">
        <v>2317459.997037567</v>
      </c>
      <c r="E455" s="10" t="n">
        <v>0.4031336158303102</v>
      </c>
      <c r="F455" s="22">
        <f>D455*(1-E455)</f>
        <v/>
      </c>
      <c r="G455" s="10" t="n">
        <v>0.8206100000000001</v>
      </c>
      <c r="H455" s="10" t="n">
        <v>0.03442244588625178</v>
      </c>
      <c r="I455" s="10" t="n">
        <v>0.2574461289479376</v>
      </c>
      <c r="J455" s="10" t="n">
        <v>0.4306204308421384</v>
      </c>
      <c r="K455" s="9" t="n">
        <v>9374962.758367006</v>
      </c>
      <c r="L455" s="18" t="n">
        <v>11424382.78642352</v>
      </c>
      <c r="M455" s="18" t="n">
        <v>12700765.61100553</v>
      </c>
      <c r="N455" s="23">
        <f>IF(L455=0,"",M455/L455)</f>
        <v/>
      </c>
      <c r="O455" s="9" t="n">
        <v>12111219.77777518</v>
      </c>
      <c r="P455" s="22">
        <f>M455*G455*(1+H455+I455)</f>
        <v/>
      </c>
      <c r="Q455" s="9" t="n">
        <v>8074169.275638184</v>
      </c>
      <c r="R455" s="22">
        <f>P455-M455*G455*J455</f>
        <v/>
      </c>
      <c r="S455" s="22">
        <f>IF(A455=A454,O455-O454,"")</f>
        <v/>
      </c>
      <c r="T455" s="22">
        <f>IF(A455=A454,P455-P454,"")</f>
        <v/>
      </c>
      <c r="U455" s="22">
        <f>IF(A455=A454,Q455-Q454,"")</f>
        <v/>
      </c>
      <c r="V455" s="22">
        <f>IF(A455=A454,R455-R454,"")</f>
        <v/>
      </c>
      <c r="W455" s="22">
        <f>IF(S455="","",D455-S455)</f>
        <v/>
      </c>
      <c r="X455" s="22">
        <f>IF(T455="","",D455-T455)</f>
        <v/>
      </c>
      <c r="Y455" s="22">
        <f>IF(U455="","",F455-U455)</f>
        <v/>
      </c>
      <c r="Z455" s="22">
        <f>IF(V455="","",F455-V455)</f>
        <v/>
      </c>
      <c r="AA455" s="9" t="n">
        <v>12700765.61100553</v>
      </c>
      <c r="AB455" s="9" t="n">
        <v>11130979.80081405</v>
      </c>
      <c r="AC455" s="9" t="n">
        <v>2704578.166568704</v>
      </c>
      <c r="AD455" s="9" t="n">
        <v>1754626.223507712</v>
      </c>
      <c r="AE455" s="9" t="n">
        <v>1413932.853359161</v>
      </c>
      <c r="AF455" s="9" t="n">
        <v>12653216.16445068</v>
      </c>
      <c r="AG455" s="9" t="n">
        <v>5458101.249847913</v>
      </c>
      <c r="AH455" s="9" t="n">
        <v>4863448.180306444</v>
      </c>
      <c r="AI455" s="9" t="n">
        <v>3386647.519078068</v>
      </c>
      <c r="AJ455" s="9" t="n">
        <v>2681880.901953938</v>
      </c>
      <c r="AK455" s="9" t="n">
        <v>2610713.787052935</v>
      </c>
      <c r="AL455" s="9" t="n">
        <v>5334698.956313871</v>
      </c>
      <c r="AM455" s="9" t="n">
        <v>3828754.944823013</v>
      </c>
      <c r="AN455" s="9" t="n">
        <v>3384465.764288521</v>
      </c>
      <c r="AO455" s="9" t="n">
        <v>2179399.027913935</v>
      </c>
      <c r="AP455" s="9" t="n">
        <v>1673288.409110504</v>
      </c>
      <c r="AQ455" s="9" t="n">
        <v>1616684.40341077</v>
      </c>
      <c r="AR455" s="9" t="n">
        <v>3742804.367141175</v>
      </c>
    </row>
    <row r="456">
      <c r="A456" s="4" t="inlineStr">
        <is>
          <t>RC</t>
        </is>
      </c>
      <c r="B456" s="5" t="n">
        <v>202405</v>
      </c>
      <c r="C456" s="5" t="n">
        <v>2024</v>
      </c>
      <c r="D456" s="6" t="n">
        <v>978261.7060978241</v>
      </c>
      <c r="E456" s="11" t="n">
        <v>0.4031336158303102</v>
      </c>
      <c r="F456" s="22">
        <f>D456*(1-E456)</f>
        <v/>
      </c>
      <c r="G456" s="11" t="n">
        <v>0.8878700000000002</v>
      </c>
      <c r="H456" s="11" t="n">
        <v>0.03181458324204515</v>
      </c>
      <c r="I456" s="11" t="n">
        <v>0.2551765614244458</v>
      </c>
      <c r="J456" s="11" t="n">
        <v>0.4184578333784568</v>
      </c>
      <c r="K456" s="6" t="n">
        <v>9267601.014250183</v>
      </c>
      <c r="L456" s="18" t="n">
        <v>10438015.71654655</v>
      </c>
      <c r="M456" s="18" t="n">
        <v>11759591.03016597</v>
      </c>
      <c r="N456" s="23">
        <f>IF(L456=0,"",M456/L456)</f>
        <v/>
      </c>
      <c r="O456" s="6" t="n">
        <v>11927320.43764218</v>
      </c>
      <c r="P456" s="22">
        <f>M456*G456*(1+H456+I456)</f>
        <v/>
      </c>
      <c r="Q456" s="6" t="n">
        <v>8049220.19660306</v>
      </c>
      <c r="R456" s="22">
        <f>P456-M456*G456*J456</f>
        <v/>
      </c>
      <c r="S456" s="22">
        <f>IF(A456=A455,O456-O455,"")</f>
        <v/>
      </c>
      <c r="T456" s="22">
        <f>IF(A456=A455,P456-P455,"")</f>
        <v/>
      </c>
      <c r="U456" s="22">
        <f>IF(A456=A455,Q456-Q455,"")</f>
        <v/>
      </c>
      <c r="V456" s="22">
        <f>IF(A456=A455,R456-R455,"")</f>
        <v/>
      </c>
      <c r="W456" s="22">
        <f>IF(S456="","",D456-S456)</f>
        <v/>
      </c>
      <c r="X456" s="22">
        <f>IF(T456="","",D456-T456)</f>
        <v/>
      </c>
      <c r="Y456" s="22">
        <f>IF(U456="","",F456-U456)</f>
        <v/>
      </c>
      <c r="Z456" s="22">
        <f>IF(V456="","",F456-V456)</f>
        <v/>
      </c>
      <c r="AA456" s="6" t="n">
        <v>11759591.03016597</v>
      </c>
      <c r="AB456" s="6" t="n">
        <v>10211475.63701792</v>
      </c>
      <c r="AC456" s="6" t="n">
        <v>2313263.351084345</v>
      </c>
      <c r="AD456" s="6" t="n">
        <v>1520538.946620809</v>
      </c>
      <c r="AE456" s="6" t="n">
        <v>1175717.66449087</v>
      </c>
      <c r="AF456" s="6" t="n">
        <v>11717982.11467276</v>
      </c>
      <c r="AG456" s="6" t="n">
        <v>1005141.57925271</v>
      </c>
      <c r="AH456" s="6" t="n">
        <v>1109981.599120933</v>
      </c>
      <c r="AI456" s="6" t="n">
        <v>1202118.164999267</v>
      </c>
      <c r="AJ456" s="6" t="n">
        <v>1100885.832062561</v>
      </c>
      <c r="AK456" s="6" t="n">
        <v>1133730.552149965</v>
      </c>
      <c r="AL456" s="6" t="n">
        <v>1002279.157067762</v>
      </c>
      <c r="AM456" s="6" t="n">
        <v>491796.9257354913</v>
      </c>
      <c r="AN456" s="6" t="n">
        <v>576173.5618748469</v>
      </c>
      <c r="AO456" s="6" t="n">
        <v>711488.3016668987</v>
      </c>
      <c r="AP456" s="6" t="n">
        <v>651416.0685311891</v>
      </c>
      <c r="AQ456" s="6" t="n">
        <v>676538.5187674141</v>
      </c>
      <c r="AR456" s="6" t="n">
        <v>490277.9030193305</v>
      </c>
    </row>
    <row r="457">
      <c r="A457" t="inlineStr">
        <is>
          <t>RC</t>
        </is>
      </c>
      <c r="B457" s="8" t="n">
        <v>202406</v>
      </c>
      <c r="C457" s="8" t="n">
        <v>2024</v>
      </c>
      <c r="D457" s="9" t="n">
        <v>1172316.049422882</v>
      </c>
      <c r="E457" s="10" t="n">
        <v>0.4031336158303102</v>
      </c>
      <c r="F457" s="22">
        <f>D457*(1-E457)</f>
        <v/>
      </c>
      <c r="G457" s="10" t="n">
        <v>1.00672</v>
      </c>
      <c r="H457" s="10" t="n">
        <v>0.02805861023577146</v>
      </c>
      <c r="I457" s="10" t="n">
        <v>0.2183591352317726</v>
      </c>
      <c r="J457" s="10" t="n">
        <v>0.4258863148176739</v>
      </c>
      <c r="K457" s="9" t="n">
        <v>10343456.0198401</v>
      </c>
      <c r="L457" s="18" t="n">
        <v>10274411.97139234</v>
      </c>
      <c r="M457" s="18" t="n">
        <v>11011483.99579627</v>
      </c>
      <c r="N457" s="23">
        <f>IF(L457=0,"",M457/L457)</f>
        <v/>
      </c>
      <c r="O457" s="9" t="n">
        <v>12892267.13259179</v>
      </c>
      <c r="P457" s="22">
        <f>M457*G457*(1+H457+I457)</f>
        <v/>
      </c>
      <c r="Q457" s="9" t="n">
        <v>8487130.765823405</v>
      </c>
      <c r="R457" s="22">
        <f>P457-M457*G457*J457</f>
        <v/>
      </c>
      <c r="S457" s="22">
        <f>IF(A457=A456,O457-O456,"")</f>
        <v/>
      </c>
      <c r="T457" s="22">
        <f>IF(A457=A456,P457-P456,"")</f>
        <v/>
      </c>
      <c r="U457" s="22">
        <f>IF(A457=A456,Q457-Q456,"")</f>
        <v/>
      </c>
      <c r="V457" s="22">
        <f>IF(A457=A456,R457-R456,"")</f>
        <v/>
      </c>
      <c r="W457" s="22">
        <f>IF(S457="","",D457-S457)</f>
        <v/>
      </c>
      <c r="X457" s="22">
        <f>IF(T457="","",D457-T457)</f>
        <v/>
      </c>
      <c r="Y457" s="22">
        <f>IF(U457="","",F457-U457)</f>
        <v/>
      </c>
      <c r="Z457" s="22">
        <f>IF(V457="","",F457-V457)</f>
        <v/>
      </c>
      <c r="AA457" s="9" t="n">
        <v>11011483.99579627</v>
      </c>
      <c r="AB457" s="9" t="n">
        <v>9451623.207423603</v>
      </c>
      <c r="AC457" s="9" t="n">
        <v>2048799.973919556</v>
      </c>
      <c r="AD457" s="9" t="n">
        <v>1268213.349549236</v>
      </c>
      <c r="AE457" s="9" t="n">
        <v>906913.8144567799</v>
      </c>
      <c r="AF457" s="9" t="n">
        <v>10998618.27606573</v>
      </c>
      <c r="AG457" s="9" t="n">
        <v>792634.8150366836</v>
      </c>
      <c r="AH457" s="9" t="n">
        <v>980936.4839202084</v>
      </c>
      <c r="AI457" s="9" t="n">
        <v>1244816.485994286</v>
      </c>
      <c r="AJ457" s="9" t="n">
        <v>1318460.664698722</v>
      </c>
      <c r="AK457" s="9" t="n">
        <v>1377796.367244843</v>
      </c>
      <c r="AL457" s="9" t="n">
        <v>761232.9287575812</v>
      </c>
      <c r="AM457" s="9" t="n">
        <v>672076.2762475257</v>
      </c>
      <c r="AN457" s="9" t="n">
        <v>766771.1723668353</v>
      </c>
      <c r="AO457" s="9" t="n">
        <v>791174.9497522694</v>
      </c>
      <c r="AP457" s="9" t="n">
        <v>824669.7414221162</v>
      </c>
      <c r="AQ457" s="9" t="n">
        <v>857212.466886717</v>
      </c>
      <c r="AR457" s="9" t="n">
        <v>650617.4514200521</v>
      </c>
    </row>
    <row r="458">
      <c r="A458" s="4" t="inlineStr">
        <is>
          <t>RC</t>
        </is>
      </c>
      <c r="B458" s="5" t="n">
        <v>202407</v>
      </c>
      <c r="C458" s="5" t="n">
        <v>2024</v>
      </c>
      <c r="D458" s="6" t="n">
        <v>1793465.905616509</v>
      </c>
      <c r="E458" s="11" t="n">
        <v>0.4031336158303102</v>
      </c>
      <c r="F458" s="22">
        <f>D458*(1-E458)</f>
        <v/>
      </c>
      <c r="G458" s="11" t="n">
        <v>1.0521</v>
      </c>
      <c r="H458" s="11" t="n">
        <v>0.02684834349831007</v>
      </c>
      <c r="I458" s="11" t="n">
        <v>0.1960669266221533</v>
      </c>
      <c r="J458" s="11" t="n">
        <v>0.464424237487079</v>
      </c>
      <c r="K458" s="6" t="n">
        <v>11296572.83866466</v>
      </c>
      <c r="L458" s="18" t="n">
        <v>10737166.46579666</v>
      </c>
      <c r="M458" s="18" t="n">
        <v>10909848.88457777</v>
      </c>
      <c r="N458" s="23">
        <f>IF(L458=0,"",M458/L458)</f>
        <v/>
      </c>
      <c r="O458" s="6" t="n">
        <v>13814751.42443109</v>
      </c>
      <c r="P458" s="22">
        <f>M458*G458*(1+H458+I458)</f>
        <v/>
      </c>
      <c r="Q458" s="6" t="n">
        <v>8568349.197617002</v>
      </c>
      <c r="R458" s="22">
        <f>P458-M458*G458*J458</f>
        <v/>
      </c>
      <c r="S458" s="22">
        <f>IF(A458=A457,O458-O457,"")</f>
        <v/>
      </c>
      <c r="T458" s="22">
        <f>IF(A458=A457,P458-P457,"")</f>
        <v/>
      </c>
      <c r="U458" s="22">
        <f>IF(A458=A457,Q458-Q457,"")</f>
        <v/>
      </c>
      <c r="V458" s="22">
        <f>IF(A458=A457,R458-R457,"")</f>
        <v/>
      </c>
      <c r="W458" s="22">
        <f>IF(S458="","",D458-S458)</f>
        <v/>
      </c>
      <c r="X458" s="22">
        <f>IF(T458="","",D458-T458)</f>
        <v/>
      </c>
      <c r="Y458" s="22">
        <f>IF(U458="","",F458-U458)</f>
        <v/>
      </c>
      <c r="Z458" s="22">
        <f>IF(V458="","",F458-V458)</f>
        <v/>
      </c>
      <c r="AA458" s="6" t="n">
        <v>10909848.88457777</v>
      </c>
      <c r="AB458" s="6" t="n">
        <v>9363355.417794723</v>
      </c>
      <c r="AC458" s="6" t="n">
        <v>2172791.627780615</v>
      </c>
      <c r="AD458" s="6" t="n">
        <v>1865067.598410674</v>
      </c>
      <c r="AE458" s="6" t="n">
        <v>1470591.276594355</v>
      </c>
      <c r="AF458" s="6" t="n">
        <v>10875682.87277671</v>
      </c>
      <c r="AG458" s="6" t="n">
        <v>1573676.691656541</v>
      </c>
      <c r="AH458" s="6" t="n">
        <v>1606136.82753999</v>
      </c>
      <c r="AI458" s="6" t="n">
        <v>1568710.0920039</v>
      </c>
      <c r="AJ458" s="6" t="n">
        <v>985161.6428313563</v>
      </c>
      <c r="AK458" s="6" t="n">
        <v>1039350.00912142</v>
      </c>
      <c r="AL458" s="6" t="n">
        <v>1601491.854860721</v>
      </c>
      <c r="AM458" s="6" t="n">
        <v>1460294.011639926</v>
      </c>
      <c r="AN458" s="6" t="n">
        <v>1405892.980762915</v>
      </c>
      <c r="AO458" s="6" t="n">
        <v>1028955.304059377</v>
      </c>
      <c r="AP458" s="6" t="n">
        <v>629721.6773102039</v>
      </c>
      <c r="AQ458" s="6" t="n">
        <v>646067.2821502471</v>
      </c>
      <c r="AR458" s="6" t="n">
        <v>1476931.107953893</v>
      </c>
    </row>
    <row r="459">
      <c r="A459" t="inlineStr">
        <is>
          <t>RC</t>
        </is>
      </c>
      <c r="B459" s="8" t="n">
        <v>202408</v>
      </c>
      <c r="C459" s="8" t="n">
        <v>2024</v>
      </c>
      <c r="D459" s="9" t="n">
        <v>560270.0042584011</v>
      </c>
      <c r="E459" s="10" t="n">
        <v>0.4031336158303102</v>
      </c>
      <c r="F459" s="22">
        <f>D459*(1-E459)</f>
        <v/>
      </c>
      <c r="G459" s="10" t="n">
        <v>1.22047</v>
      </c>
      <c r="H459" s="10" t="n">
        <v>0.0231443340768115</v>
      </c>
      <c r="I459" s="10" t="n">
        <v>0.2847411884217819</v>
      </c>
      <c r="J459" s="10" t="n">
        <v>0.493753234362342</v>
      </c>
      <c r="K459" s="9" t="n">
        <v>13760807.45633847</v>
      </c>
      <c r="L459" s="18" t="n">
        <v>11275006.72391658</v>
      </c>
      <c r="M459" s="18" t="n">
        <v>9434025.054397559</v>
      </c>
      <c r="N459" s="23">
        <f>IF(L459=0,"",M459/L459)</f>
        <v/>
      </c>
      <c r="O459" s="9" t="n">
        <v>17997560.85003578</v>
      </c>
      <c r="P459" s="22">
        <f>M459*G459*(1+H459+I459)</f>
        <v/>
      </c>
      <c r="Q459" s="9" t="n">
        <v>11203117.66103123</v>
      </c>
      <c r="R459" s="22">
        <f>P459-M459*G459*J459</f>
        <v/>
      </c>
      <c r="S459" s="22">
        <f>IF(A459=A458,O459-O458,"")</f>
        <v/>
      </c>
      <c r="T459" s="22">
        <f>IF(A459=A458,P459-P458,"")</f>
        <v/>
      </c>
      <c r="U459" s="22">
        <f>IF(A459=A458,Q459-Q458,"")</f>
        <v/>
      </c>
      <c r="V459" s="22">
        <f>IF(A459=A458,R459-R458,"")</f>
        <v/>
      </c>
      <c r="W459" s="22">
        <f>IF(S459="","",D459-S459)</f>
        <v/>
      </c>
      <c r="X459" s="22">
        <f>IF(T459="","",D459-T459)</f>
        <v/>
      </c>
      <c r="Y459" s="22">
        <f>IF(U459="","",F459-U459)</f>
        <v/>
      </c>
      <c r="Z459" s="22">
        <f>IF(V459="","",F459-V459)</f>
        <v/>
      </c>
      <c r="AA459" s="9" t="n">
        <v>9434025.054397559</v>
      </c>
      <c r="AB459" s="9" t="n">
        <v>7934142.756281151</v>
      </c>
      <c r="AC459" s="9" t="n">
        <v>1910862.412500792</v>
      </c>
      <c r="AD459" s="9" t="n">
        <v>1722624.088737368</v>
      </c>
      <c r="AE459" s="9" t="n">
        <v>1350235.774353567</v>
      </c>
      <c r="AF459" s="9" t="n">
        <v>9563776.860758156</v>
      </c>
      <c r="AG459" s="9" t="n">
        <v>-461721.7310745573</v>
      </c>
      <c r="AH459" s="9" t="n">
        <v>-57320.62893302052</v>
      </c>
      <c r="AI459" s="9" t="n">
        <v>305661.5153925902</v>
      </c>
      <c r="AJ459" s="9" t="n">
        <v>210207.4162456229</v>
      </c>
      <c r="AK459" s="9" t="n">
        <v>297081.9566288107</v>
      </c>
      <c r="AL459" s="9" t="n">
        <v>-712795.0982804509</v>
      </c>
      <c r="AM459" s="9" t="n">
        <v>-333316.4759907309</v>
      </c>
      <c r="AN459" s="9" t="n">
        <v>-77112.17776453547</v>
      </c>
      <c r="AO459" s="9" t="n">
        <v>169633.51739511</v>
      </c>
      <c r="AP459" s="9" t="n">
        <v>111105.2748818159</v>
      </c>
      <c r="AQ459" s="9" t="n">
        <v>166323.8294244985</v>
      </c>
      <c r="AR459" s="9" t="n">
        <v>-489505.7541458714</v>
      </c>
    </row>
    <row r="460">
      <c r="A460" s="4" t="inlineStr">
        <is>
          <t>RC</t>
        </is>
      </c>
      <c r="B460" s="5" t="n">
        <v>202409</v>
      </c>
      <c r="C460" s="5" t="n">
        <v>2024</v>
      </c>
      <c r="D460" s="6" t="n">
        <v>1230853.731953941</v>
      </c>
      <c r="E460" s="11" t="n">
        <v>0.4031336158303102</v>
      </c>
      <c r="F460" s="22">
        <f>D460*(1-E460)</f>
        <v/>
      </c>
      <c r="G460" s="11" t="n">
        <v>1.18869</v>
      </c>
      <c r="H460" s="11" t="n">
        <v>0.02376351257313452</v>
      </c>
      <c r="I460" s="11" t="n">
        <v>0.2860074870696085</v>
      </c>
      <c r="J460" s="11" t="n">
        <v>0.4732931392294245</v>
      </c>
      <c r="K460" s="6" t="n">
        <v>12491028.09451506</v>
      </c>
      <c r="L460" s="18" t="n">
        <v>10508230.14790657</v>
      </c>
      <c r="M460" s="18" t="n">
        <v>8775075.413950693</v>
      </c>
      <c r="N460" s="23">
        <f>IF(L460=0,"",M460/L460)</f>
        <v/>
      </c>
      <c r="O460" s="6" t="n">
        <v>16360386.35391858</v>
      </c>
      <c r="P460" s="22">
        <f>M460*G460*(1+H460+I460)</f>
        <v/>
      </c>
      <c r="Q460" s="6" t="n">
        <v>10448468.45486261</v>
      </c>
      <c r="R460" s="22">
        <f>P460-M460*G460*J460</f>
        <v/>
      </c>
      <c r="S460" s="22">
        <f>IF(A460=A459,O460-O459,"")</f>
        <v/>
      </c>
      <c r="T460" s="22">
        <f>IF(A460=A459,P460-P459,"")</f>
        <v/>
      </c>
      <c r="U460" s="22">
        <f>IF(A460=A459,Q460-Q459,"")</f>
        <v/>
      </c>
      <c r="V460" s="22">
        <f>IF(A460=A459,R460-R459,"")</f>
        <v/>
      </c>
      <c r="W460" s="22">
        <f>IF(S460="","",D460-S460)</f>
        <v/>
      </c>
      <c r="X460" s="22">
        <f>IF(T460="","",D460-T460)</f>
        <v/>
      </c>
      <c r="Y460" s="22">
        <f>IF(U460="","",F460-U460)</f>
        <v/>
      </c>
      <c r="Z460" s="22">
        <f>IF(V460="","",F460-V460)</f>
        <v/>
      </c>
      <c r="AA460" s="6" t="n">
        <v>8775075.413950693</v>
      </c>
      <c r="AB460" s="6" t="n">
        <v>7246732.913078038</v>
      </c>
      <c r="AC460" s="6" t="n">
        <v>1864364.643648105</v>
      </c>
      <c r="AD460" s="6" t="n">
        <v>1626477.08767644</v>
      </c>
      <c r="AE460" s="6" t="n">
        <v>1264453.258476872</v>
      </c>
      <c r="AF460" s="6" t="n">
        <v>8948427.356184684</v>
      </c>
      <c r="AG460" s="6" t="n">
        <v>2627757.637600302</v>
      </c>
      <c r="AH460" s="6" t="n">
        <v>2613087.257273957</v>
      </c>
      <c r="AI460" s="6" t="n">
        <v>1378388.171061511</v>
      </c>
      <c r="AJ460" s="6" t="n">
        <v>1448285.478807968</v>
      </c>
      <c r="AK460" s="6" t="n">
        <v>1417505.333127088</v>
      </c>
      <c r="AL460" s="6" t="n">
        <v>2564978.352616222</v>
      </c>
      <c r="AM460" s="6" t="n">
        <v>1383358.844188403</v>
      </c>
      <c r="AN460" s="6" t="n">
        <v>1412690.360224335</v>
      </c>
      <c r="AO460" s="6" t="n">
        <v>779572.2789637798</v>
      </c>
      <c r="AP460" s="6" t="n">
        <v>829068.8144233781</v>
      </c>
      <c r="AQ460" s="6" t="n">
        <v>819019.7872396326</v>
      </c>
      <c r="AR460" s="6" t="n">
        <v>1339917.290566698</v>
      </c>
    </row>
    <row r="461">
      <c r="A461" t="inlineStr">
        <is>
          <t>RC</t>
        </is>
      </c>
      <c r="B461" s="8" t="n">
        <v>202410</v>
      </c>
      <c r="C461" s="8" t="n">
        <v>2024</v>
      </c>
      <c r="D461" s="9" t="n">
        <v>1235363.21284421</v>
      </c>
      <c r="E461" s="10" t="n">
        <v>0.4031336158303102</v>
      </c>
      <c r="F461" s="22">
        <f>D461*(1-E461)</f>
        <v/>
      </c>
      <c r="G461" s="10" t="n">
        <v>1.41036</v>
      </c>
      <c r="H461" s="10" t="n">
        <v>0.02002826986414514</v>
      </c>
      <c r="I461" s="10" t="n">
        <v>0.296747612451518</v>
      </c>
      <c r="J461" s="10" t="n">
        <v>0.4769764821159731</v>
      </c>
      <c r="K461" s="9" t="n">
        <v>13972428.15565517</v>
      </c>
      <c r="L461" s="18" t="n">
        <v>9906994.069354752</v>
      </c>
      <c r="M461" s="18" t="n">
        <v>8154809.601323691</v>
      </c>
      <c r="N461" s="23">
        <f>IF(L461=0,"",M461/L461)</f>
        <v/>
      </c>
      <c r="O461" s="9" t="n">
        <v>18398556.41275505</v>
      </c>
      <c r="P461" s="22">
        <f>M461*G461*(1+H461+I461)</f>
        <v/>
      </c>
      <c r="Q461" s="9" t="n">
        <v>11734036.78445247</v>
      </c>
      <c r="R461" s="22">
        <f>P461-M461*G461*J461</f>
        <v/>
      </c>
      <c r="S461" s="22">
        <f>IF(A461=A460,O461-O460,"")</f>
        <v/>
      </c>
      <c r="T461" s="22">
        <f>IF(A461=A460,P461-P460,"")</f>
        <v/>
      </c>
      <c r="U461" s="22">
        <f>IF(A461=A460,Q461-Q460,"")</f>
        <v/>
      </c>
      <c r="V461" s="22">
        <f>IF(A461=A460,R461-R460,"")</f>
        <v/>
      </c>
      <c r="W461" s="22">
        <f>IF(S461="","",D461-S461)</f>
        <v/>
      </c>
      <c r="X461" s="22">
        <f>IF(T461="","",D461-T461)</f>
        <v/>
      </c>
      <c r="Y461" s="22">
        <f>IF(U461="","",F461-U461)</f>
        <v/>
      </c>
      <c r="Z461" s="22">
        <f>IF(V461="","",F461-V461)</f>
        <v/>
      </c>
      <c r="AA461" s="9" t="n">
        <v>8154809.601323691</v>
      </c>
      <c r="AB461" s="9" t="n">
        <v>6810820.10671665</v>
      </c>
      <c r="AC461" s="9" t="n">
        <v>1660528.827815598</v>
      </c>
      <c r="AD461" s="9" t="n">
        <v>1535144.353840729</v>
      </c>
      <c r="AE461" s="9" t="n">
        <v>1182389.904871267</v>
      </c>
      <c r="AF461" s="9" t="n">
        <v>8355182.385857135</v>
      </c>
      <c r="AG461" s="9" t="n">
        <v>-247144.8158753903</v>
      </c>
      <c r="AH461" s="9" t="n">
        <v>-130678.5541369298</v>
      </c>
      <c r="AI461" s="9" t="n">
        <v>1054199.683775756</v>
      </c>
      <c r="AJ461" s="9" t="n">
        <v>916684.7886510196</v>
      </c>
      <c r="AK461" s="9" t="n">
        <v>1008155.833150671</v>
      </c>
      <c r="AL461" s="9" t="n">
        <v>-349369.0658864488</v>
      </c>
      <c r="AM461" s="9" t="n">
        <v>-196198.1895194462</v>
      </c>
      <c r="AN461" s="9" t="n">
        <v>-124001.4635833789</v>
      </c>
      <c r="AO461" s="9" t="n">
        <v>624345.8354174088</v>
      </c>
      <c r="AP461" s="9" t="n">
        <v>536318.9911271475</v>
      </c>
      <c r="AQ461" s="9" t="n">
        <v>594163.28101426</v>
      </c>
      <c r="AR461" s="9" t="n">
        <v>-261157.5523588004</v>
      </c>
    </row>
    <row r="462">
      <c r="A462" s="4" t="inlineStr">
        <is>
          <t>RC</t>
        </is>
      </c>
      <c r="B462" s="5" t="n">
        <v>202411</v>
      </c>
      <c r="C462" s="5" t="n">
        <v>2024</v>
      </c>
      <c r="D462" s="6" t="n">
        <v>3876914.764451498</v>
      </c>
      <c r="E462" s="11" t="n">
        <v>0.4031336158303102</v>
      </c>
      <c r="F462" s="22">
        <f>D462*(1-E462)</f>
        <v/>
      </c>
      <c r="G462" s="11" t="n">
        <v>1.356384696410712</v>
      </c>
      <c r="H462" s="11" t="n">
        <v>0.02082548837695481</v>
      </c>
      <c r="I462" s="11" t="n">
        <v>0.2743356721114407</v>
      </c>
      <c r="J462" s="11" t="n">
        <v>0.4791066036660789</v>
      </c>
      <c r="K462" s="6" t="n">
        <v>16798668.67065139</v>
      </c>
      <c r="L462" s="18" t="n">
        <v>12384885.13996384</v>
      </c>
      <c r="M462" s="18" t="n">
        <v>10295081.44795063</v>
      </c>
      <c r="N462" s="23">
        <f>IF(L462=0,"",M462/L462)</f>
        <v/>
      </c>
      <c r="O462" s="6" t="n">
        <v>21756983.2101409</v>
      </c>
      <c r="P462" s="22">
        <f>M462*G462*(1+H462+I462)</f>
        <v/>
      </c>
      <c r="Q462" s="6" t="n">
        <v>13708630.11723335</v>
      </c>
      <c r="R462" s="22">
        <f>P462-M462*G462*J462</f>
        <v/>
      </c>
      <c r="S462" s="22">
        <f>IF(A462=A461,O462-O461,"")</f>
        <v/>
      </c>
      <c r="T462" s="22">
        <f>IF(A462=A461,P462-P461,"")</f>
        <v/>
      </c>
      <c r="U462" s="22">
        <f>IF(A462=A461,Q462-Q461,"")</f>
        <v/>
      </c>
      <c r="V462" s="22">
        <f>IF(A462=A461,R462-R461,"")</f>
        <v/>
      </c>
      <c r="W462" s="22">
        <f>IF(S462="","",D462-S462)</f>
        <v/>
      </c>
      <c r="X462" s="22">
        <f>IF(T462="","",D462-T462)</f>
        <v/>
      </c>
      <c r="Y462" s="22">
        <f>IF(U462="","",F462-U462)</f>
        <v/>
      </c>
      <c r="Z462" s="22">
        <f>IF(V462="","",F462-V462)</f>
        <v/>
      </c>
      <c r="AA462" s="6" t="n">
        <v>10295081.44795063</v>
      </c>
      <c r="AB462" s="6" t="n">
        <v>8975905.64167911</v>
      </c>
      <c r="AC462" s="6" t="n">
        <v>1854525.38362163</v>
      </c>
      <c r="AD462" s="6" t="n">
        <v>1560892.336495393</v>
      </c>
      <c r="AE462" s="6" t="n">
        <v>1183101.93236191</v>
      </c>
      <c r="AF462" s="6" t="n">
        <v>10541574.0132644</v>
      </c>
      <c r="AG462" s="6" t="n">
        <v>935692.0752837341</v>
      </c>
      <c r="AH462" s="6" t="n">
        <v>757176.1631055847</v>
      </c>
      <c r="AI462" s="6" t="n">
        <v>3702816.45466451</v>
      </c>
      <c r="AJ462" s="6" t="n">
        <v>3985797.406062661</v>
      </c>
      <c r="AK462" s="6" t="n">
        <v>3994365.5270983</v>
      </c>
      <c r="AL462" s="6" t="n">
        <v>874787.4357076325</v>
      </c>
      <c r="AM462" s="6" t="n">
        <v>577255.4308780618</v>
      </c>
      <c r="AN462" s="6" t="n">
        <v>445582.5672444785</v>
      </c>
      <c r="AO462" s="6" t="n">
        <v>2228018.479287315</v>
      </c>
      <c r="AP462" s="6" t="n">
        <v>2404528.361549527</v>
      </c>
      <c r="AQ462" s="6" t="n">
        <v>2404889.240365222</v>
      </c>
      <c r="AR462" s="6" t="n">
        <v>541742.2055053785</v>
      </c>
    </row>
    <row r="463">
      <c r="A463" t="inlineStr">
        <is>
          <t>RC</t>
        </is>
      </c>
      <c r="B463" s="8" t="n">
        <v>202412</v>
      </c>
      <c r="C463" s="8" t="n">
        <v>2024</v>
      </c>
      <c r="D463" s="9" t="n">
        <v>1549100.500511974</v>
      </c>
      <c r="E463" s="10" t="n">
        <v>0.4031336158303102</v>
      </c>
      <c r="F463" s="22">
        <f>D463*(1-E463)</f>
        <v/>
      </c>
      <c r="G463" s="10" t="n">
        <v>0.799773</v>
      </c>
      <c r="H463" s="10" t="n">
        <v>0.03803083304617032</v>
      </c>
      <c r="I463" s="10" t="n">
        <v>0.2091797249163559</v>
      </c>
      <c r="J463" s="10" t="n">
        <v>0.503550147175179</v>
      </c>
      <c r="K463" s="9" t="n">
        <v>9291415.239741609</v>
      </c>
      <c r="L463" s="18" t="n">
        <v>11617565.53389725</v>
      </c>
      <c r="M463" s="18" t="n">
        <v>10083219.30157971</v>
      </c>
      <c r="N463" s="23">
        <f>IF(L463=0,"",M463/L463)</f>
        <v/>
      </c>
      <c r="O463" s="9" t="n">
        <v>11588351.18541965</v>
      </c>
      <c r="P463" s="22">
        <f>M463*G463*(1+H463+I463)</f>
        <v/>
      </c>
      <c r="Q463" s="9" t="n">
        <v>6909657.673982061</v>
      </c>
      <c r="R463" s="22">
        <f>P463-M463*G463*J463</f>
        <v/>
      </c>
      <c r="S463" s="22">
        <f>IF(A463=A462,O463-O462,"")</f>
        <v/>
      </c>
      <c r="T463" s="22">
        <f>IF(A463=A462,P463-P462,"")</f>
        <v/>
      </c>
      <c r="U463" s="22">
        <f>IF(A463=A462,Q463-Q462,"")</f>
        <v/>
      </c>
      <c r="V463" s="22">
        <f>IF(A463=A462,R463-R462,"")</f>
        <v/>
      </c>
      <c r="W463" s="22">
        <f>IF(S463="","",D463-S463)</f>
        <v/>
      </c>
      <c r="X463" s="22">
        <f>IF(T463="","",D463-T463)</f>
        <v/>
      </c>
      <c r="Y463" s="22">
        <f>IF(U463="","",F463-U463)</f>
        <v/>
      </c>
      <c r="Z463" s="22">
        <f>IF(V463="","",F463-V463)</f>
        <v/>
      </c>
      <c r="AA463" s="9" t="n">
        <v>10083219.30157971</v>
      </c>
      <c r="AB463" s="9" t="n">
        <v>8805025.016608492</v>
      </c>
      <c r="AC463" s="9" t="n">
        <v>2303178.846825926</v>
      </c>
      <c r="AD463" s="9" t="n">
        <v>1646032.953921129</v>
      </c>
      <c r="AE463" s="9" t="n">
        <v>1265661.693529727</v>
      </c>
      <c r="AF463" s="9" t="n">
        <v>10451532.5279714</v>
      </c>
      <c r="AG463" s="9" t="n">
        <v>9576985.378999781</v>
      </c>
      <c r="AH463" s="9" t="n">
        <v>8534520.771774625</v>
      </c>
      <c r="AI463" s="9" t="n">
        <v>2509626.335582898</v>
      </c>
      <c r="AJ463" s="9" t="n">
        <v>2649283.750176994</v>
      </c>
      <c r="AK463" s="9" t="n">
        <v>2365020.205091447</v>
      </c>
      <c r="AL463" s="9" t="n">
        <v>9642620.893846354</v>
      </c>
      <c r="AM463" s="9" t="n">
        <v>6322975.396275345</v>
      </c>
      <c r="AN463" s="9" t="n">
        <v>5623019.135282435</v>
      </c>
      <c r="AO463" s="9" t="n">
        <v>1607512.786404052</v>
      </c>
      <c r="AP463" s="9" t="n">
        <v>1673338.864750972</v>
      </c>
      <c r="AQ463" s="9" t="n">
        <v>1481398.171574176</v>
      </c>
      <c r="AR463" s="9" t="n">
        <v>6376756.254427803</v>
      </c>
    </row>
    <row r="464">
      <c r="A464" s="4" t="inlineStr">
        <is>
          <t>RC</t>
        </is>
      </c>
      <c r="B464" s="5" t="n">
        <v>202501</v>
      </c>
      <c r="C464" s="5" t="n">
        <v>2025</v>
      </c>
      <c r="D464" s="6" t="n">
        <v>3154614.046546398</v>
      </c>
      <c r="E464" s="11" t="n">
        <v>0.4158467024757208</v>
      </c>
      <c r="F464" s="22">
        <f>D464*(1-E464)</f>
        <v/>
      </c>
      <c r="G464" s="11" t="n">
        <v>0.799773</v>
      </c>
      <c r="H464" s="11" t="n">
        <v>0.0332243614400662</v>
      </c>
      <c r="I464" s="11" t="n">
        <v>0.2409234460922938</v>
      </c>
      <c r="J464" s="11" t="n">
        <v>0.529407586960752</v>
      </c>
      <c r="K464" s="6" t="n">
        <v>12723801.12727255</v>
      </c>
      <c r="L464" s="18" t="n">
        <v>15909265.66322263</v>
      </c>
      <c r="M464" s="18" t="n">
        <v>11547742.86571647</v>
      </c>
      <c r="N464" s="23">
        <f>IF(L464=0,"",M464/L464)</f>
        <v/>
      </c>
      <c r="O464" s="6" t="n">
        <v>16212003.30979209</v>
      </c>
      <c r="P464" s="22">
        <f>M464*G464*(1+H464+I464)</f>
        <v/>
      </c>
      <c r="Q464" s="6" t="n">
        <v>9475926.458034236</v>
      </c>
      <c r="R464" s="22">
        <f>P464-M464*G464*J464</f>
        <v/>
      </c>
      <c r="S464" s="22">
        <f>IF(A464=A463,O464-O463,"")</f>
        <v/>
      </c>
      <c r="T464" s="22">
        <f>IF(A464=A463,P464-P463,"")</f>
        <v/>
      </c>
      <c r="U464" s="22">
        <f>IF(A464=A463,Q464-Q463,"")</f>
        <v/>
      </c>
      <c r="V464" s="22">
        <f>IF(A464=A463,R464-R463,"")</f>
        <v/>
      </c>
      <c r="W464" s="22">
        <f>IF(S464="","",D464-S464)</f>
        <v/>
      </c>
      <c r="X464" s="22">
        <f>IF(T464="","",D464-T464)</f>
        <v/>
      </c>
      <c r="Y464" s="22">
        <f>IF(U464="","",F464-U464)</f>
        <v/>
      </c>
      <c r="Z464" s="22">
        <f>IF(V464="","",F464-V464)</f>
        <v/>
      </c>
      <c r="AA464" s="6" t="n">
        <v>11547742.86571647</v>
      </c>
      <c r="AB464" s="6" t="n">
        <v>10082760.16081554</v>
      </c>
      <c r="AC464" s="6" t="n">
        <v>1384134.921576381</v>
      </c>
      <c r="AD464" s="6" t="n">
        <v>1953337.632682749</v>
      </c>
      <c r="AE464" s="6" t="n">
        <v>1547313.529281857</v>
      </c>
      <c r="AF464" s="6" t="n">
        <v>11837559.55606534</v>
      </c>
      <c r="AG464" s="6" t="n">
        <v>1444992.342897793</v>
      </c>
      <c r="AH464" s="6" t="n">
        <v>1662872.17729051</v>
      </c>
      <c r="AI464" s="6" t="n">
        <v>4041527.512606513</v>
      </c>
      <c r="AJ464" s="6" t="n">
        <v>2806000.047310178</v>
      </c>
      <c r="AK464" s="6" t="n">
        <v>2840335.637219555</v>
      </c>
      <c r="AL464" s="6" t="n">
        <v>1517047.766567128</v>
      </c>
      <c r="AM464" s="6" t="n">
        <v>961766.2069758731</v>
      </c>
      <c r="AN464" s="6" t="n">
        <v>1074125.56056323</v>
      </c>
      <c r="AO464" s="6" t="n">
        <v>2388192.976778213</v>
      </c>
      <c r="AP464" s="6" t="n">
        <v>1658318.907499887</v>
      </c>
      <c r="AQ464" s="6" t="n">
        <v>1673926.823552532</v>
      </c>
      <c r="AR464" s="6" t="n">
        <v>1008202.482415765</v>
      </c>
    </row>
    <row r="465">
      <c r="A465" t="inlineStr">
        <is>
          <t>RC</t>
        </is>
      </c>
      <c r="B465" s="8" t="n">
        <v>202502</v>
      </c>
      <c r="C465" s="8" t="n">
        <v>2025</v>
      </c>
      <c r="D465" s="9" t="n">
        <v>1504309.192293617</v>
      </c>
      <c r="E465" s="10" t="n">
        <v>0.4158467024757208</v>
      </c>
      <c r="F465" s="22">
        <f>D465*(1-E465)</f>
        <v/>
      </c>
      <c r="G465" s="10" t="n">
        <v>0.79795</v>
      </c>
      <c r="H465" s="10" t="n">
        <v>0.03541316539164507</v>
      </c>
      <c r="I465" s="10" t="n">
        <v>0.2225699490269724</v>
      </c>
      <c r="J465" s="10" t="n">
        <v>0.5077532786258102</v>
      </c>
      <c r="K465" s="9" t="n">
        <v>11508478.6152336</v>
      </c>
      <c r="L465" s="18" t="n">
        <v>14422556.06896873</v>
      </c>
      <c r="M465" s="18" t="n">
        <v>11263279.61640244</v>
      </c>
      <c r="N465" s="23">
        <f>IF(L465=0,"",M465/L465)</f>
        <v/>
      </c>
      <c r="O465" s="9" t="n">
        <v>14477471.77061162</v>
      </c>
      <c r="P465" s="22">
        <f>M465*G465*(1+H465+I465)</f>
        <v/>
      </c>
      <c r="Q465" s="9" t="n">
        <v>8634004.021731734</v>
      </c>
      <c r="R465" s="22">
        <f>P465-M465*G465*J465</f>
        <v/>
      </c>
      <c r="S465" s="22">
        <f>IF(A465=A464,O465-O464,"")</f>
        <v/>
      </c>
      <c r="T465" s="22">
        <f>IF(A465=A464,P465-P464,"")</f>
        <v/>
      </c>
      <c r="U465" s="22">
        <f>IF(A465=A464,Q465-Q464,"")</f>
        <v/>
      </c>
      <c r="V465" s="22">
        <f>IF(A465=A464,R465-R464,"")</f>
        <v/>
      </c>
      <c r="W465" s="22">
        <f>IF(S465="","",D465-S465)</f>
        <v/>
      </c>
      <c r="X465" s="22">
        <f>IF(T465="","",D465-T465)</f>
        <v/>
      </c>
      <c r="Y465" s="22">
        <f>IF(U465="","",F465-U465)</f>
        <v/>
      </c>
      <c r="Z465" s="22">
        <f>IF(V465="","",F465-V465)</f>
        <v/>
      </c>
      <c r="AA465" s="9" t="n">
        <v>11263279.61640244</v>
      </c>
      <c r="AB465" s="9" t="n">
        <v>9820789.434296742</v>
      </c>
      <c r="AC465" s="9" t="n">
        <v>1376195.67099522</v>
      </c>
      <c r="AD465" s="9" t="n">
        <v>1896123.471720027</v>
      </c>
      <c r="AE465" s="9" t="n">
        <v>1502282.366959589</v>
      </c>
      <c r="AF465" s="9" t="n">
        <v>11505032.5291464</v>
      </c>
      <c r="AG465" s="9" t="n">
        <v>1965628.24973056</v>
      </c>
      <c r="AH465" s="9" t="n">
        <v>1920751.013179225</v>
      </c>
      <c r="AI465" s="9" t="n">
        <v>1533347.127705979</v>
      </c>
      <c r="AJ465" s="9" t="n">
        <v>1591473.714025258</v>
      </c>
      <c r="AK465" s="9" t="n">
        <v>1573064.076534129</v>
      </c>
      <c r="AL465" s="9" t="n">
        <v>2018286.448618331</v>
      </c>
      <c r="AM465" s="9" t="n">
        <v>1014133.68031697</v>
      </c>
      <c r="AN465" s="9" t="n">
        <v>1005096.939911564</v>
      </c>
      <c r="AO465" s="9" t="n">
        <v>879316.0436975458</v>
      </c>
      <c r="AP465" s="9" t="n">
        <v>907093.6937573944</v>
      </c>
      <c r="AQ465" s="9" t="n">
        <v>901027.7119413239</v>
      </c>
      <c r="AR465" s="9" t="n">
        <v>1042030.812358653</v>
      </c>
    </row>
    <row r="466">
      <c r="A466" s="4" t="inlineStr">
        <is>
          <t>RC</t>
        </is>
      </c>
      <c r="B466" s="5" t="n">
        <v>202503</v>
      </c>
      <c r="C466" s="5" t="n">
        <v>2025</v>
      </c>
      <c r="D466" s="6" t="n">
        <v>5687168.132124241</v>
      </c>
      <c r="E466" s="11" t="n">
        <v>0.4158467024757208</v>
      </c>
      <c r="F466" s="22">
        <f>D466*(1-E466)</f>
        <v/>
      </c>
      <c r="G466" s="11" t="n">
        <v>0.8410699999999999</v>
      </c>
      <c r="H466" s="11" t="n">
        <v>0.03359798166267805</v>
      </c>
      <c r="I466" s="11" t="n">
        <v>0.221654010910305</v>
      </c>
      <c r="J466" s="11" t="n">
        <v>0.5041840388765564</v>
      </c>
      <c r="K466" s="6" t="n">
        <v>14805700.59383003</v>
      </c>
      <c r="L466" s="18" t="n">
        <v>17603410.64813872</v>
      </c>
      <c r="M466" s="18" t="n">
        <v>15025573.40715758</v>
      </c>
      <c r="N466" s="23">
        <f>IF(L466=0,"",M466/L466)</f>
        <v/>
      </c>
      <c r="O466" s="6" t="n">
        <v>18584885.17184415</v>
      </c>
      <c r="P466" s="22">
        <f>M466*G466*(1+H466+I466)</f>
        <v/>
      </c>
      <c r="Q466" s="6" t="n">
        <v>11120087.24804989</v>
      </c>
      <c r="R466" s="22">
        <f>P466-M466*G466*J466</f>
        <v/>
      </c>
      <c r="S466" s="22">
        <f>IF(A466=A465,O466-O465,"")</f>
        <v/>
      </c>
      <c r="T466" s="22">
        <f>IF(A466=A465,P466-P465,"")</f>
        <v/>
      </c>
      <c r="U466" s="22">
        <f>IF(A466=A465,Q466-Q465,"")</f>
        <v/>
      </c>
      <c r="V466" s="22">
        <f>IF(A466=A465,R466-R465,"")</f>
        <v/>
      </c>
      <c r="W466" s="22">
        <f>IF(S466="","",D466-S466)</f>
        <v/>
      </c>
      <c r="X466" s="22">
        <f>IF(T466="","",D466-T466)</f>
        <v/>
      </c>
      <c r="Y466" s="22">
        <f>IF(U466="","",F466-U466)</f>
        <v/>
      </c>
      <c r="Z466" s="22">
        <f>IF(V466="","",F466-V466)</f>
        <v/>
      </c>
      <c r="AA466" s="6" t="n">
        <v>15025573.40715758</v>
      </c>
      <c r="AB466" s="6" t="n">
        <v>13308850.62196152</v>
      </c>
      <c r="AC466" s="6" t="n">
        <v>1148319.883435524</v>
      </c>
      <c r="AD466" s="6" t="n">
        <v>2370909.384309961</v>
      </c>
      <c r="AE466" s="6" t="n">
        <v>1911967.69009429</v>
      </c>
      <c r="AF466" s="6" t="n">
        <v>15119043.64823182</v>
      </c>
      <c r="AG466" s="6" t="n">
        <v>1130012.958442246</v>
      </c>
      <c r="AH466" s="6" t="n">
        <v>1494468.622395893</v>
      </c>
      <c r="AI466" s="6" t="n">
        <v>5856259.620458364</v>
      </c>
      <c r="AJ466" s="6" t="n">
        <v>5087412.385972915</v>
      </c>
      <c r="AK466" s="6" t="n">
        <v>5176601.575079178</v>
      </c>
      <c r="AL466" s="6" t="n">
        <v>1274004.72084492</v>
      </c>
      <c r="AM466" s="6" t="n">
        <v>573228.5553382994</v>
      </c>
      <c r="AN466" s="6" t="n">
        <v>794142.7516775453</v>
      </c>
      <c r="AO466" s="6" t="n">
        <v>3420637.408975933</v>
      </c>
      <c r="AP466" s="6" t="n">
        <v>2959579.381229335</v>
      </c>
      <c r="AQ466" s="6" t="n">
        <v>3013721.820034233</v>
      </c>
      <c r="AR466" s="6" t="n">
        <v>658907.7258122987</v>
      </c>
    </row>
    <row r="467">
      <c r="A467" t="inlineStr">
        <is>
          <t>RC</t>
        </is>
      </c>
      <c r="B467" s="8" t="n">
        <v>202504</v>
      </c>
      <c r="C467" s="8" t="n">
        <v>2025</v>
      </c>
      <c r="D467" s="9" t="n">
        <v>2305034.921985704</v>
      </c>
      <c r="E467" s="10" t="n">
        <v>0.4158467024757208</v>
      </c>
      <c r="F467" s="22">
        <f>D467*(1-E467)</f>
        <v/>
      </c>
      <c r="G467" s="10" t="n">
        <v>0.83579</v>
      </c>
      <c r="H467" s="10" t="n">
        <v>0.03380988916583118</v>
      </c>
      <c r="I467" s="10" t="n">
        <v>0.2118452359150594</v>
      </c>
      <c r="J467" s="10" t="n">
        <v>0.498268772721847</v>
      </c>
      <c r="K467" s="9" t="n">
        <v>14614260.37545377</v>
      </c>
      <c r="L467" s="18" t="n">
        <v>17485565.00491004</v>
      </c>
      <c r="M467" s="18" t="n">
        <v>15262532.87812678</v>
      </c>
      <c r="N467" s="23">
        <f>IF(L467=0,"",M467/L467)</f>
        <v/>
      </c>
      <c r="O467" s="9" t="n">
        <v>18204328.33595056</v>
      </c>
      <c r="P467" s="22">
        <f>M467*G467*(1+H467+I467)</f>
        <v/>
      </c>
      <c r="Q467" s="9" t="n">
        <v>10922498.7544357</v>
      </c>
      <c r="R467" s="22">
        <f>P467-M467*G467*J467</f>
        <v/>
      </c>
      <c r="S467" s="22">
        <f>IF(A467=A466,O467-O466,"")</f>
        <v/>
      </c>
      <c r="T467" s="22">
        <f>IF(A467=A466,P467-P466,"")</f>
        <v/>
      </c>
      <c r="U467" s="22">
        <f>IF(A467=A466,Q467-Q466,"")</f>
        <v/>
      </c>
      <c r="V467" s="22">
        <f>IF(A467=A466,R467-R466,"")</f>
        <v/>
      </c>
      <c r="W467" s="22">
        <f>IF(S467="","",D467-S467)</f>
        <v/>
      </c>
      <c r="X467" s="22">
        <f>IF(T467="","",D467-T467)</f>
        <v/>
      </c>
      <c r="Y467" s="22">
        <f>IF(U467="","",F467-U467)</f>
        <v/>
      </c>
      <c r="Z467" s="22">
        <f>IF(V467="","",F467-V467)</f>
        <v/>
      </c>
      <c r="AA467" s="9" t="n">
        <v>15262532.87812678</v>
      </c>
      <c r="AB467" s="9" t="n">
        <v>13594800.38393792</v>
      </c>
      <c r="AC467" s="9" t="n">
        <v>1280433.11264672</v>
      </c>
      <c r="AD467" s="9" t="n">
        <v>2871296.485210086</v>
      </c>
      <c r="AE467" s="9" t="n">
        <v>2411372.28730829</v>
      </c>
      <c r="AF467" s="9" t="n">
        <v>15313408.91515093</v>
      </c>
      <c r="AG467" s="9" t="n">
        <v>2278440.035127253</v>
      </c>
      <c r="AH467" s="9" t="n">
        <v>2202288.193579541</v>
      </c>
      <c r="AI467" s="9" t="n">
        <v>2184312.422905539</v>
      </c>
      <c r="AJ467" s="9" t="n">
        <v>1818809.592150166</v>
      </c>
      <c r="AK467" s="9" t="n">
        <v>1813109.585183322</v>
      </c>
      <c r="AL467" s="9" t="n">
        <v>2324154.337844419</v>
      </c>
      <c r="AM467" s="9" t="n">
        <v>1304295.48311903</v>
      </c>
      <c r="AN467" s="9" t="n">
        <v>1261602.967247532</v>
      </c>
      <c r="AO467" s="9" t="n">
        <v>1272055.414346859</v>
      </c>
      <c r="AP467" s="9" t="n">
        <v>1050620.491658995</v>
      </c>
      <c r="AQ467" s="9" t="n">
        <v>1048002.038985372</v>
      </c>
      <c r="AR467" s="9" t="n">
        <v>1331560.576518946</v>
      </c>
    </row>
    <row r="468">
      <c r="A468" s="4" t="inlineStr">
        <is>
          <t>RC</t>
        </is>
      </c>
      <c r="B468" s="5" t="n">
        <v>202505</v>
      </c>
      <c r="C468" s="5" t="n">
        <v>2025</v>
      </c>
      <c r="D468" s="6" t="n">
        <v>2365130.259642658</v>
      </c>
      <c r="E468" s="11" t="n">
        <v>0.4158467024757208</v>
      </c>
      <c r="F468" s="22">
        <f>D468*(1-E468)</f>
        <v/>
      </c>
      <c r="G468" s="11" t="n">
        <v>0.79486</v>
      </c>
      <c r="H468" s="11" t="n">
        <v>0.03555108312049056</v>
      </c>
      <c r="I468" s="11" t="n">
        <v>0.249096229323546</v>
      </c>
      <c r="J468" s="11" t="n">
        <v>0.4858367968819938</v>
      </c>
      <c r="K468" s="6" t="n">
        <v>13670527.89948287</v>
      </c>
      <c r="L468" s="18" t="n">
        <v>17198661.27303283</v>
      </c>
      <c r="M468" s="18" t="n">
        <v>15506751.29791839</v>
      </c>
      <c r="N468" s="23">
        <f>IF(L468=0,"",M468/L468)</f>
        <v/>
      </c>
      <c r="O468" s="6" t="n">
        <v>17561806.92576189</v>
      </c>
      <c r="P468" s="22">
        <f>M468*G468*(1+H468+I468)</f>
        <v/>
      </c>
      <c r="Q468" s="6" t="n">
        <v>10920161.4393912</v>
      </c>
      <c r="R468" s="22">
        <f>P468-M468*G468*J468</f>
        <v/>
      </c>
      <c r="S468" s="22">
        <f>IF(A468=A467,O468-O467,"")</f>
        <v/>
      </c>
      <c r="T468" s="22">
        <f>IF(A468=A467,P468-P467,"")</f>
        <v/>
      </c>
      <c r="U468" s="22">
        <f>IF(A468=A467,Q468-Q467,"")</f>
        <v/>
      </c>
      <c r="V468" s="22">
        <f>IF(A468=A467,R468-R467,"")</f>
        <v/>
      </c>
      <c r="W468" s="22">
        <f>IF(S468="","",D468-S468)</f>
        <v/>
      </c>
      <c r="X468" s="22">
        <f>IF(T468="","",D468-T468)</f>
        <v/>
      </c>
      <c r="Y468" s="22">
        <f>IF(U468="","",F468-U468)</f>
        <v/>
      </c>
      <c r="Z468" s="22">
        <f>IF(V468="","",F468-V468)</f>
        <v/>
      </c>
      <c r="AA468" s="6" t="n">
        <v>15506751.29791839</v>
      </c>
      <c r="AB468" s="6" t="n">
        <v>13747509.66516415</v>
      </c>
      <c r="AC468" s="6" t="n">
        <v>1180558.800285347</v>
      </c>
      <c r="AD468" s="6" t="n">
        <v>2515964.382109037</v>
      </c>
      <c r="AE468" s="6" t="n">
        <v>2038786.484308048</v>
      </c>
      <c r="AF468" s="6" t="n">
        <v>15470003.50419765</v>
      </c>
      <c r="AG468" s="6" t="n">
        <v>2420873.621695542</v>
      </c>
      <c r="AH468" s="6" t="n">
        <v>2480974.756328582</v>
      </c>
      <c r="AI468" s="6" t="n">
        <v>2492710.960720237</v>
      </c>
      <c r="AJ468" s="6" t="n">
        <v>2785366.16349154</v>
      </c>
      <c r="AK468" s="6" t="n">
        <v>2793789.672813914</v>
      </c>
      <c r="AL468" s="6" t="n">
        <v>2511364.688699591</v>
      </c>
      <c r="AM468" s="6" t="n">
        <v>1069566.659404641</v>
      </c>
      <c r="AN468" s="6" t="n">
        <v>1144821.476125723</v>
      </c>
      <c r="AO468" s="6" t="n">
        <v>1431844.490805808</v>
      </c>
      <c r="AP468" s="6" t="n">
        <v>1577684.292233906</v>
      </c>
      <c r="AQ468" s="6" t="n">
        <v>1593369.484454231</v>
      </c>
      <c r="AR468" s="6" t="n">
        <v>1124679.52193119</v>
      </c>
    </row>
    <row r="469">
      <c r="A469" t="inlineStr">
        <is>
          <t>RC</t>
        </is>
      </c>
      <c r="B469" s="8" t="n">
        <v>202506</v>
      </c>
      <c r="C469" s="8" t="n">
        <v>2025</v>
      </c>
      <c r="D469" s="9" t="n">
        <v>1464873.353987647</v>
      </c>
      <c r="E469" s="10" t="n">
        <v>0.4158467024757208</v>
      </c>
      <c r="F469" s="22">
        <f>D469*(1-E469)</f>
        <v/>
      </c>
      <c r="G469" s="10" t="n">
        <v>0.7948599999999999</v>
      </c>
      <c r="H469" s="10" t="n">
        <v>0.03498078510250142</v>
      </c>
      <c r="I469" s="10" t="n">
        <v>0.2605225359303961</v>
      </c>
      <c r="J469" s="10" t="n">
        <v>0.4481847591858699</v>
      </c>
      <c r="K469" s="9" t="n">
        <v>13531844.65345796</v>
      </c>
      <c r="L469" s="18" t="n">
        <v>17024186.21324253</v>
      </c>
      <c r="M469" s="18" t="n">
        <v>14768605.92502799</v>
      </c>
      <c r="N469" s="23">
        <f>IF(L469=0,"",M469/L469)</f>
        <v/>
      </c>
      <c r="O469" s="9" t="n">
        <v>17530549.68825605</v>
      </c>
      <c r="P469" s="22">
        <f>M469*G469*(1+H469+I469)</f>
        <v/>
      </c>
      <c r="Q469" s="9" t="n">
        <v>11465783.15090539</v>
      </c>
      <c r="R469" s="22">
        <f>P469-M469*G469*J469</f>
        <v/>
      </c>
      <c r="S469" s="22">
        <f>IF(A469=A468,O469-O468,"")</f>
        <v/>
      </c>
      <c r="T469" s="22">
        <f>IF(A469=A468,P469-P468,"")</f>
        <v/>
      </c>
      <c r="U469" s="22">
        <f>IF(A469=A468,Q469-Q468,"")</f>
        <v/>
      </c>
      <c r="V469" s="22">
        <f>IF(A469=A468,R469-R468,"")</f>
        <v/>
      </c>
      <c r="W469" s="22">
        <f>IF(S469="","",D469-S469)</f>
        <v/>
      </c>
      <c r="X469" s="22">
        <f>IF(T469="","",D469-T469)</f>
        <v/>
      </c>
      <c r="Y469" s="22">
        <f>IF(U469="","",F469-U469)</f>
        <v/>
      </c>
      <c r="Z469" s="22">
        <f>IF(V469="","",F469-V469)</f>
        <v/>
      </c>
      <c r="AA469" s="9" t="n">
        <v>14768605.92502799</v>
      </c>
      <c r="AB469" s="9" t="n">
        <v>12968341.27904548</v>
      </c>
      <c r="AC469" s="9" t="n">
        <v>1276244.718830792</v>
      </c>
      <c r="AD469" s="9" t="n">
        <v>2207812.875409992</v>
      </c>
      <c r="AE469" s="9" t="n">
        <v>1725120.577172611</v>
      </c>
      <c r="AF469" s="9" t="n">
        <v>14704690.1621826</v>
      </c>
      <c r="AG469" s="9" t="n">
        <v>2091166.087601401</v>
      </c>
      <c r="AH469" s="9" t="n">
        <v>2148589.788230594</v>
      </c>
      <c r="AI469" s="9" t="n">
        <v>1356154.325375917</v>
      </c>
      <c r="AJ469" s="9" t="n">
        <v>1760480.173919861</v>
      </c>
      <c r="AK469" s="9" t="n">
        <v>1770276.164827316</v>
      </c>
      <c r="AL469" s="9" t="n">
        <v>2119459.231513208</v>
      </c>
      <c r="AM469" s="9" t="n">
        <v>754955.7888494543</v>
      </c>
      <c r="AN469" s="9" t="n">
        <v>850416.0386983993</v>
      </c>
      <c r="AO469" s="9" t="n">
        <v>745747.238840375</v>
      </c>
      <c r="AP469" s="9" t="n">
        <v>966242.2220277301</v>
      </c>
      <c r="AQ469" s="9" t="n">
        <v>988354.7673216666</v>
      </c>
      <c r="AR469" s="9" t="n">
        <v>774670.2946246191</v>
      </c>
    </row>
    <row r="470">
      <c r="A470" s="4" t="inlineStr">
        <is>
          <t>RC</t>
        </is>
      </c>
      <c r="B470" s="5" t="n">
        <v>202507</v>
      </c>
      <c r="C470" s="5" t="n">
        <v>2025</v>
      </c>
      <c r="D470" s="6" t="n">
        <v>1558637.4187022</v>
      </c>
      <c r="E470" s="11" t="n">
        <v>0.4158467024757208</v>
      </c>
      <c r="F470" s="22">
        <f>D470*(1-E470)</f>
        <v/>
      </c>
      <c r="G470" s="11" t="n">
        <v>0.719867</v>
      </c>
      <c r="H470" s="11" t="n">
        <v>0.03925446630861909</v>
      </c>
      <c r="I470" s="11" t="n">
        <v>0.276544433596908</v>
      </c>
      <c r="J470" s="11" t="n">
        <v>0.429289336543672</v>
      </c>
      <c r="K470" s="6" t="n">
        <v>11221883.94106424</v>
      </c>
      <c r="L470" s="18" t="n">
        <v>15588829.52137581</v>
      </c>
      <c r="M470" s="18" t="n">
        <v>14145351.98769439</v>
      </c>
      <c r="N470" s="23">
        <f>IF(L470=0,"",M470/L470)</f>
        <v/>
      </c>
      <c r="O470" s="6" t="n">
        <v>14765742.54451982</v>
      </c>
      <c r="P470" s="22">
        <f>M470*G470*(1+H470+I470)</f>
        <v/>
      </c>
      <c r="Q470" s="6" t="n">
        <v>9948307.43269027</v>
      </c>
      <c r="R470" s="22">
        <f>P470-M470*G470*J470</f>
        <v/>
      </c>
      <c r="S470" s="22">
        <f>IF(A470=A469,O470-O469,"")</f>
        <v/>
      </c>
      <c r="T470" s="22">
        <f>IF(A470=A469,P470-P469,"")</f>
        <v/>
      </c>
      <c r="U470" s="22">
        <f>IF(A470=A469,Q470-Q469,"")</f>
        <v/>
      </c>
      <c r="V470" s="22">
        <f>IF(A470=A469,R470-R469,"")</f>
        <v/>
      </c>
      <c r="W470" s="22">
        <f>IF(S470="","",D470-S470)</f>
        <v/>
      </c>
      <c r="X470" s="22">
        <f>IF(T470="","",D470-T470)</f>
        <v/>
      </c>
      <c r="Y470" s="22">
        <f>IF(U470="","",F470-U470)</f>
        <v/>
      </c>
      <c r="Z470" s="22">
        <f>IF(V470="","",F470-V470)</f>
        <v/>
      </c>
      <c r="AA470" s="6" t="n">
        <v>14145351.98769439</v>
      </c>
      <c r="AB470" s="6" t="n">
        <v>12290673.26695832</v>
      </c>
      <c r="AC470" s="6" t="n">
        <v>1512412.354801486</v>
      </c>
      <c r="AD470" s="6" t="n">
        <v>2265177.899742676</v>
      </c>
      <c r="AE470" s="6" t="n">
        <v>1741238.082068902</v>
      </c>
      <c r="AF470" s="6" t="n">
        <v>14050061.26353732</v>
      </c>
      <c r="AG470" s="6" t="n">
        <v>3368037.031703086</v>
      </c>
      <c r="AH470" s="6" t="n">
        <v>3270977.79619327</v>
      </c>
      <c r="AI470" s="6" t="n">
        <v>1440285.171551702</v>
      </c>
      <c r="AJ470" s="6" t="n">
        <v>1686541.997143818</v>
      </c>
      <c r="AK470" s="6" t="n">
        <v>1685768.513912154</v>
      </c>
      <c r="AL470" s="6" t="n">
        <v>3392479.566739931</v>
      </c>
      <c r="AM470" s="6" t="n">
        <v>1830008.996882365</v>
      </c>
      <c r="AN470" s="6" t="n">
        <v>1801129.847344067</v>
      </c>
      <c r="AO470" s="6" t="n">
        <v>804858.8867689967</v>
      </c>
      <c r="AP470" s="6" t="n">
        <v>951878.077592662</v>
      </c>
      <c r="AQ470" s="6" t="n">
        <v>961147.1312738325</v>
      </c>
      <c r="AR470" s="6" t="n">
        <v>1847773.338346892</v>
      </c>
    </row>
    <row r="471">
      <c r="A471" t="inlineStr">
        <is>
          <t>RC</t>
        </is>
      </c>
      <c r="B471" s="8" t="n">
        <v>202508</v>
      </c>
      <c r="C471" s="8" t="n">
        <v>2025</v>
      </c>
      <c r="D471" s="9" t="n">
        <v>4823359.980159113</v>
      </c>
      <c r="E471" s="10" t="n">
        <v>0.4158467024757208</v>
      </c>
      <c r="F471" s="22">
        <f>D471*(1-E471)</f>
        <v/>
      </c>
      <c r="G471" s="10" t="n">
        <v>0.7234120000000002</v>
      </c>
      <c r="H471" s="10" t="n">
        <v>0.03906224089342427</v>
      </c>
      <c r="I471" s="10" t="n">
        <v>0.3581682484159575</v>
      </c>
      <c r="J471" s="10" t="n">
        <v>0.4412930538088884</v>
      </c>
      <c r="K471" s="9" t="n">
        <v>12588253.9972671</v>
      </c>
      <c r="L471" s="18" t="n">
        <v>17401223.64194553</v>
      </c>
      <c r="M471" s="18" t="n">
        <v>16584866.87048866</v>
      </c>
      <c r="N471" s="23">
        <f>IF(L471=0,"",M471/L471)</f>
        <v/>
      </c>
      <c r="O471" s="9" t="n">
        <v>17588692.29215229</v>
      </c>
      <c r="P471" s="22">
        <f>M471*G471*(1+H471+I471)</f>
        <v/>
      </c>
      <c r="Q471" s="9" t="n">
        <v>12033583.24357635</v>
      </c>
      <c r="R471" s="22">
        <f>P471-M471*G471*J471</f>
        <v/>
      </c>
      <c r="S471" s="22">
        <f>IF(A471=A470,O471-O470,"")</f>
        <v/>
      </c>
      <c r="T471" s="22">
        <f>IF(A471=A470,P471-P470,"")</f>
        <v/>
      </c>
      <c r="U471" s="22">
        <f>IF(A471=A470,Q471-Q470,"")</f>
        <v/>
      </c>
      <c r="V471" s="22">
        <f>IF(A471=A470,R471-R470,"")</f>
        <v/>
      </c>
      <c r="W471" s="22">
        <f>IF(S471="","",D471-S471)</f>
        <v/>
      </c>
      <c r="X471" s="22">
        <f>IF(T471="","",D471-T471)</f>
        <v/>
      </c>
      <c r="Y471" s="22">
        <f>IF(U471="","",F471-U471)</f>
        <v/>
      </c>
      <c r="Z471" s="22">
        <f>IF(V471="","",F471-V471)</f>
        <v/>
      </c>
      <c r="AA471" s="9" t="n">
        <v>16584866.87048866</v>
      </c>
      <c r="AB471" s="9" t="n">
        <v>14410714.92402921</v>
      </c>
      <c r="AC471" s="9" t="n">
        <v>2061174.055548387</v>
      </c>
      <c r="AD471" s="9" t="n">
        <v>2494515.713392964</v>
      </c>
      <c r="AE471" s="9" t="n">
        <v>1954404.316705641</v>
      </c>
      <c r="AF471" s="9" t="n">
        <v>16386546.36022473</v>
      </c>
      <c r="AG471" s="9" t="n">
        <v>1458299.64438146</v>
      </c>
      <c r="AH471" s="9" t="n">
        <v>1899122.320343049</v>
      </c>
      <c r="AI471" s="9" t="n">
        <v>4172537.567577154</v>
      </c>
      <c r="AJ471" s="9" t="n">
        <v>4447547.068614704</v>
      </c>
      <c r="AK471" s="9" t="n">
        <v>4497201.345300107</v>
      </c>
      <c r="AL471" s="9" t="n">
        <v>1568497.327924378</v>
      </c>
      <c r="AM471" s="9" t="n">
        <v>375663.8375569042</v>
      </c>
      <c r="AN471" s="9" t="n">
        <v>695571.0816219039</v>
      </c>
      <c r="AO471" s="9" t="n">
        <v>2357378.963828364</v>
      </c>
      <c r="AP471" s="9" t="n">
        <v>2538098.96176524</v>
      </c>
      <c r="AQ471" s="9" t="n">
        <v>2577243.628234804</v>
      </c>
      <c r="AR471" s="9" t="n">
        <v>451998.1471084841</v>
      </c>
    </row>
    <row r="472">
      <c r="A472" s="4" t="inlineStr">
        <is>
          <t>RC</t>
        </is>
      </c>
      <c r="B472" s="5" t="n">
        <v>202509</v>
      </c>
      <c r="C472" s="5" t="n">
        <v>2025</v>
      </c>
      <c r="D472" s="6" t="n">
        <v>2749198.882122847</v>
      </c>
      <c r="E472" s="11" t="n">
        <v>0.4158467024757208</v>
      </c>
      <c r="F472" s="22">
        <f>D472*(1-E472)</f>
        <v/>
      </c>
      <c r="G472" s="11" t="n">
        <v>0.731098786</v>
      </c>
      <c r="H472" s="11" t="n">
        <v>0.03865169096496161</v>
      </c>
      <c r="I472" s="11" t="n">
        <v>0.3379815303753406</v>
      </c>
      <c r="J472" s="11" t="n">
        <v>0.443145366695254</v>
      </c>
      <c r="K472" s="6" t="n">
        <v>12476741.66816819</v>
      </c>
      <c r="L472" s="18" t="n">
        <v>17065739.82488899</v>
      </c>
      <c r="M472" s="18" t="n">
        <v>16709505.0760027</v>
      </c>
      <c r="N472" s="23">
        <f>IF(L472=0,"",M472/L472)</f>
        <v/>
      </c>
      <c r="O472" s="6" t="n">
        <v>17175897.07448116</v>
      </c>
      <c r="P472" s="22">
        <f>M472*G472*(1+H472+I472)</f>
        <v/>
      </c>
      <c r="Q472" s="6" t="n">
        <v>11646886.81277881</v>
      </c>
      <c r="R472" s="22">
        <f>P472-M472*G472*J472</f>
        <v/>
      </c>
      <c r="S472" s="22">
        <f>IF(A472=A471,O472-O471,"")</f>
        <v/>
      </c>
      <c r="T472" s="22">
        <f>IF(A472=A471,P472-P471,"")</f>
        <v/>
      </c>
      <c r="U472" s="22">
        <f>IF(A472=A471,Q472-Q471,"")</f>
        <v/>
      </c>
      <c r="V472" s="22">
        <f>IF(A472=A471,R472-R471,"")</f>
        <v/>
      </c>
      <c r="W472" s="22">
        <f>IF(S472="","",D472-S472)</f>
        <v/>
      </c>
      <c r="X472" s="22">
        <f>IF(T472="","",D472-T472)</f>
        <v/>
      </c>
      <c r="Y472" s="22">
        <f>IF(U472="","",F472-U472)</f>
        <v/>
      </c>
      <c r="Z472" s="22">
        <f>IF(V472="","",F472-V472)</f>
        <v/>
      </c>
      <c r="AA472" s="6" t="n">
        <v>16709505.0760027</v>
      </c>
      <c r="AB472" s="6" t="n">
        <v>14409664.77475085</v>
      </c>
      <c r="AC472" s="6" t="n">
        <v>2979980.23716599</v>
      </c>
      <c r="AD472" s="6" t="n">
        <v>2469988.767924052</v>
      </c>
      <c r="AE472" s="6" t="n">
        <v>1938144.979177283</v>
      </c>
      <c r="AF472" s="6" t="n">
        <v>16498361.13692219</v>
      </c>
      <c r="AG472" s="6" t="n">
        <v>2695376.670034659</v>
      </c>
      <c r="AH472" s="6" t="n">
        <v>2812487.413731201</v>
      </c>
      <c r="AI472" s="6" t="n">
        <v>1833362.947026536</v>
      </c>
      <c r="AJ472" s="6" t="n">
        <v>2784656.527127998</v>
      </c>
      <c r="AK472" s="6" t="n">
        <v>2774003.121782406</v>
      </c>
      <c r="AL472" s="6" t="n">
        <v>2707426.4400888</v>
      </c>
      <c r="AM472" s="6" t="n">
        <v>1671229.610923663</v>
      </c>
      <c r="AN472" s="6" t="n">
        <v>1737300.175538043</v>
      </c>
      <c r="AO472" s="6" t="n">
        <v>997578.3283373972</v>
      </c>
      <c r="AP472" s="6" t="n">
        <v>1645304.765289831</v>
      </c>
      <c r="AQ472" s="6" t="n">
        <v>1634766.367523559</v>
      </c>
      <c r="AR472" s="6" t="n">
        <v>1678183.509181852</v>
      </c>
    </row>
    <row r="473">
      <c r="A473" t="inlineStr">
        <is>
          <t>RC</t>
        </is>
      </c>
      <c r="B473" s="8" t="n">
        <v>202510</v>
      </c>
      <c r="C473" s="8" t="n">
        <v>2025</v>
      </c>
      <c r="D473" s="9" t="n">
        <v>1320670.806960623</v>
      </c>
      <c r="E473" s="10" t="n">
        <v>0.4158467024757208</v>
      </c>
      <c r="F473" s="22">
        <f>D473*(1-E473)</f>
        <v/>
      </c>
      <c r="G473" s="10" t="n">
        <v>0.765844</v>
      </c>
      <c r="H473" s="10" t="n">
        <v>0.03689804459206251</v>
      </c>
      <c r="I473" s="10" t="n">
        <v>0.2737291102547688</v>
      </c>
      <c r="J473" s="10" t="n">
        <v>0.4290230434653392</v>
      </c>
      <c r="K473" s="9" t="n">
        <v>11636832.65786131</v>
      </c>
      <c r="L473" s="18" t="n">
        <v>15194782.04159243</v>
      </c>
      <c r="M473" s="18" t="n">
        <v>15222793.74418743</v>
      </c>
      <c r="N473" s="23">
        <f>IF(L473=0,"",M473/L473)</f>
        <v/>
      </c>
      <c r="O473" s="9" t="n">
        <v>15251548.87780146</v>
      </c>
      <c r="P473" s="22">
        <f>M473*G473*(1+H473+I473)</f>
        <v/>
      </c>
      <c r="Q473" s="9" t="n">
        <v>10259079.51462895</v>
      </c>
      <c r="R473" s="22">
        <f>P473-M473*G473*J473</f>
        <v/>
      </c>
      <c r="S473" s="22">
        <f>IF(A473=A472,O473-O472,"")</f>
        <v/>
      </c>
      <c r="T473" s="22">
        <f>IF(A473=A472,P473-P472,"")</f>
        <v/>
      </c>
      <c r="U473" s="22">
        <f>IF(A473=A472,Q473-Q472,"")</f>
        <v/>
      </c>
      <c r="V473" s="22">
        <f>IF(A473=A472,R473-R472,"")</f>
        <v/>
      </c>
      <c r="W473" s="22">
        <f>IF(S473="","",D473-S473)</f>
        <v/>
      </c>
      <c r="X473" s="22">
        <f>IF(T473="","",D473-T473)</f>
        <v/>
      </c>
      <c r="Y473" s="22">
        <f>IF(U473="","",F473-U473)</f>
        <v/>
      </c>
      <c r="Z473" s="22">
        <f>IF(V473="","",F473-V473)</f>
        <v/>
      </c>
      <c r="AA473" s="9" t="n">
        <v>15222793.74418743</v>
      </c>
      <c r="AB473" s="9" t="n">
        <v>13026167.47953521</v>
      </c>
      <c r="AC473" s="9" t="n">
        <v>3025611.73994651</v>
      </c>
      <c r="AD473" s="9" t="n">
        <v>2147655.73286172</v>
      </c>
      <c r="AE473" s="9" t="n">
        <v>1629699.610993286</v>
      </c>
      <c r="AF473" s="9" t="n">
        <v>15164643.5577309</v>
      </c>
      <c r="AG473" s="9" t="n">
        <v>2858368.45059336</v>
      </c>
      <c r="AH473" s="9" t="n">
        <v>2748515.698010534</v>
      </c>
      <c r="AI473" s="9" t="n">
        <v>1282971.197418756</v>
      </c>
      <c r="AJ473" s="9" t="n">
        <v>1650923.796515894</v>
      </c>
      <c r="AK473" s="9" t="n">
        <v>1635538.197888979</v>
      </c>
      <c r="AL473" s="9" t="n">
        <v>2704229.03560577</v>
      </c>
      <c r="AM473" s="9" t="n">
        <v>1897248.626016233</v>
      </c>
      <c r="AN473" s="9" t="n">
        <v>1810771.223139245</v>
      </c>
      <c r="AO473" s="9" t="n">
        <v>762420.8274242394</v>
      </c>
      <c r="AP473" s="9" t="n">
        <v>1007136.640014509</v>
      </c>
      <c r="AQ473" s="9" t="n">
        <v>993877.298594506</v>
      </c>
      <c r="AR473" s="9" t="n">
        <v>1792410.166261509</v>
      </c>
    </row>
    <row r="474">
      <c r="A474" s="4" t="inlineStr">
        <is>
          <t>RC</t>
        </is>
      </c>
      <c r="B474" s="5" t="n">
        <v>202511</v>
      </c>
      <c r="C474" s="5" t="n">
        <v>2025</v>
      </c>
      <c r="D474" s="6" t="n">
        <v>7321041.421251343</v>
      </c>
      <c r="E474" s="11" t="n">
        <v>0.4158467024757208</v>
      </c>
      <c r="F474" s="22">
        <f>D474*(1-E474)</f>
        <v/>
      </c>
      <c r="G474" s="11" t="n">
        <v>0.7759815</v>
      </c>
      <c r="H474" s="11" t="n">
        <v>0.03641615216138613</v>
      </c>
      <c r="I474" s="11" t="n">
        <v>0.3385341510273087</v>
      </c>
      <c r="J474" s="11" t="n">
        <v>0.3878092992998596</v>
      </c>
      <c r="K474" s="6" t="n">
        <v>14749841.55602805</v>
      </c>
      <c r="L474" s="18" t="n">
        <v>19007980.93257126</v>
      </c>
      <c r="M474" s="18" t="n">
        <v>19751191.76503057</v>
      </c>
      <c r="N474" s="23">
        <f>IF(L474=0,"",M474/L474)</f>
        <v/>
      </c>
      <c r="O474" s="6" t="n">
        <v>20280299.11944597</v>
      </c>
      <c r="P474" s="22">
        <f>M474*G474*(1+H474+I474)</f>
        <v/>
      </c>
      <c r="Q474" s="6" t="n">
        <v>14560173.40081878</v>
      </c>
      <c r="R474" s="22">
        <f>P474-M474*G474*J474</f>
        <v/>
      </c>
      <c r="S474" s="22">
        <f>IF(A474=A473,O474-O473,"")</f>
        <v/>
      </c>
      <c r="T474" s="22">
        <f>IF(A474=A473,P474-P473,"")</f>
        <v/>
      </c>
      <c r="U474" s="22">
        <f>IF(A474=A473,Q474-Q473,"")</f>
        <v/>
      </c>
      <c r="V474" s="22">
        <f>IF(A474=A473,R474-R473,"")</f>
        <v/>
      </c>
      <c r="W474" s="22">
        <f>IF(S474="","",D474-S474)</f>
        <v/>
      </c>
      <c r="X474" s="22">
        <f>IF(T474="","",D474-T474)</f>
        <v/>
      </c>
      <c r="Y474" s="22">
        <f>IF(U474="","",F474-U474)</f>
        <v/>
      </c>
      <c r="Z474" s="22">
        <f>IF(V474="","",F474-V474)</f>
        <v/>
      </c>
      <c r="AA474" s="6" t="n">
        <v>19751191.76503057</v>
      </c>
      <c r="AB474" s="6" t="n">
        <v>17161486.31867032</v>
      </c>
      <c r="AC474" s="6" t="n">
        <v>8627279.526293756</v>
      </c>
      <c r="AD474" s="6" t="n">
        <v>4221638.678070175</v>
      </c>
      <c r="AE474" s="6" t="n">
        <v>3665983.510445401</v>
      </c>
      <c r="AF474" s="6" t="n">
        <v>19571603.06335748</v>
      </c>
      <c r="AG474" s="6" t="n">
        <v>1527449.140549765</v>
      </c>
      <c r="AH474" s="6" t="n">
        <v>2085666.372606608</v>
      </c>
      <c r="AI474" s="6" t="n">
        <v>1153201.576125291</v>
      </c>
      <c r="AJ474" s="6" t="n">
        <v>4972502.393923441</v>
      </c>
      <c r="AK474" s="6" t="n">
        <v>5045459.718822079</v>
      </c>
      <c r="AL474" s="6" t="n">
        <v>1660691.359097895</v>
      </c>
      <c r="AM474" s="6" t="n">
        <v>-574872.547177461</v>
      </c>
      <c r="AN474" s="6" t="n">
        <v>-74248.83276211005</v>
      </c>
      <c r="AO474" s="6" t="n">
        <v>-289106.898230101</v>
      </c>
      <c r="AP474" s="6" t="n">
        <v>2492857.272117851</v>
      </c>
      <c r="AQ474" s="6" t="n">
        <v>2568781.818441092</v>
      </c>
      <c r="AR474" s="6" t="n">
        <v>-476568.3670300553</v>
      </c>
    </row>
    <row r="475">
      <c r="A475" t="inlineStr">
        <is>
          <t>RC</t>
        </is>
      </c>
      <c r="B475" s="8" t="n">
        <v>202512</v>
      </c>
      <c r="C475" s="8" t="n">
        <v>2025</v>
      </c>
      <c r="D475" s="9" t="n">
        <v>1389194.739974228</v>
      </c>
      <c r="E475" s="10" t="n">
        <v>0.4158467024757208</v>
      </c>
      <c r="F475" s="22">
        <f>D475*(1-E475)</f>
        <v/>
      </c>
      <c r="G475" s="10" t="n">
        <v>0.669222</v>
      </c>
      <c r="H475" s="10" t="n">
        <v>0.04222547472551991</v>
      </c>
      <c r="I475" s="10" t="n">
        <v>0.2188302620906923</v>
      </c>
      <c r="J475" s="10" t="n">
        <v>0.3949454904511061</v>
      </c>
      <c r="K475" s="9" t="n">
        <v>11492584.66737006</v>
      </c>
      <c r="L475" s="18" t="n">
        <v>17173052.69009396</v>
      </c>
      <c r="M475" s="18" t="n">
        <v>18195982.37082218</v>
      </c>
      <c r="N475" s="23">
        <f>IF(L475=0,"",M475/L475)</f>
        <v/>
      </c>
      <c r="O475" s="9" t="n">
        <v>14492789.82563305</v>
      </c>
      <c r="P475" s="22">
        <f>M475*G475*(1+H475+I475)</f>
        <v/>
      </c>
      <c r="Q475" s="9" t="n">
        <v>9953845.337627722</v>
      </c>
      <c r="R475" s="22">
        <f>P475-M475*G475*J475</f>
        <v/>
      </c>
      <c r="S475" s="22">
        <f>IF(A475=A474,O475-O474,"")</f>
        <v/>
      </c>
      <c r="T475" s="22">
        <f>IF(A475=A474,P475-P474,"")</f>
        <v/>
      </c>
      <c r="U475" s="22">
        <f>IF(A475=A474,Q475-Q474,"")</f>
        <v/>
      </c>
      <c r="V475" s="22">
        <f>IF(A475=A474,R475-R474,"")</f>
        <v/>
      </c>
      <c r="W475" s="22">
        <f>IF(S475="","",D475-S475)</f>
        <v/>
      </c>
      <c r="X475" s="22">
        <f>IF(T475="","",D475-T475)</f>
        <v/>
      </c>
      <c r="Y475" s="22">
        <f>IF(U475="","",F475-U475)</f>
        <v/>
      </c>
      <c r="Z475" s="22">
        <f>IF(V475="","",F475-V475)</f>
        <v/>
      </c>
      <c r="AA475" s="9" t="n">
        <v>18195982.37082218</v>
      </c>
      <c r="AB475" s="9" t="n">
        <v>15695356.68001892</v>
      </c>
      <c r="AC475" s="9" t="n">
        <v>8799261.351699233</v>
      </c>
      <c r="AD475" s="9" t="n">
        <v>3684091.987102092</v>
      </c>
      <c r="AE475" s="9" t="n">
        <v>3140847.149025559</v>
      </c>
      <c r="AF475" s="9" t="n">
        <v>18024861.94650697</v>
      </c>
      <c r="AG475" s="9" t="n">
        <v>7106385.22395937</v>
      </c>
      <c r="AH475" s="9" t="n">
        <v>6453678.899871666</v>
      </c>
      <c r="AI475" s="9" t="n">
        <v>3168022.269784188</v>
      </c>
      <c r="AJ475" s="9" t="n">
        <v>2784311.112109538</v>
      </c>
      <c r="AK475" s="9" t="n">
        <v>2649921.185759185</v>
      </c>
      <c r="AL475" s="9" t="n">
        <v>7059188.589859402</v>
      </c>
      <c r="AM475" s="9" t="n">
        <v>5394222.061809125</v>
      </c>
      <c r="AN475" s="9" t="n">
        <v>4859912.255587657</v>
      </c>
      <c r="AO475" s="9" t="n">
        <v>2319797.900911398</v>
      </c>
      <c r="AP475" s="9" t="n">
        <v>1909917.730140696</v>
      </c>
      <c r="AQ475" s="9" t="n">
        <v>1799159.707632881</v>
      </c>
      <c r="AR475" s="9" t="n">
        <v>5355841.375078767</v>
      </c>
    </row>
    <row r="476">
      <c r="A476" s="4" t="inlineStr">
        <is>
          <t>RC</t>
        </is>
      </c>
      <c r="B476" s="5" t="n">
        <v>202601</v>
      </c>
      <c r="C476" s="5" t="n">
        <v>2026</v>
      </c>
      <c r="D476" s="6" t="n">
        <v>4337293.839525484</v>
      </c>
      <c r="E476" s="11" t="n">
        <v>0.4158467024757208</v>
      </c>
      <c r="F476" s="22">
        <f>D476*(1-E476)</f>
        <v/>
      </c>
      <c r="G476" s="11" t="n">
        <v>0.654257</v>
      </c>
      <c r="H476" s="11" t="n">
        <v>0.04319129863765265</v>
      </c>
      <c r="I476" s="11" t="n">
        <v>0.2275000895498492</v>
      </c>
      <c r="J476" s="11" t="n">
        <v>0.3785504307746173</v>
      </c>
      <c r="K476" s="6" t="n">
        <v>11884111.0653785</v>
      </c>
      <c r="L476" s="18" t="n">
        <v>18164285.69412097</v>
      </c>
      <c r="M476" s="18" t="n">
        <v>19509141.31650046</v>
      </c>
      <c r="N476" s="23">
        <f>IF(L476=0,"",M476/L476)</f>
        <v/>
      </c>
      <c r="O476" s="6" t="n">
        <v>15101037.58704026</v>
      </c>
      <c r="P476" s="22">
        <f>M476*G476*(1+H476+I476)</f>
        <v/>
      </c>
      <c r="Q476" s="6" t="n">
        <v>10602302.22386783</v>
      </c>
      <c r="R476" s="22">
        <f>P476-M476*G476*J476</f>
        <v/>
      </c>
      <c r="S476" s="22">
        <f>IF(A476=A475,O476-O475,"")</f>
        <v/>
      </c>
      <c r="T476" s="22">
        <f>IF(A476=A475,P476-P475,"")</f>
        <v/>
      </c>
      <c r="U476" s="22">
        <f>IF(A476=A475,Q476-Q475,"")</f>
        <v/>
      </c>
      <c r="V476" s="22">
        <f>IF(A476=A475,R476-R475,"")</f>
        <v/>
      </c>
      <c r="W476" s="22">
        <f>IF(S476="","",D476-S476)</f>
        <v/>
      </c>
      <c r="X476" s="22">
        <f>IF(T476="","",D476-T476)</f>
        <v/>
      </c>
      <c r="Y476" s="22">
        <f>IF(U476="","",F476-U476)</f>
        <v/>
      </c>
      <c r="Z476" s="22">
        <f>IF(V476="","",F476-V476)</f>
        <v/>
      </c>
      <c r="AA476" s="6" t="n">
        <v>19509141.31650046</v>
      </c>
      <c r="AB476" s="6" t="n">
        <v>16853561.06111787</v>
      </c>
      <c r="AC476" s="6" t="n">
        <v>8028572.530684866</v>
      </c>
      <c r="AD476" s="6" t="n">
        <v>3774523.174377574</v>
      </c>
      <c r="AE476" s="6" t="n">
        <v>3169294.835217888</v>
      </c>
      <c r="AF476" s="6" t="n">
        <v>19338577.81679761</v>
      </c>
      <c r="AG476" s="6" t="n">
        <v>3474265.809982051</v>
      </c>
      <c r="AH476" s="6" t="n">
        <v>3571662.010631229</v>
      </c>
      <c r="AI476" s="6" t="n">
        <v>5088597.499639401</v>
      </c>
      <c r="AJ476" s="6" t="n">
        <v>4308412.932903722</v>
      </c>
      <c r="AK476" s="6" t="n">
        <v>4353116.224824673</v>
      </c>
      <c r="AL476" s="6" t="n">
        <v>3471652.248754199</v>
      </c>
      <c r="AM476" s="6" t="n">
        <v>1693120.085427758</v>
      </c>
      <c r="AN476" s="6" t="n">
        <v>1793741.566450232</v>
      </c>
      <c r="AO476" s="6" t="n">
        <v>2947679.422536242</v>
      </c>
      <c r="AP476" s="6" t="n">
        <v>2465868.594071721</v>
      </c>
      <c r="AQ476" s="6" t="n">
        <v>2504258.410344657</v>
      </c>
      <c r="AR476" s="6" t="n">
        <v>1693491.377855762</v>
      </c>
    </row>
    <row r="477">
      <c r="A477" t="inlineStr">
        <is>
          <t>RC</t>
        </is>
      </c>
      <c r="B477" s="8" t="n">
        <v>202602</v>
      </c>
      <c r="C477" s="8" t="n">
        <v>2026</v>
      </c>
      <c r="D477" s="9" t="n">
        <v>4447286.433907949</v>
      </c>
      <c r="E477" s="10" t="n">
        <v>0.4158467024757208</v>
      </c>
      <c r="F477" s="22">
        <f>D477*(1-E477)</f>
        <v/>
      </c>
      <c r="G477" s="10" t="n">
        <v>0.7035400000000001</v>
      </c>
      <c r="H477" s="10" t="n">
        <v>0.04319129863765266</v>
      </c>
      <c r="I477" s="10" t="n">
        <v>0.2275000895498493</v>
      </c>
      <c r="J477" s="10" t="n">
        <v>0.3785504307746173</v>
      </c>
      <c r="K477" s="9" t="n">
        <v>12013974.34800775</v>
      </c>
      <c r="L477" s="18" t="n">
        <v>17076462.38736639</v>
      </c>
      <c r="M477" s="18" t="n">
        <v>20789930.02554234</v>
      </c>
      <c r="N477" s="23">
        <f>IF(L477=0,"",M477/L477)</f>
        <v/>
      </c>
      <c r="O477" s="9" t="n">
        <v>15266053.74191901</v>
      </c>
      <c r="P477" s="22">
        <f>M477*G477*(1+H477+I477)</f>
        <v/>
      </c>
      <c r="Q477" s="9" t="n">
        <v>10718158.57716547</v>
      </c>
      <c r="R477" s="22">
        <f>P477-M477*G477*J477</f>
        <v/>
      </c>
      <c r="S477" s="22">
        <f>IF(A477=A476,O477-O476,"")</f>
        <v/>
      </c>
      <c r="T477" s="22">
        <f>IF(A477=A476,P477-P476,"")</f>
        <v/>
      </c>
      <c r="U477" s="22">
        <f>IF(A477=A476,Q477-Q476,"")</f>
        <v/>
      </c>
      <c r="V477" s="22">
        <f>IF(A477=A476,R477-R476,"")</f>
        <v/>
      </c>
      <c r="W477" s="22">
        <f>IF(S477="","",D477-S477)</f>
        <v/>
      </c>
      <c r="X477" s="22">
        <f>IF(T477="","",D477-T477)</f>
        <v/>
      </c>
      <c r="Y477" s="22">
        <f>IF(U477="","",F477-U477)</f>
        <v/>
      </c>
      <c r="Z477" s="22">
        <f>IF(V477="","",F477-V477)</f>
        <v/>
      </c>
      <c r="AA477" s="9" t="n">
        <v>20789930.02554234</v>
      </c>
      <c r="AB477" s="9" t="n">
        <v>18059028.37903366</v>
      </c>
      <c r="AC477" s="9" t="n">
        <v>7095935.259335995</v>
      </c>
      <c r="AD477" s="9" t="n">
        <v>3222742.740092176</v>
      </c>
      <c r="AE477" s="9" t="n">
        <v>2555836.343345361</v>
      </c>
      <c r="AF477" s="9" t="n">
        <v>20548011.08596197</v>
      </c>
      <c r="AG477" s="9" t="n">
        <v>2080553.708490596</v>
      </c>
      <c r="AH477" s="9" t="n">
        <v>2314191.37968078</v>
      </c>
      <c r="AI477" s="9" t="n">
        <v>4778270.390617905</v>
      </c>
      <c r="AJ477" s="9" t="n">
        <v>4704194.540660936</v>
      </c>
      <c r="AK477" s="9" t="n">
        <v>4797235.134483913</v>
      </c>
      <c r="AL477" s="9" t="n">
        <v>2155025.483528274</v>
      </c>
      <c r="AM477" s="9" t="n">
        <v>936235.3453785917</v>
      </c>
      <c r="AN477" s="9" t="n">
        <v>1100270.246064148</v>
      </c>
      <c r="AO477" s="9" t="n">
        <v>2830277.884735622</v>
      </c>
      <c r="AP477" s="9" t="n">
        <v>2778269.898913001</v>
      </c>
      <c r="AQ477" s="9" t="n">
        <v>2843592.860273345</v>
      </c>
      <c r="AR477" s="9" t="n">
        <v>988521.3066277029</v>
      </c>
    </row>
    <row r="478">
      <c r="A478" s="4" t="inlineStr">
        <is>
          <t>RC</t>
        </is>
      </c>
      <c r="B478" s="5" t="n">
        <v>202603</v>
      </c>
      <c r="C478" s="5" t="n">
        <v>2026</v>
      </c>
      <c r="D478" s="6" t="n">
        <v>1757272.142552686</v>
      </c>
      <c r="E478" s="11" t="n">
        <v>0.4158467024757208</v>
      </c>
      <c r="F478" s="22">
        <f>D478*(1-E478)</f>
        <v/>
      </c>
      <c r="G478" s="11" t="n">
        <v>0.760588</v>
      </c>
      <c r="H478" s="11" t="n">
        <v>0.03449911631534527</v>
      </c>
      <c r="I478" s="11" t="n">
        <v>0.2376960123965366</v>
      </c>
      <c r="J478" s="11" t="n">
        <v>0.3547804882924962</v>
      </c>
      <c r="K478" s="6" t="n">
        <v>13567105.97371298</v>
      </c>
      <c r="L478" s="18" t="n">
        <v>17837654.51691715</v>
      </c>
      <c r="M478" s="18" t="n">
        <v>19408762.40092196</v>
      </c>
      <c r="N478" s="23">
        <f>IF(L478=0,"",M478/L478)</f>
        <v/>
      </c>
      <c r="O478" s="6" t="n">
        <v>17260006.13047553</v>
      </c>
      <c r="P478" s="22">
        <f>M478*G478*(1+H478+I478)</f>
        <v/>
      </c>
      <c r="Q478" s="6" t="n">
        <v>12446661.6484056</v>
      </c>
      <c r="R478" s="22">
        <f>P478-M478*G478*J478</f>
        <v/>
      </c>
      <c r="S478" s="22">
        <f>IF(A478=A477,O478-O477,"")</f>
        <v/>
      </c>
      <c r="T478" s="22">
        <f>IF(A478=A477,P478-P477,"")</f>
        <v/>
      </c>
      <c r="U478" s="22">
        <f>IF(A478=A477,Q478-Q477,"")</f>
        <v/>
      </c>
      <c r="V478" s="22">
        <f>IF(A478=A477,R478-R477,"")</f>
        <v/>
      </c>
      <c r="W478" s="22">
        <f>IF(S478="","",D478-S478)</f>
        <v/>
      </c>
      <c r="X478" s="22">
        <f>IF(T478="","",D478-T478)</f>
        <v/>
      </c>
      <c r="Y478" s="22">
        <f>IF(U478="","",F478-U478)</f>
        <v/>
      </c>
      <c r="Z478" s="22">
        <f>IF(V478="","",F478-V478)</f>
        <v/>
      </c>
      <c r="AA478" s="6" t="n">
        <v>19408762.40092196</v>
      </c>
      <c r="AB478" s="6" t="n">
        <v>16826579.10136203</v>
      </c>
      <c r="AC478" s="6" t="n">
        <v>6158162.079662467</v>
      </c>
      <c r="AD478" s="6" t="n">
        <v>2520878.693291862</v>
      </c>
      <c r="AE478" s="6" t="n">
        <v>1851967.175726015</v>
      </c>
      <c r="AF478" s="6" t="n">
        <v>19272984.4207721</v>
      </c>
      <c r="AG478" s="6" t="n">
        <v>1562864.120359414</v>
      </c>
      <c r="AH478" s="6" t="n">
        <v>1620049.381496864</v>
      </c>
      <c r="AI478" s="6" t="n">
        <v>2142173.787972403</v>
      </c>
      <c r="AJ478" s="6" t="n">
        <v>2199103.413039915</v>
      </c>
      <c r="AK478" s="6" t="n">
        <v>2250150.672581815</v>
      </c>
      <c r="AL478" s="6" t="n">
        <v>1477973.883242857</v>
      </c>
      <c r="AM478" s="6" t="n">
        <v>532517.5200534626</v>
      </c>
      <c r="AN478" s="6" t="n">
        <v>620230.2297345544</v>
      </c>
      <c r="AO478" s="6" t="n">
        <v>1183319.807826131</v>
      </c>
      <c r="AP478" s="6" t="n">
        <v>1290287.833198443</v>
      </c>
      <c r="AQ478" s="6" t="n">
        <v>1338448.909734137</v>
      </c>
      <c r="AR478" s="6" t="n">
        <v>475417.8619229174</v>
      </c>
    </row>
    <row r="479">
      <c r="A479" t="inlineStr">
        <is>
          <t>RC</t>
        </is>
      </c>
      <c r="B479" s="8" t="n">
        <v>202604</v>
      </c>
      <c r="C479" s="8" t="n">
        <v>2026</v>
      </c>
      <c r="D479" s="9" t="n">
        <v>4009861.602841912</v>
      </c>
      <c r="E479" s="10" t="n">
        <v>0.4158467024757208</v>
      </c>
      <c r="F479" s="22">
        <f>D479*(1-E479)</f>
        <v/>
      </c>
      <c r="G479" s="10" t="n">
        <v>0.728975</v>
      </c>
      <c r="H479" s="10" t="n">
        <v>0.03599536412619837</v>
      </c>
      <c r="I479" s="10" t="n">
        <v>0.2437608002051612</v>
      </c>
      <c r="J479" s="10" t="n">
        <v>0.3890288374462502</v>
      </c>
      <c r="K479" s="9" t="n">
        <v>14714820.14047902</v>
      </c>
      <c r="L479" s="18" t="n">
        <v>20185630.70129843</v>
      </c>
      <c r="M479" s="18" t="n">
        <v>20368993.47786623</v>
      </c>
      <c r="N479" s="23">
        <f>IF(L479=0,"",M479/L479)</f>
        <v/>
      </c>
      <c r="O479" s="9" t="n">
        <v>18831381.78180528</v>
      </c>
      <c r="P479" s="22">
        <f>M479*G479*(1+H479+I479)</f>
        <v/>
      </c>
      <c r="Q479" s="9" t="n">
        <v>13106892.40932405</v>
      </c>
      <c r="R479" s="22">
        <f>P479-M479*G479*J479</f>
        <v/>
      </c>
      <c r="S479" s="22">
        <f>IF(A479=A478,O479-O478,"")</f>
        <v/>
      </c>
      <c r="T479" s="22">
        <f>IF(A479=A478,P479-P478,"")</f>
        <v/>
      </c>
      <c r="U479" s="22">
        <f>IF(A479=A478,Q479-Q478,"")</f>
        <v/>
      </c>
      <c r="V479" s="22">
        <f>IF(A479=A478,R479-R478,"")</f>
        <v/>
      </c>
      <c r="W479" s="22">
        <f>IF(S479="","",D479-S479)</f>
        <v/>
      </c>
      <c r="X479" s="22">
        <f>IF(T479="","",D479-T479)</f>
        <v/>
      </c>
      <c r="Y479" s="22">
        <f>IF(U479="","",F479-U479)</f>
        <v/>
      </c>
      <c r="Z479" s="22">
        <f>IF(V479="","",F479-V479)</f>
        <v/>
      </c>
      <c r="AA479" s="9" t="n">
        <v>20368993.47786623</v>
      </c>
      <c r="AB479" s="9" t="n">
        <v>17619687.68817236</v>
      </c>
      <c r="AC479" s="9" t="n">
        <v>5479294.681528427</v>
      </c>
      <c r="AD479" s="9" t="n">
        <v>2543412.923259052</v>
      </c>
      <c r="AE479" s="9" t="n">
        <v>1792054.334035784</v>
      </c>
      <c r="AF479" s="9" t="n">
        <v>20179408.00943948</v>
      </c>
      <c r="AG479" s="9" t="n">
        <v>3787654.61171254</v>
      </c>
      <c r="AH479" s="9" t="n">
        <v>3853947.387385067</v>
      </c>
      <c r="AI479" s="9" t="n">
        <v>4856909.737600769</v>
      </c>
      <c r="AJ479" s="9" t="n">
        <v>4076329.05337956</v>
      </c>
      <c r="AK479" s="9" t="n">
        <v>4130029.462476838</v>
      </c>
      <c r="AL479" s="9" t="n">
        <v>3833139.845071701</v>
      </c>
      <c r="AM479" s="9" t="n">
        <v>2659361.496968033</v>
      </c>
      <c r="AN479" s="9" t="n">
        <v>2642753.272277765</v>
      </c>
      <c r="AO479" s="9" t="n">
        <v>3081578.346527606</v>
      </c>
      <c r="AP479" s="9" t="n">
        <v>2449895.242136194</v>
      </c>
      <c r="AQ479" s="9" t="n">
        <v>2471016.4191322</v>
      </c>
      <c r="AR479" s="9" t="n">
        <v>2687720.324024428</v>
      </c>
    </row>
    <row r="480">
      <c r="A480" s="4" t="inlineStr">
        <is>
          <t>RC</t>
        </is>
      </c>
      <c r="B480" s="5" t="n">
        <v>202605</v>
      </c>
      <c r="C480" s="5" t="n">
        <v>2026</v>
      </c>
      <c r="D480" s="6" t="n">
        <v>3376205.974807642</v>
      </c>
      <c r="E480" s="11" t="n">
        <v>0.4158467024757208</v>
      </c>
      <c r="F480" s="22">
        <f>D480*(1-E480)</f>
        <v/>
      </c>
      <c r="G480" s="11" t="n">
        <v>0.6927549999999999</v>
      </c>
      <c r="H480" s="11" t="n">
        <v>0.03787714155559852</v>
      </c>
      <c r="I480" s="11" t="n">
        <v>0.2463849520703867</v>
      </c>
      <c r="J480" s="11" t="n">
        <v>0.3944462680374135</v>
      </c>
      <c r="K480" s="6" t="n">
        <v>14018639.5562886</v>
      </c>
      <c r="L480" s="18" t="n">
        <v>20236071.27525403</v>
      </c>
      <c r="M480" s="18" t="n">
        <v>20603664.54679008</v>
      </c>
      <c r="N480" s="23">
        <f>IF(L480=0,"",M480/L480)</f>
        <v/>
      </c>
      <c r="O480" s="6" t="n">
        <v>18003607.38634725</v>
      </c>
      <c r="P480" s="22">
        <f>M480*G480*(1+H480+I480)</f>
        <v/>
      </c>
      <c r="Q480" s="6" t="n">
        <v>12474007.33040755</v>
      </c>
      <c r="R480" s="22">
        <f>P480-M480*G480*J480</f>
        <v/>
      </c>
      <c r="S480" s="22">
        <f>IF(A480=A479,O480-O479,"")</f>
        <v/>
      </c>
      <c r="T480" s="22">
        <f>IF(A480=A479,P480-P479,"")</f>
        <v/>
      </c>
      <c r="U480" s="22">
        <f>IF(A480=A479,Q480-Q479,"")</f>
        <v/>
      </c>
      <c r="V480" s="22">
        <f>IF(A480=A479,R480-R479,"")</f>
        <v/>
      </c>
      <c r="W480" s="22">
        <f>IF(S480="","",D480-S480)</f>
        <v/>
      </c>
      <c r="X480" s="22">
        <f>IF(T480="","",D480-T480)</f>
        <v/>
      </c>
      <c r="Y480" s="22">
        <f>IF(U480="","",F480-U480)</f>
        <v/>
      </c>
      <c r="Z480" s="22">
        <f>IF(V480="","",F480-V480)</f>
        <v/>
      </c>
      <c r="AA480" s="6" t="n">
        <v>20603664.54679008</v>
      </c>
      <c r="AB480" s="6" t="n">
        <v>17722237.48210962</v>
      </c>
      <c r="AC480" s="6" t="n">
        <v>4582096.957656112</v>
      </c>
      <c r="AD480" s="6" t="n">
        <v>2049386.502106461</v>
      </c>
      <c r="AE480" s="6" t="n">
        <v>1294879.199395746</v>
      </c>
      <c r="AF480" s="6" t="n">
        <v>20364654.40412131</v>
      </c>
      <c r="AG480" s="6" t="n">
        <v>4048001.374647826</v>
      </c>
      <c r="AH480" s="6" t="n">
        <v>4046690.934419047</v>
      </c>
      <c r="AI480" s="6" t="n">
        <v>4411300.767281614</v>
      </c>
      <c r="AJ480" s="6" t="n">
        <v>3925685.854138499</v>
      </c>
      <c r="AK480" s="6" t="n">
        <v>3896005.017417312</v>
      </c>
      <c r="AL480" s="6" t="n">
        <v>4083777.44945503</v>
      </c>
      <c r="AM480" s="6" t="n">
        <v>2497574.227004174</v>
      </c>
      <c r="AN480" s="6" t="n">
        <v>2488582.459881691</v>
      </c>
      <c r="AO480" s="6" t="n">
        <v>2705510.065518336</v>
      </c>
      <c r="AP480" s="6" t="n">
        <v>2360413.75898836</v>
      </c>
      <c r="AQ480" s="6" t="n">
        <v>2337639.820668382</v>
      </c>
      <c r="AR480" s="6" t="n">
        <v>2521804.653471982</v>
      </c>
    </row>
    <row r="481">
      <c r="A481" t="inlineStr">
        <is>
          <t>Vida</t>
        </is>
      </c>
      <c r="B481" s="8" t="n">
        <v>202201</v>
      </c>
      <c r="C481" s="8" t="n">
        <v>2022</v>
      </c>
      <c r="D481" s="9" t="n">
        <v>1797259.719940427</v>
      </c>
      <c r="E481" s="10" t="n">
        <v>0.02905483446150987</v>
      </c>
      <c r="F481" s="22">
        <f>D481*(1-E481)</f>
        <v/>
      </c>
      <c r="G481" s="10" t="n">
        <v>0.8958736448505298</v>
      </c>
      <c r="H481" s="10" t="n">
        <v>0.04252364186460798</v>
      </c>
      <c r="I481" s="10" t="n">
        <v>0.05260625881139333</v>
      </c>
      <c r="J481" s="10" t="n">
        <v>0.09816349647007566</v>
      </c>
      <c r="K481" s="9" t="n">
        <v>11443860.74155646</v>
      </c>
      <c r="L481" s="18" t="n">
        <v>12773967.40861351</v>
      </c>
      <c r="M481" s="18" t="n">
        <v>11181357.49787257</v>
      </c>
      <c r="N481" s="23">
        <f>IF(L481=0,"",M481/L481)</f>
        <v/>
      </c>
      <c r="O481" s="9" t="n">
        <v>12532514.07725072</v>
      </c>
      <c r="P481" s="22">
        <f>M481*G481*(1+H481+I481)</f>
        <v/>
      </c>
      <c r="Q481" s="9" t="n">
        <v>11409144.6937429</v>
      </c>
      <c r="R481" s="22">
        <f>P481-M481*G481*J481</f>
        <v/>
      </c>
      <c r="S481" s="22">
        <f>IF(A481=A480,O481-O480,"")</f>
        <v/>
      </c>
      <c r="T481" s="22">
        <f>IF(A481=A480,P481-P480,"")</f>
        <v/>
      </c>
      <c r="U481" s="22">
        <f>IF(A481=A480,Q481-Q480,"")</f>
        <v/>
      </c>
      <c r="V481" s="22">
        <f>IF(A481=A480,R481-R480,"")</f>
        <v/>
      </c>
      <c r="W481" s="22">
        <f>IF(S481="","",D481-S481)</f>
        <v/>
      </c>
      <c r="X481" s="22">
        <f>IF(T481="","",D481-T481)</f>
        <v/>
      </c>
      <c r="Y481" s="22">
        <f>IF(U481="","",F481-U481)</f>
        <v/>
      </c>
      <c r="Z481" s="22">
        <f>IF(V481="","",F481-V481)</f>
        <v/>
      </c>
      <c r="AA481" s="9" t="n">
        <v>12636164.89562885</v>
      </c>
      <c r="AB481" s="9" t="n">
        <v>11674849.14748709</v>
      </c>
      <c r="AC481" s="9" t="n">
        <v>5232706.541947046</v>
      </c>
      <c r="AD481" s="9" t="n">
        <v>5435649.966654682</v>
      </c>
      <c r="AE481" s="9" t="n">
        <v>5435649.966654682</v>
      </c>
      <c r="AF481" s="9" t="n">
        <v>11882997.68236969</v>
      </c>
    </row>
    <row r="482">
      <c r="A482" s="4" t="inlineStr">
        <is>
          <t>Vida</t>
        </is>
      </c>
      <c r="B482" s="5" t="n">
        <v>202202</v>
      </c>
      <c r="C482" s="5" t="n">
        <v>2022</v>
      </c>
      <c r="D482" s="6" t="n">
        <v>1529036.052560766</v>
      </c>
      <c r="E482" s="11" t="n">
        <v>0.02905483446150987</v>
      </c>
      <c r="F482" s="22">
        <f>D482*(1-E482)</f>
        <v/>
      </c>
      <c r="G482" s="11" t="n">
        <v>0.905448320297112</v>
      </c>
      <c r="H482" s="11" t="n">
        <v>0.04207397415830701</v>
      </c>
      <c r="I482" s="11" t="n">
        <v>0.05783704970846918</v>
      </c>
      <c r="J482" s="11" t="n">
        <v>0.1062552295150027</v>
      </c>
      <c r="K482" s="6" t="n">
        <v>11233854.21953882</v>
      </c>
      <c r="L482" s="18" t="n">
        <v>12406952.40988748</v>
      </c>
      <c r="M482" s="18" t="n">
        <v>10591926.57465693</v>
      </c>
      <c r="N482" s="23">
        <f>IF(L482=0,"",M482/L482)</f>
        <v/>
      </c>
      <c r="O482" s="6" t="n">
        <v>12356240.09658305</v>
      </c>
      <c r="P482" s="22">
        <f>M482*G482*(1+H482+I482)</f>
        <v/>
      </c>
      <c r="Q482" s="6" t="n">
        <v>11162584.33814787</v>
      </c>
      <c r="R482" s="22">
        <f>P482-M482*G482*J482</f>
        <v/>
      </c>
      <c r="S482" s="22">
        <f>IF(A482=A481,O482-O481,"")</f>
        <v/>
      </c>
      <c r="T482" s="22">
        <f>IF(A482=A481,P482-P481,"")</f>
        <v/>
      </c>
      <c r="U482" s="22">
        <f>IF(A482=A481,Q482-Q481,"")</f>
        <v/>
      </c>
      <c r="V482" s="22">
        <f>IF(A482=A481,R482-R481,"")</f>
        <v/>
      </c>
      <c r="W482" s="22">
        <f>IF(S482="","",D482-S482)</f>
        <v/>
      </c>
      <c r="X482" s="22">
        <f>IF(T482="","",D482-T482)</f>
        <v/>
      </c>
      <c r="Y482" s="22">
        <f>IF(U482="","",F482-U482)</f>
        <v/>
      </c>
      <c r="Z482" s="22">
        <f>IF(V482="","",F482-V482)</f>
        <v/>
      </c>
      <c r="AA482" s="6" t="n">
        <v>12011364.96759183</v>
      </c>
      <c r="AB482" s="6" t="n">
        <v>11021040.86272594</v>
      </c>
      <c r="AC482" s="6" t="n">
        <v>4571598.822431925</v>
      </c>
      <c r="AD482" s="6" t="n">
        <v>5116807.98262581</v>
      </c>
      <c r="AE482" s="6" t="n">
        <v>5116807.98262581</v>
      </c>
      <c r="AF482" s="6" t="n">
        <v>11348307.39713148</v>
      </c>
      <c r="AG482" s="6" t="n">
        <v>1964082.775027213</v>
      </c>
      <c r="AH482" s="6" t="n">
        <v>2007214.04532309</v>
      </c>
      <c r="AI482" s="6" t="n">
        <v>2109921.238339095</v>
      </c>
      <c r="AJ482" s="6" t="n">
        <v>1766047.963324729</v>
      </c>
      <c r="AK482" s="6" t="n">
        <v>1766047.963324729</v>
      </c>
      <c r="AL482" s="6" t="n">
        <v>1885499.298283164</v>
      </c>
      <c r="AM482" s="6" t="n">
        <v>1964002.979923112</v>
      </c>
      <c r="AN482" s="6" t="n">
        <v>1996396.651080768</v>
      </c>
      <c r="AO482" s="6" t="n">
        <v>2045147.412293451</v>
      </c>
      <c r="AP482" s="6" t="n">
        <v>1735880.688901511</v>
      </c>
      <c r="AQ482" s="6" t="n">
        <v>1735880.688901511</v>
      </c>
      <c r="AR482" s="6" t="n">
        <v>1887862.74833174</v>
      </c>
    </row>
    <row r="483">
      <c r="A483" t="inlineStr">
        <is>
          <t>Vida</t>
        </is>
      </c>
      <c r="B483" s="8" t="n">
        <v>202203</v>
      </c>
      <c r="C483" s="8" t="n">
        <v>2022</v>
      </c>
      <c r="D483" s="9" t="n">
        <v>1719553.106747238</v>
      </c>
      <c r="E483" s="10" t="n">
        <v>0.02905483446150987</v>
      </c>
      <c r="F483" s="22">
        <f>D483*(1-E483)</f>
        <v/>
      </c>
      <c r="G483" s="10" t="n">
        <v>0.9144633069726432</v>
      </c>
      <c r="H483" s="10" t="n">
        <v>0.04165919873566249</v>
      </c>
      <c r="I483" s="10" t="n">
        <v>0.05579464601713679</v>
      </c>
      <c r="J483" s="10" t="n">
        <v>0.1032239262553691</v>
      </c>
      <c r="K483" s="9" t="n">
        <v>11543533.27266968</v>
      </c>
      <c r="L483" s="18" t="n">
        <v>12623287.54434651</v>
      </c>
      <c r="M483" s="18" t="n">
        <v>10300046.51941446</v>
      </c>
      <c r="N483" s="23">
        <f>IF(L483=0,"",M483/L483)</f>
        <v/>
      </c>
      <c r="O483" s="9" t="n">
        <v>12668494.97212321</v>
      </c>
      <c r="P483" s="22">
        <f>M483*G483*(1+H483+I483)</f>
        <v/>
      </c>
      <c r="Q483" s="9" t="n">
        <v>11476926.14485876</v>
      </c>
      <c r="R483" s="22">
        <f>P483-M483*G483*J483</f>
        <v/>
      </c>
      <c r="S483" s="22">
        <f>IF(A483=A482,O483-O482,"")</f>
        <v/>
      </c>
      <c r="T483" s="22">
        <f>IF(A483=A482,P483-P482,"")</f>
        <v/>
      </c>
      <c r="U483" s="22">
        <f>IF(A483=A482,Q483-Q482,"")</f>
        <v/>
      </c>
      <c r="V483" s="22">
        <f>IF(A483=A482,R483-R482,"")</f>
        <v/>
      </c>
      <c r="W483" s="22">
        <f>IF(S483="","",D483-S483)</f>
        <v/>
      </c>
      <c r="X483" s="22">
        <f>IF(T483="","",D483-T483)</f>
        <v/>
      </c>
      <c r="Y483" s="22">
        <f>IF(U483="","",F483-U483)</f>
        <v/>
      </c>
      <c r="Z483" s="22">
        <f>IF(V483="","",F483-V483)</f>
        <v/>
      </c>
      <c r="AA483" s="9" t="n">
        <v>11744517.51828618</v>
      </c>
      <c r="AB483" s="9" t="n">
        <v>10723124.99647099</v>
      </c>
      <c r="AC483" s="9" t="n">
        <v>3902777.023135249</v>
      </c>
      <c r="AD483" s="9" t="n">
        <v>4891933.103846262</v>
      </c>
      <c r="AE483" s="9" t="n">
        <v>4891933.103846262</v>
      </c>
      <c r="AF483" s="9" t="n">
        <v>11003916.53601016</v>
      </c>
      <c r="AG483" s="9" t="n">
        <v>1895244.858016845</v>
      </c>
      <c r="AH483" s="9" t="n">
        <v>1934019.021134336</v>
      </c>
      <c r="AI483" s="9" t="n">
        <v>2355711.996342915</v>
      </c>
      <c r="AJ483" s="9" t="n">
        <v>1905994.144830343</v>
      </c>
      <c r="AK483" s="9" t="n">
        <v>1905994.144830343</v>
      </c>
      <c r="AL483" s="9" t="n">
        <v>1978150.752267194</v>
      </c>
      <c r="AM483" s="9" t="n">
        <v>1798304.466492953</v>
      </c>
      <c r="AN483" s="9" t="n">
        <v>1835942.514976189</v>
      </c>
      <c r="AO483" s="9" t="n">
        <v>2234324.11399533</v>
      </c>
      <c r="AP483" s="9" t="n">
        <v>1825523.328766022</v>
      </c>
      <c r="AQ483" s="9" t="n">
        <v>1825523.328766022</v>
      </c>
      <c r="AR483" s="9" t="n">
        <v>1875093.559763327</v>
      </c>
    </row>
    <row r="484">
      <c r="A484" s="4" t="inlineStr">
        <is>
          <t>Vida</t>
        </is>
      </c>
      <c r="B484" s="5" t="n">
        <v>202204</v>
      </c>
      <c r="C484" s="5" t="n">
        <v>2022</v>
      </c>
      <c r="D484" s="6" t="n">
        <v>15834437.55404393</v>
      </c>
      <c r="E484" s="11" t="n">
        <v>0.02905483446150987</v>
      </c>
      <c r="F484" s="22">
        <f>D484*(1-E484)</f>
        <v/>
      </c>
      <c r="G484" s="11" t="n">
        <v>0.9170326136664106</v>
      </c>
      <c r="H484" s="11" t="n">
        <v>0.04154248084810436</v>
      </c>
      <c r="I484" s="11" t="n">
        <v>0.03606349683322087</v>
      </c>
      <c r="J484" s="11" t="n">
        <v>0.04997697471858576</v>
      </c>
      <c r="K484" s="6" t="n">
        <v>23565330.40702275</v>
      </c>
      <c r="L484" s="18" t="n">
        <v>25697374.39632122</v>
      </c>
      <c r="M484" s="18" t="n">
        <v>22300184.36906786</v>
      </c>
      <c r="N484" s="23">
        <f>IF(L484=0,"",M484/L484)</f>
        <v/>
      </c>
      <c r="O484" s="6" t="n">
        <v>25394140.91264322</v>
      </c>
      <c r="P484" s="22">
        <f>M484*G484*(1+H484+I484)</f>
        <v/>
      </c>
      <c r="Q484" s="6" t="n">
        <v>24216416.99065632</v>
      </c>
      <c r="R484" s="22">
        <f>P484-M484*G484*J484</f>
        <v/>
      </c>
      <c r="S484" s="22">
        <f>IF(A484=A483,O484-O483,"")</f>
        <v/>
      </c>
      <c r="T484" s="22">
        <f>IF(A484=A483,P484-P483,"")</f>
        <v/>
      </c>
      <c r="U484" s="22">
        <f>IF(A484=A483,Q484-Q483,"")</f>
        <v/>
      </c>
      <c r="V484" s="22">
        <f>IF(A484=A483,R484-R483,"")</f>
        <v/>
      </c>
      <c r="W484" s="22">
        <f>IF(S484="","",D484-S484)</f>
        <v/>
      </c>
      <c r="X484" s="22">
        <f>IF(T484="","",D484-T484)</f>
        <v/>
      </c>
      <c r="Y484" s="22">
        <f>IF(U484="","",F484-U484)</f>
        <v/>
      </c>
      <c r="Z484" s="22">
        <f>IF(V484="","",F484-V484)</f>
        <v/>
      </c>
      <c r="AA484" s="6" t="n">
        <v>24695208.5524442</v>
      </c>
      <c r="AB484" s="6" t="n">
        <v>22546576.19389579</v>
      </c>
      <c r="AC484" s="6" t="n">
        <v>3381540.968964247</v>
      </c>
      <c r="AD484" s="6" t="n">
        <v>6544740.697311871</v>
      </c>
      <c r="AE484" s="6" t="n">
        <v>6544740.697311871</v>
      </c>
      <c r="AF484" s="6" t="n">
        <v>23740906.3193595</v>
      </c>
      <c r="AG484" s="6" t="n">
        <v>3217214.585625725</v>
      </c>
      <c r="AH484" s="6" t="n">
        <v>4315442.30256491</v>
      </c>
      <c r="AI484" s="6" t="n">
        <v>16409553.28586083</v>
      </c>
      <c r="AJ484" s="6" t="n">
        <v>14276378.38182996</v>
      </c>
      <c r="AK484" s="6" t="n">
        <v>14276378.38182996</v>
      </c>
      <c r="AL484" s="6" t="n">
        <v>3417002.610589504</v>
      </c>
      <c r="AM484" s="6" t="n">
        <v>2780323.991973395</v>
      </c>
      <c r="AN484" s="6" t="n">
        <v>3876492.608976729</v>
      </c>
      <c r="AO484" s="6" t="n">
        <v>15736063.43232876</v>
      </c>
      <c r="AP484" s="6" t="n">
        <v>13654488.716567</v>
      </c>
      <c r="AQ484" s="6" t="n">
        <v>13654488.716567</v>
      </c>
      <c r="AR484" s="6" t="n">
        <v>3006284.50762341</v>
      </c>
    </row>
    <row r="485">
      <c r="A485" t="inlineStr">
        <is>
          <t>Vida</t>
        </is>
      </c>
      <c r="B485" s="8" t="n">
        <v>202205</v>
      </c>
      <c r="C485" s="8" t="n">
        <v>2022</v>
      </c>
      <c r="D485" s="9" t="n">
        <v>3686643.619605293</v>
      </c>
      <c r="E485" s="10" t="n">
        <v>0.02905483446150987</v>
      </c>
      <c r="F485" s="22">
        <f>D485*(1-E485)</f>
        <v/>
      </c>
      <c r="G485" s="10" t="n">
        <v>0.962148936838369</v>
      </c>
      <c r="H485" s="10" t="n">
        <v>0.03959450325811736</v>
      </c>
      <c r="I485" s="10" t="n">
        <v>0.04187779960692913</v>
      </c>
      <c r="J485" s="10" t="n">
        <v>0.05908634691953667</v>
      </c>
      <c r="K485" s="9" t="n">
        <v>25211470.12166316</v>
      </c>
      <c r="L485" s="18" t="n">
        <v>26203292.60510156</v>
      </c>
      <c r="M485" s="18" t="n">
        <v>22674447.10229046</v>
      </c>
      <c r="N485" s="23">
        <f>IF(L485=0,"",M485/L485)</f>
        <v/>
      </c>
      <c r="O485" s="9" t="n">
        <v>27265506.65108836</v>
      </c>
      <c r="P485" s="22">
        <f>M485*G485*(1+H485+I485)</f>
        <v/>
      </c>
      <c r="Q485" s="9" t="n">
        <v>25775852.98112824</v>
      </c>
      <c r="R485" s="22">
        <f>P485-M485*G485*J485</f>
        <v/>
      </c>
      <c r="S485" s="22">
        <f>IF(A485=A484,O485-O484,"")</f>
        <v/>
      </c>
      <c r="T485" s="22">
        <f>IF(A485=A484,P485-P484,"")</f>
        <v/>
      </c>
      <c r="U485" s="22">
        <f>IF(A485=A484,Q485-Q484,"")</f>
        <v/>
      </c>
      <c r="V485" s="22">
        <f>IF(A485=A484,R485-R484,"")</f>
        <v/>
      </c>
      <c r="W485" s="22">
        <f>IF(S485="","",D485-S485)</f>
        <v/>
      </c>
      <c r="X485" s="22">
        <f>IF(T485="","",D485-T485)</f>
        <v/>
      </c>
      <c r="Y485" s="22">
        <f>IF(U485="","",F485-U485)</f>
        <v/>
      </c>
      <c r="Z485" s="22">
        <f>IF(V485="","",F485-V485)</f>
        <v/>
      </c>
      <c r="AA485" s="9" t="n">
        <v>25168394.58196465</v>
      </c>
      <c r="AB485" s="9" t="n">
        <v>23014548.97797104</v>
      </c>
      <c r="AC485" s="9" t="n">
        <v>4181530.603216303</v>
      </c>
      <c r="AD485" s="9" t="n">
        <v>7026560.54259474</v>
      </c>
      <c r="AE485" s="9" t="n">
        <v>7026560.54259474</v>
      </c>
      <c r="AF485" s="9" t="n">
        <v>24077478.2207571</v>
      </c>
      <c r="AG485" s="9" t="n">
        <v>1901787.894005434</v>
      </c>
      <c r="AH485" s="9" t="n">
        <v>2019666.732375877</v>
      </c>
      <c r="AI485" s="9" t="n">
        <v>2677242.725102407</v>
      </c>
      <c r="AJ485" s="9" t="n">
        <v>2842756.015727274</v>
      </c>
      <c r="AK485" s="9" t="n">
        <v>2842756.015727274</v>
      </c>
      <c r="AL485" s="9" t="n">
        <v>2093885.896046211</v>
      </c>
      <c r="AM485" s="9" t="n">
        <v>2093698.785578921</v>
      </c>
      <c r="AN485" s="9" t="n">
        <v>2187604.719404965</v>
      </c>
      <c r="AO485" s="9" t="n">
        <v>2652869.592306472</v>
      </c>
      <c r="AP485" s="9" t="n">
        <v>2835151.378413681</v>
      </c>
      <c r="AQ485" s="9" t="n">
        <v>2835151.378413681</v>
      </c>
      <c r="AR485" s="9" t="n">
        <v>2267514.502332344</v>
      </c>
    </row>
    <row r="486">
      <c r="A486" s="4" t="inlineStr">
        <is>
          <t>Vida</t>
        </is>
      </c>
      <c r="B486" s="5" t="n">
        <v>202206</v>
      </c>
      <c r="C486" s="5" t="n">
        <v>2022</v>
      </c>
      <c r="D486" s="6" t="n">
        <v>1404858.539380094</v>
      </c>
      <c r="E486" s="11" t="n">
        <v>0.02905483446150987</v>
      </c>
      <c r="F486" s="22">
        <f>D486*(1-E486)</f>
        <v/>
      </c>
      <c r="G486" s="11" t="n">
        <v>0.9539918002272624</v>
      </c>
      <c r="H486" s="11" t="n">
        <v>0.03703450122015915</v>
      </c>
      <c r="I486" s="11" t="n">
        <v>0.03829650403122582</v>
      </c>
      <c r="J486" s="11" t="n">
        <v>0.08551733911879281</v>
      </c>
      <c r="K486" s="6" t="n">
        <v>17261380.20888688</v>
      </c>
      <c r="L486" s="18" t="n">
        <v>18093845.46573129</v>
      </c>
      <c r="M486" s="18" t="n">
        <v>20794151.7139263</v>
      </c>
      <c r="N486" s="23">
        <f>IF(L486=0,"",M486/L486)</f>
        <v/>
      </c>
      <c r="O486" s="6" t="n">
        <v>18561697.33204869</v>
      </c>
      <c r="P486" s="22">
        <f>M486*G486*(1+H486+I486)</f>
        <v/>
      </c>
      <c r="Q486" s="6" t="n">
        <v>17085550.02706689</v>
      </c>
      <c r="R486" s="22">
        <f>P486-M486*G486*J486</f>
        <v/>
      </c>
      <c r="S486" s="22">
        <f>IF(A486=A485,O486-O485,"")</f>
        <v/>
      </c>
      <c r="T486" s="22">
        <f>IF(A486=A485,P486-P485,"")</f>
        <v/>
      </c>
      <c r="U486" s="22">
        <f>IF(A486=A485,Q486-Q485,"")</f>
        <v/>
      </c>
      <c r="V486" s="22">
        <f>IF(A486=A485,R486-R485,"")</f>
        <v/>
      </c>
      <c r="W486" s="22">
        <f>IF(S486="","",D486-S486)</f>
        <v/>
      </c>
      <c r="X486" s="22">
        <f>IF(T486="","",D486-T486)</f>
        <v/>
      </c>
      <c r="Y486" s="22">
        <f>IF(U486="","",F486-U486)</f>
        <v/>
      </c>
      <c r="Z486" s="22">
        <f>IF(V486="","",F486-V486)</f>
        <v/>
      </c>
      <c r="AA486" s="6" t="n">
        <v>23319274.26590481</v>
      </c>
      <c r="AB486" s="6" t="n">
        <v>21177249.02688127</v>
      </c>
      <c r="AC486" s="6" t="n">
        <v>3663823.216804102</v>
      </c>
      <c r="AD486" s="6" t="n">
        <v>7003055.361839432</v>
      </c>
      <c r="AE486" s="6" t="n">
        <v>7003055.361839432</v>
      </c>
      <c r="AF486" s="6" t="n">
        <v>22122681.37222932</v>
      </c>
      <c r="AG486" s="6" t="n">
        <v>3671275.221126532</v>
      </c>
      <c r="AH486" s="6" t="n">
        <v>3627529.762683818</v>
      </c>
      <c r="AI486" s="6" t="n">
        <v>1997339.078944341</v>
      </c>
      <c r="AJ486" s="6" t="n">
        <v>1532124.66797549</v>
      </c>
      <c r="AK486" s="6" t="n">
        <v>1532124.66797549</v>
      </c>
      <c r="AL486" s="6" t="n">
        <v>3763669.068300494</v>
      </c>
      <c r="AM486" s="6" t="n">
        <v>4102090.060935166</v>
      </c>
      <c r="AN486" s="6" t="n">
        <v>4006037.933198307</v>
      </c>
      <c r="AO486" s="6" t="n">
        <v>2017706.797086872</v>
      </c>
      <c r="AP486" s="6" t="n">
        <v>1663176.858469014</v>
      </c>
      <c r="AQ486" s="6" t="n">
        <v>1663176.858469014</v>
      </c>
      <c r="AR486" s="6" t="n">
        <v>4158880.909974735</v>
      </c>
    </row>
    <row r="487">
      <c r="A487" t="inlineStr">
        <is>
          <t>Vida</t>
        </is>
      </c>
      <c r="B487" s="8" t="n">
        <v>202207</v>
      </c>
      <c r="C487" s="8" t="n">
        <v>2022</v>
      </c>
      <c r="D487" s="9" t="n">
        <v>4162621.818922928</v>
      </c>
      <c r="E487" s="10" t="n">
        <v>0.02905483446150987</v>
      </c>
      <c r="F487" s="22">
        <f>D487*(1-E487)</f>
        <v/>
      </c>
      <c r="G487" s="10" t="n">
        <v>0.9869653200750231</v>
      </c>
      <c r="H487" s="10" t="n">
        <v>0.03579721526472975</v>
      </c>
      <c r="I487" s="10" t="n">
        <v>0.04697731855129787</v>
      </c>
      <c r="J487" s="10" t="n">
        <v>0.08992357058588334</v>
      </c>
      <c r="K487" s="9" t="n">
        <v>18361636.28073036</v>
      </c>
      <c r="L487" s="18" t="n">
        <v>18604135.22871768</v>
      </c>
      <c r="M487" s="18" t="n">
        <v>21370953.07816744</v>
      </c>
      <c r="N487" s="23">
        <f>IF(L487=0,"",M487/L487)</f>
        <v/>
      </c>
      <c r="O487" s="9" t="n">
        <v>19881512.16396728</v>
      </c>
      <c r="P487" s="22">
        <f>M487*G487*(1+H487+I487)</f>
        <v/>
      </c>
      <c r="Q487" s="9" t="n">
        <v>18230368.2678047</v>
      </c>
      <c r="R487" s="22">
        <f>P487-M487*G487*J487</f>
        <v/>
      </c>
      <c r="S487" s="22">
        <f>IF(A487=A486,O487-O486,"")</f>
        <v/>
      </c>
      <c r="T487" s="22">
        <f>IF(A487=A486,P487-P486,"")</f>
        <v/>
      </c>
      <c r="U487" s="22">
        <f>IF(A487=A486,Q487-Q486,"")</f>
        <v/>
      </c>
      <c r="V487" s="22">
        <f>IF(A487=A486,R487-R486,"")</f>
        <v/>
      </c>
      <c r="W487" s="22">
        <f>IF(S487="","",D487-S487)</f>
        <v/>
      </c>
      <c r="X487" s="22">
        <f>IF(T487="","",D487-T487)</f>
        <v/>
      </c>
      <c r="Y487" s="22">
        <f>IF(U487="","",F487-U487)</f>
        <v/>
      </c>
      <c r="Z487" s="22">
        <f>IF(V487="","",F487-V487)</f>
        <v/>
      </c>
      <c r="AA487" s="9" t="n">
        <v>24058955.482776</v>
      </c>
      <c r="AB487" s="9" t="n">
        <v>21802107.6026862</v>
      </c>
      <c r="AC487" s="9" t="n">
        <v>3833686.495159607</v>
      </c>
      <c r="AD487" s="9" t="n">
        <v>7212778.858714686</v>
      </c>
      <c r="AE487" s="9" t="n">
        <v>7212778.858714686</v>
      </c>
      <c r="AF487" s="9" t="n">
        <v>22733517.03880665</v>
      </c>
      <c r="AG487" s="9" t="n">
        <v>2373996.298448792</v>
      </c>
      <c r="AH487" s="9" t="n">
        <v>2588389.91425808</v>
      </c>
      <c r="AI487" s="9" t="n">
        <v>3824269.456535165</v>
      </c>
      <c r="AJ487" s="9" t="n">
        <v>3638740.063852339</v>
      </c>
      <c r="AK487" s="9" t="n">
        <v>3638740.063852339</v>
      </c>
      <c r="AL487" s="9" t="n">
        <v>2562907.407771999</v>
      </c>
      <c r="AM487" s="9" t="n">
        <v>2485866.461644571</v>
      </c>
      <c r="AN487" s="9" t="n">
        <v>2674714.068525359</v>
      </c>
      <c r="AO487" s="9" t="n">
        <v>3744665.282809749</v>
      </c>
      <c r="AP487" s="9" t="n">
        <v>3586611.17949318</v>
      </c>
      <c r="AQ487" s="9" t="n">
        <v>3586611.17949318</v>
      </c>
      <c r="AR487" s="9" t="n">
        <v>2654764.439922526</v>
      </c>
    </row>
    <row r="488">
      <c r="A488" s="4" t="inlineStr">
        <is>
          <t>Vida</t>
        </is>
      </c>
      <c r="B488" s="5" t="n">
        <v>202208</v>
      </c>
      <c r="C488" s="5" t="n">
        <v>2022</v>
      </c>
      <c r="D488" s="6" t="n">
        <v>981633.9897449263</v>
      </c>
      <c r="E488" s="11" t="n">
        <v>0.02905483446150987</v>
      </c>
      <c r="F488" s="22">
        <f>D488*(1-E488)</f>
        <v/>
      </c>
      <c r="G488" s="11" t="n">
        <v>1.025215174599595</v>
      </c>
      <c r="H488" s="11" t="n">
        <v>0.03446165304471769</v>
      </c>
      <c r="I488" s="11" t="n">
        <v>0.03533453881681071</v>
      </c>
      <c r="J488" s="11" t="n">
        <v>0.08947743786664149</v>
      </c>
      <c r="K488" s="6" t="n">
        <v>16511774.67383534</v>
      </c>
      <c r="L488" s="18" t="n">
        <v>16105667.45686741</v>
      </c>
      <c r="M488" s="18" t="n">
        <v>19104642.74123896</v>
      </c>
      <c r="N488" s="23">
        <f>IF(L488=0,"",M488/L488)</f>
        <v/>
      </c>
      <c r="O488" s="6" t="n">
        <v>17664233.66694468</v>
      </c>
      <c r="P488" s="22">
        <f>M488*G488*(1+H488+I488)</f>
        <v/>
      </c>
      <c r="Q488" s="6" t="n">
        <v>16186802.37449859</v>
      </c>
      <c r="R488" s="22">
        <f>P488-M488*G488*J488</f>
        <v/>
      </c>
      <c r="S488" s="22">
        <f>IF(A488=A487,O488-O487,"")</f>
        <v/>
      </c>
      <c r="T488" s="22">
        <f>IF(A488=A487,P488-P487,"")</f>
        <v/>
      </c>
      <c r="U488" s="22">
        <f>IF(A488=A487,Q488-Q487,"")</f>
        <v/>
      </c>
      <c r="V488" s="22">
        <f>IF(A488=A487,R488-R487,"")</f>
        <v/>
      </c>
      <c r="W488" s="22">
        <f>IF(S488="","",D488-S488)</f>
        <v/>
      </c>
      <c r="X488" s="22">
        <f>IF(T488="","",D488-T488)</f>
        <v/>
      </c>
      <c r="Y488" s="22">
        <f>IF(U488="","",F488-U488)</f>
        <v/>
      </c>
      <c r="Z488" s="22">
        <f>IF(V488="","",F488-V488)</f>
        <v/>
      </c>
      <c r="AA488" s="6" t="n">
        <v>21693736.68105973</v>
      </c>
      <c r="AB488" s="6" t="n">
        <v>19488478.56644687</v>
      </c>
      <c r="AC488" s="6" t="n">
        <v>3754231.345881653</v>
      </c>
      <c r="AD488" s="6" t="n">
        <v>6715134.00239116</v>
      </c>
      <c r="AE488" s="6" t="n">
        <v>6715134.00239116</v>
      </c>
      <c r="AF488" s="6" t="n">
        <v>20622287.21470008</v>
      </c>
      <c r="AG488" s="6" t="n">
        <v>2899431.797479624</v>
      </c>
      <c r="AH488" s="6" t="n">
        <v>2906290.464744343</v>
      </c>
      <c r="AI488" s="6" t="n">
        <v>961011.7501685661</v>
      </c>
      <c r="AJ488" s="6" t="n">
        <v>1324682.659998996</v>
      </c>
      <c r="AK488" s="6" t="n">
        <v>1324682.659998996</v>
      </c>
      <c r="AL488" s="6" t="n">
        <v>2658122.551037787</v>
      </c>
      <c r="AM488" s="6" t="n">
        <v>2725688.655852105</v>
      </c>
      <c r="AN488" s="6" t="n">
        <v>2730549.509519379</v>
      </c>
      <c r="AO488" s="6" t="n">
        <v>936634.5768486129</v>
      </c>
      <c r="AP488" s="6" t="n">
        <v>1272020.494638896</v>
      </c>
      <c r="AQ488" s="6" t="n">
        <v>1272020.494638896</v>
      </c>
      <c r="AR488" s="6" t="n">
        <v>2503726.041612624</v>
      </c>
    </row>
    <row r="489">
      <c r="A489" t="inlineStr">
        <is>
          <t>Vida</t>
        </is>
      </c>
      <c r="B489" s="8" t="n">
        <v>202209</v>
      </c>
      <c r="C489" s="8" t="n">
        <v>2022</v>
      </c>
      <c r="D489" s="9" t="n">
        <v>3722889.634059552</v>
      </c>
      <c r="E489" s="10" t="n">
        <v>0.02905483446150987</v>
      </c>
      <c r="F489" s="22">
        <f>D489*(1-E489)</f>
        <v/>
      </c>
      <c r="G489" s="10" t="n">
        <v>1.01459316009606</v>
      </c>
      <c r="H489" s="10" t="n">
        <v>0.03482244006573479</v>
      </c>
      <c r="I489" s="10" t="n">
        <v>0.05434421905199113</v>
      </c>
      <c r="J489" s="10" t="n">
        <v>0.0804098487456413</v>
      </c>
      <c r="K489" s="9" t="n">
        <v>16361467.58151944</v>
      </c>
      <c r="L489" s="18" t="n">
        <v>16126136.29286676</v>
      </c>
      <c r="M489" s="18" t="n">
        <v>19044505.53946154</v>
      </c>
      <c r="N489" s="23">
        <f>IF(L489=0,"",M489/L489)</f>
        <v/>
      </c>
      <c r="O489" s="9" t="n">
        <v>17820364.98402651</v>
      </c>
      <c r="P489" s="22">
        <f>M489*G489*(1+H489+I489)</f>
        <v/>
      </c>
      <c r="Q489" s="9" t="n">
        <v>16504741.85053982</v>
      </c>
      <c r="R489" s="22">
        <f>P489-M489*G489*J489</f>
        <v/>
      </c>
      <c r="S489" s="22">
        <f>IF(A489=A488,O489-O488,"")</f>
        <v/>
      </c>
      <c r="T489" s="22">
        <f>IF(A489=A488,P489-P488,"")</f>
        <v/>
      </c>
      <c r="U489" s="22">
        <f>IF(A489=A488,Q489-Q488,"")</f>
        <v/>
      </c>
      <c r="V489" s="22">
        <f>IF(A489=A488,R489-R488,"")</f>
        <v/>
      </c>
      <c r="W489" s="22">
        <f>IF(S489="","",D489-S489)</f>
        <v/>
      </c>
      <c r="X489" s="22">
        <f>IF(T489="","",D489-T489)</f>
        <v/>
      </c>
      <c r="Y489" s="22">
        <f>IF(U489="","",F489-U489)</f>
        <v/>
      </c>
      <c r="Z489" s="22">
        <f>IF(V489="","",F489-V489)</f>
        <v/>
      </c>
      <c r="AA489" s="9" t="n">
        <v>21769549.44390007</v>
      </c>
      <c r="AB489" s="9" t="n">
        <v>19484733.11716871</v>
      </c>
      <c r="AC489" s="9" t="n">
        <v>4661303.419359769</v>
      </c>
      <c r="AD489" s="9" t="n">
        <v>6831137.597562218</v>
      </c>
      <c r="AE489" s="9" t="n">
        <v>6831137.597562218</v>
      </c>
      <c r="AF489" s="9" t="n">
        <v>21222246.79869755</v>
      </c>
      <c r="AG489" s="9" t="n">
        <v>3459276.186314586</v>
      </c>
      <c r="AH489" s="9" t="n">
        <v>3565473.912036784</v>
      </c>
      <c r="AI489" s="9" t="n">
        <v>2689397.972615183</v>
      </c>
      <c r="AJ489" s="9" t="n">
        <v>3539031.778534784</v>
      </c>
      <c r="AK489" s="9" t="n">
        <v>3539031.778534784</v>
      </c>
      <c r="AL489" s="9" t="n">
        <v>2888944.005022391</v>
      </c>
      <c r="AM489" s="9" t="n">
        <v>3137094.396581149</v>
      </c>
      <c r="AN489" s="9" t="n">
        <v>3259185.63187621</v>
      </c>
      <c r="AO489" s="9" t="n">
        <v>2617125.206178693</v>
      </c>
      <c r="AP489" s="9" t="n">
        <v>3372166.86679945</v>
      </c>
      <c r="AQ489" s="9" t="n">
        <v>3372166.86679945</v>
      </c>
      <c r="AR489" s="9" t="n">
        <v>2620399.414737226</v>
      </c>
    </row>
    <row r="490">
      <c r="A490" s="4" t="inlineStr">
        <is>
          <t>Vida</t>
        </is>
      </c>
      <c r="B490" s="5" t="n">
        <v>202210</v>
      </c>
      <c r="C490" s="5" t="n">
        <v>2022</v>
      </c>
      <c r="D490" s="6" t="n">
        <v>2269966.429707273</v>
      </c>
      <c r="E490" s="11" t="n">
        <v>0.02905483446150987</v>
      </c>
      <c r="F490" s="22">
        <f>D490*(1-E490)</f>
        <v/>
      </c>
      <c r="G490" s="11" t="n">
        <v>0.9985033738469656</v>
      </c>
      <c r="H490" s="11" t="n">
        <v>0.035383565596237</v>
      </c>
      <c r="I490" s="11" t="n">
        <v>0.06113348494598925</v>
      </c>
      <c r="J490" s="11" t="n">
        <v>0.08930237607075379</v>
      </c>
      <c r="K490" s="6" t="n">
        <v>15107600.2044391</v>
      </c>
      <c r="L490" s="18" t="n">
        <v>15130244.52409567</v>
      </c>
      <c r="M490" s="18" t="n">
        <v>17836482.03698078</v>
      </c>
      <c r="N490" s="23">
        <f>IF(L490=0,"",M490/L490)</f>
        <v/>
      </c>
      <c r="O490" s="6" t="n">
        <v>16565741.2169427</v>
      </c>
      <c r="P490" s="22">
        <f>M490*G490*(1+H490+I490)</f>
        <v/>
      </c>
      <c r="Q490" s="6" t="n">
        <v>15216596.62195928</v>
      </c>
      <c r="R490" s="22">
        <f>P490-M490*G490*J490</f>
        <v/>
      </c>
      <c r="S490" s="22">
        <f>IF(A490=A489,O490-O489,"")</f>
        <v/>
      </c>
      <c r="T490" s="22">
        <f>IF(A490=A489,P490-P489,"")</f>
        <v/>
      </c>
      <c r="U490" s="22">
        <f>IF(A490=A489,Q490-Q489,"")</f>
        <v/>
      </c>
      <c r="V490" s="22">
        <f>IF(A490=A489,R490-R489,"")</f>
        <v/>
      </c>
      <c r="W490" s="22">
        <f>IF(S490="","",D490-S490)</f>
        <v/>
      </c>
      <c r="X490" s="22">
        <f>IF(T490="","",D490-T490)</f>
        <v/>
      </c>
      <c r="Y490" s="22">
        <f>IF(U490="","",F490-U490)</f>
        <v/>
      </c>
      <c r="Z490" s="22">
        <f>IF(V490="","",F490-V490)</f>
        <v/>
      </c>
      <c r="AA490" s="6" t="n">
        <v>20571770.36182993</v>
      </c>
      <c r="AB490" s="6" t="n">
        <v>18234534.72488999</v>
      </c>
      <c r="AC490" s="6" t="n">
        <v>5247029.889579686</v>
      </c>
      <c r="AD490" s="6" t="n">
        <v>6818529.84132632</v>
      </c>
      <c r="AE490" s="6" t="n">
        <v>6818529.84132632</v>
      </c>
      <c r="AF490" s="6" t="n">
        <v>20268194.59548029</v>
      </c>
      <c r="AG490" s="6" t="n">
        <v>3803110.312918517</v>
      </c>
      <c r="AH490" s="6" t="n">
        <v>3837231.946382902</v>
      </c>
      <c r="AI490" s="6" t="n">
        <v>1676144.282619175</v>
      </c>
      <c r="AJ490" s="6" t="n">
        <v>2353345.960722256</v>
      </c>
      <c r="AK490" s="6" t="n">
        <v>2353345.960722256</v>
      </c>
      <c r="AL490" s="6" t="n">
        <v>3530685.294223684</v>
      </c>
      <c r="AM490" s="6" t="n">
        <v>3795484.020437818</v>
      </c>
      <c r="AN490" s="6" t="n">
        <v>3807600.150877849</v>
      </c>
      <c r="AO490" s="6" t="n">
        <v>1697777.308886757</v>
      </c>
      <c r="AP490" s="6" t="n">
        <v>2338085.437308689</v>
      </c>
      <c r="AQ490" s="6" t="n">
        <v>2338085.437308689</v>
      </c>
      <c r="AR490" s="6" t="n">
        <v>3540640.284420599</v>
      </c>
    </row>
    <row r="491">
      <c r="A491" t="inlineStr">
        <is>
          <t>Vida</t>
        </is>
      </c>
      <c r="B491" s="8" t="n">
        <v>202211</v>
      </c>
      <c r="C491" s="8" t="n">
        <v>2022</v>
      </c>
      <c r="D491" s="9" t="n">
        <v>2814196.669226387</v>
      </c>
      <c r="E491" s="10" t="n">
        <v>0.02905483446150987</v>
      </c>
      <c r="F491" s="22">
        <f>D491*(1-E491)</f>
        <v/>
      </c>
      <c r="G491" s="10" t="n">
        <v>0.9224188814016026</v>
      </c>
      <c r="H491" s="10" t="n">
        <v>0.03830214791174334</v>
      </c>
      <c r="I491" s="10" t="n">
        <v>0.05275182662861686</v>
      </c>
      <c r="J491" s="10" t="n">
        <v>0.07867790662428112</v>
      </c>
      <c r="K491" s="9" t="n">
        <v>14389468.62612064</v>
      </c>
      <c r="L491" s="18" t="n">
        <v>15599711.71042818</v>
      </c>
      <c r="M491" s="18" t="n">
        <v>17217446.48233182</v>
      </c>
      <c r="N491" s="23">
        <f>IF(L491=0,"",M491/L491)</f>
        <v/>
      </c>
      <c r="O491" s="9" t="n">
        <v>15699686.93605274</v>
      </c>
      <c r="P491" s="22">
        <f>M491*G491*(1+H491+I491)</f>
        <v/>
      </c>
      <c r="Q491" s="9" t="n">
        <v>14567553.6671138</v>
      </c>
      <c r="R491" s="22">
        <f>P491-M491*G491*J491</f>
        <v/>
      </c>
      <c r="S491" s="22">
        <f>IF(A491=A490,O491-O490,"")</f>
        <v/>
      </c>
      <c r="T491" s="22">
        <f>IF(A491=A490,P491-P490,"")</f>
        <v/>
      </c>
      <c r="U491" s="22">
        <f>IF(A491=A490,Q491-Q490,"")</f>
        <v/>
      </c>
      <c r="V491" s="22">
        <f>IF(A491=A490,R491-R490,"")</f>
        <v/>
      </c>
      <c r="W491" s="22">
        <f>IF(S491="","",D491-S491)</f>
        <v/>
      </c>
      <c r="X491" s="22">
        <f>IF(T491="","",D491-T491)</f>
        <v/>
      </c>
      <c r="Y491" s="22">
        <f>IF(U491="","",F491-U491)</f>
        <v/>
      </c>
      <c r="Z491" s="22">
        <f>IF(V491="","",F491-V491)</f>
        <v/>
      </c>
      <c r="AA491" s="9" t="n">
        <v>19943427.96996389</v>
      </c>
      <c r="AB491" s="9" t="n">
        <v>17639228.63097384</v>
      </c>
      <c r="AC491" s="9" t="n">
        <v>5282277.194531138</v>
      </c>
      <c r="AD491" s="9" t="n">
        <v>6120774.618647177</v>
      </c>
      <c r="AE491" s="9" t="n">
        <v>6120774.618647177</v>
      </c>
      <c r="AF491" s="9" t="n">
        <v>19913300.99222697</v>
      </c>
      <c r="AG491" s="9" t="n">
        <v>5266492.643464119</v>
      </c>
      <c r="AH491" s="9" t="n">
        <v>5026475.959126909</v>
      </c>
      <c r="AI491" s="9" t="n">
        <v>3242913.449938074</v>
      </c>
      <c r="AJ491" s="9" t="n">
        <v>4119639.815657461</v>
      </c>
      <c r="AK491" s="9" t="n">
        <v>4119639.815657461</v>
      </c>
      <c r="AL491" s="9" t="n">
        <v>4964434.885576014</v>
      </c>
      <c r="AM491" s="9" t="n">
        <v>4797742.190279979</v>
      </c>
      <c r="AN491" s="9" t="n">
        <v>4598908.892910441</v>
      </c>
      <c r="AO491" s="9" t="n">
        <v>3076632.387017307</v>
      </c>
      <c r="AP491" s="9" t="n">
        <v>3874083.208427135</v>
      </c>
      <c r="AQ491" s="9" t="n">
        <v>3874083.208427135</v>
      </c>
      <c r="AR491" s="9" t="n">
        <v>4520567.461174473</v>
      </c>
    </row>
    <row r="492">
      <c r="A492" s="4" t="inlineStr">
        <is>
          <t>Vida</t>
        </is>
      </c>
      <c r="B492" s="5" t="n">
        <v>202212</v>
      </c>
      <c r="C492" s="5" t="n">
        <v>2022</v>
      </c>
      <c r="D492" s="6" t="n">
        <v>2791621.752519619</v>
      </c>
      <c r="E492" s="11" t="n">
        <v>0.02905483446150987</v>
      </c>
      <c r="F492" s="22">
        <f>D492*(1-E492)</f>
        <v/>
      </c>
      <c r="G492" s="11" t="n">
        <v>0.9228349135306176</v>
      </c>
      <c r="H492" s="11" t="n">
        <v>0.03828486440775475</v>
      </c>
      <c r="I492" s="11" t="n">
        <v>0.05392165171853706</v>
      </c>
      <c r="J492" s="11" t="n">
        <v>0.0681515927992329</v>
      </c>
      <c r="K492" s="6" t="n">
        <v>14715900.68122754</v>
      </c>
      <c r="L492" s="18" t="n">
        <v>15946406.51915398</v>
      </c>
      <c r="M492" s="18" t="n">
        <v>16557840.70488354</v>
      </c>
      <c r="N492" s="23">
        <f>IF(L492=0,"",M492/L492)</f>
        <v/>
      </c>
      <c r="O492" s="6" t="n">
        <v>16072802.61470406</v>
      </c>
      <c r="P492" s="22">
        <f>M492*G492*(1+H492+I492)</f>
        <v/>
      </c>
      <c r="Q492" s="6" t="n">
        <v>15069890.54380309</v>
      </c>
      <c r="R492" s="22">
        <f>P492-M492*G492*J492</f>
        <v/>
      </c>
      <c r="S492" s="22">
        <f>IF(A492=A491,O492-O491,"")</f>
        <v/>
      </c>
      <c r="T492" s="22">
        <f>IF(A492=A491,P492-P491,"")</f>
        <v/>
      </c>
      <c r="U492" s="22">
        <f>IF(A492=A491,Q492-Q491,"")</f>
        <v/>
      </c>
      <c r="V492" s="22">
        <f>IF(A492=A491,R492-R491,"")</f>
        <v/>
      </c>
      <c r="W492" s="22">
        <f>IF(S492="","",D492-S492)</f>
        <v/>
      </c>
      <c r="X492" s="22">
        <f>IF(T492="","",D492-T492)</f>
        <v/>
      </c>
      <c r="Y492" s="22">
        <f>IF(U492="","",F492-U492)</f>
        <v/>
      </c>
      <c r="Z492" s="22">
        <f>IF(V492="","",F492-V492)</f>
        <v/>
      </c>
      <c r="AA492" s="6" t="n">
        <v>19357687.05615025</v>
      </c>
      <c r="AB492" s="6" t="n">
        <v>16997058.03322448</v>
      </c>
      <c r="AC492" s="6" t="n">
        <v>6699892.525824959</v>
      </c>
      <c r="AD492" s="6" t="n">
        <v>6141632.826908211</v>
      </c>
      <c r="AE492" s="6" t="n">
        <v>6141632.826908211</v>
      </c>
      <c r="AF492" s="6" t="n">
        <v>19256436.87307999</v>
      </c>
      <c r="AG492" s="6" t="n">
        <v>3351740.894658503</v>
      </c>
      <c r="AH492" s="6" t="n">
        <v>3412114.524088484</v>
      </c>
      <c r="AI492" s="6" t="n">
        <v>1354754.011854177</v>
      </c>
      <c r="AJ492" s="6" t="n">
        <v>2761309.823190586</v>
      </c>
      <c r="AK492" s="6" t="n">
        <v>2761309.823190586</v>
      </c>
      <c r="AL492" s="6" t="n">
        <v>3423473.562536378</v>
      </c>
      <c r="AM492" s="6" t="n">
        <v>3040713.321548906</v>
      </c>
      <c r="AN492" s="6" t="n">
        <v>3119845.622619402</v>
      </c>
      <c r="AO492" s="6" t="n">
        <v>1311662.11414264</v>
      </c>
      <c r="AP492" s="6" t="n">
        <v>2622254.382042482</v>
      </c>
      <c r="AQ492" s="6" t="n">
        <v>2622254.382042482</v>
      </c>
      <c r="AR492" s="6" t="n">
        <v>3108264.530030821</v>
      </c>
    </row>
    <row r="493">
      <c r="A493" t="inlineStr">
        <is>
          <t>Vida</t>
        </is>
      </c>
      <c r="B493" s="8" t="n">
        <v>202301</v>
      </c>
      <c r="C493" s="8" t="n">
        <v>2023</v>
      </c>
      <c r="D493" s="9" t="n">
        <v>2382498.198273794</v>
      </c>
      <c r="E493" s="10" t="n">
        <v>0.02905483446150987</v>
      </c>
      <c r="F493" s="22">
        <f>D493*(1-E493)</f>
        <v/>
      </c>
      <c r="G493" s="10" t="n">
        <v>0.9172002822158885</v>
      </c>
      <c r="H493" s="10" t="n">
        <v>0.03161795756871597</v>
      </c>
      <c r="I493" s="10" t="n">
        <v>0.05278503730235753</v>
      </c>
      <c r="J493" s="10" t="n">
        <v>0.07769378624612472</v>
      </c>
      <c r="K493" s="9" t="n">
        <v>14284808.76851213</v>
      </c>
      <c r="L493" s="18" t="n">
        <v>15574361.50586553</v>
      </c>
      <c r="M493" s="18" t="n">
        <v>15175390.13019133</v>
      </c>
      <c r="N493" s="23">
        <f>IF(L493=0,"",M493/L493)</f>
        <v/>
      </c>
      <c r="O493" s="9" t="n">
        <v>15490489.40973512</v>
      </c>
      <c r="P493" s="22">
        <f>M493*G493*(1+H493+I493)</f>
        <v/>
      </c>
      <c r="Q493" s="9" t="n">
        <v>14380648.53070758</v>
      </c>
      <c r="R493" s="22">
        <f>P493-M493*G493*J493</f>
        <v/>
      </c>
      <c r="S493" s="22">
        <f>IF(A493=A492,O493-O492,"")</f>
        <v/>
      </c>
      <c r="T493" s="22">
        <f>IF(A493=A492,P493-P492,"")</f>
        <v/>
      </c>
      <c r="U493" s="22">
        <f>IF(A493=A492,Q493-Q492,"")</f>
        <v/>
      </c>
      <c r="V493" s="22">
        <f>IF(A493=A492,R493-R492,"")</f>
        <v/>
      </c>
      <c r="W493" s="22">
        <f>IF(S493="","",D493-S493)</f>
        <v/>
      </c>
      <c r="X493" s="22">
        <f>IF(T493="","",D493-T493)</f>
        <v/>
      </c>
      <c r="Y493" s="22">
        <f>IF(U493="","",F493-U493)</f>
        <v/>
      </c>
      <c r="Z493" s="22">
        <f>IF(V493="","",F493-V493)</f>
        <v/>
      </c>
      <c r="AA493" s="9" t="n">
        <v>17991787.48484575</v>
      </c>
      <c r="AB493" s="9" t="n">
        <v>15587503.88913002</v>
      </c>
      <c r="AC493" s="9" t="n">
        <v>6403798.381354759</v>
      </c>
      <c r="AD493" s="9" t="n">
        <v>6330165.31332061</v>
      </c>
      <c r="AE493" s="9" t="n">
        <v>6330165.31332061</v>
      </c>
      <c r="AF493" s="9" t="n">
        <v>18132850.72110229</v>
      </c>
      <c r="AG493" s="9" t="n">
        <v>3998723.29870822</v>
      </c>
      <c r="AH493" s="9" t="n">
        <v>4010719.094552667</v>
      </c>
      <c r="AI493" s="9" t="n">
        <v>2766183.904716003</v>
      </c>
      <c r="AJ493" s="9" t="n">
        <v>2276735.802970143</v>
      </c>
      <c r="AK493" s="9" t="n">
        <v>2276735.802970143</v>
      </c>
      <c r="AL493" s="9" t="n">
        <v>3756367.002662116</v>
      </c>
      <c r="AM493" s="9" t="n">
        <v>3994152.096517863</v>
      </c>
      <c r="AN493" s="9" t="n">
        <v>3983283.070009105</v>
      </c>
      <c r="AO493" s="9" t="n">
        <v>2731926.245986436</v>
      </c>
      <c r="AP493" s="9" t="n">
        <v>2272341.438253008</v>
      </c>
      <c r="AQ493" s="9" t="n">
        <v>2272341.438253008</v>
      </c>
      <c r="AR493" s="9" t="n">
        <v>3768215.968547411</v>
      </c>
    </row>
    <row r="494">
      <c r="A494" s="4" t="inlineStr">
        <is>
          <t>Vida</t>
        </is>
      </c>
      <c r="B494" s="5" t="n">
        <v>202302</v>
      </c>
      <c r="C494" s="5" t="n">
        <v>2023</v>
      </c>
      <c r="D494" s="6" t="n">
        <v>4113680.069625054</v>
      </c>
      <c r="E494" s="11" t="n">
        <v>0.02905483446150987</v>
      </c>
      <c r="F494" s="22">
        <f>D494*(1-E494)</f>
        <v/>
      </c>
      <c r="G494" s="11" t="n">
        <v>0.9436561166163835</v>
      </c>
      <c r="H494" s="11" t="n">
        <v>0.03073153379301541</v>
      </c>
      <c r="I494" s="11" t="n">
        <v>0.05050192857437436</v>
      </c>
      <c r="J494" s="11" t="n">
        <v>0.06701030735639592</v>
      </c>
      <c r="K494" s="6" t="n">
        <v>16055013.93701604</v>
      </c>
      <c r="L494" s="18" t="n">
        <v>17013627.79757486</v>
      </c>
      <c r="M494" s="18" t="n">
        <v>15118500.18394896</v>
      </c>
      <c r="N494" s="23">
        <f>IF(L494=0,"",M494/L494)</f>
        <v/>
      </c>
      <c r="O494" s="6" t="n">
        <v>17359218.30747655</v>
      </c>
      <c r="P494" s="22">
        <f>M494*G494*(1+H494+I494)</f>
        <v/>
      </c>
      <c r="Q494" s="6" t="n">
        <v>16283366.88894589</v>
      </c>
      <c r="R494" s="22">
        <f>P494-M494*G494*J494</f>
        <v/>
      </c>
      <c r="S494" s="22">
        <f>IF(A494=A493,O494-O493,"")</f>
        <v/>
      </c>
      <c r="T494" s="22">
        <f>IF(A494=A493,P494-P493,"")</f>
        <v/>
      </c>
      <c r="U494" s="22">
        <f>IF(A494=A493,Q494-Q493,"")</f>
        <v/>
      </c>
      <c r="V494" s="22">
        <f>IF(A494=A493,R494-R493,"")</f>
        <v/>
      </c>
      <c r="W494" s="22">
        <f>IF(S494="","",D494-S494)</f>
        <v/>
      </c>
      <c r="X494" s="22">
        <f>IF(T494="","",D494-T494)</f>
        <v/>
      </c>
      <c r="Y494" s="22">
        <f>IF(U494="","",F494-U494)</f>
        <v/>
      </c>
      <c r="Z494" s="22">
        <f>IF(V494="","",F494-V494)</f>
        <v/>
      </c>
      <c r="AA494" s="6" t="n">
        <v>18091483.49384113</v>
      </c>
      <c r="AB494" s="6" t="n">
        <v>15715496.11053238</v>
      </c>
      <c r="AC494" s="6" t="n">
        <v>5532574.893559008</v>
      </c>
      <c r="AD494" s="6" t="n">
        <v>6314068.45468711</v>
      </c>
      <c r="AE494" s="6" t="n">
        <v>6314068.45468711</v>
      </c>
      <c r="AF494" s="6" t="n">
        <v>18602743.63668912</v>
      </c>
      <c r="AG494" s="6" t="n">
        <v>3549608.950529125</v>
      </c>
      <c r="AH494" s="6" t="n">
        <v>3582522.858037871</v>
      </c>
      <c r="AI494" s="6" t="n">
        <v>4838036.576677354</v>
      </c>
      <c r="AJ494" s="6" t="n">
        <v>3967432.338388624</v>
      </c>
      <c r="AK494" s="6" t="n">
        <v>3967432.338388624</v>
      </c>
      <c r="AL494" s="6" t="n">
        <v>3168267.373167556</v>
      </c>
      <c r="AM494" s="6" t="n">
        <v>3291987.444570055</v>
      </c>
      <c r="AN494" s="6" t="n">
        <v>3345987.617682494</v>
      </c>
      <c r="AO494" s="6" t="n">
        <v>4612025.365029568</v>
      </c>
      <c r="AP494" s="6" t="n">
        <v>3796085.775598661</v>
      </c>
      <c r="AQ494" s="6" t="n">
        <v>3796085.775598661</v>
      </c>
      <c r="AR494" s="6" t="n">
        <v>2932922.968216516</v>
      </c>
    </row>
    <row r="495">
      <c r="A495" t="inlineStr">
        <is>
          <t>Vida</t>
        </is>
      </c>
      <c r="B495" s="8" t="n">
        <v>202303</v>
      </c>
      <c r="C495" s="8" t="n">
        <v>2023</v>
      </c>
      <c r="D495" s="9" t="n">
        <v>3057191.867126154</v>
      </c>
      <c r="E495" s="10" t="n">
        <v>0.02905483446150987</v>
      </c>
      <c r="F495" s="22">
        <f>D495*(1-E495)</f>
        <v/>
      </c>
      <c r="G495" s="10" t="n">
        <v>0.9441105557385968</v>
      </c>
      <c r="H495" s="10" t="n">
        <v>0.03071674106196665</v>
      </c>
      <c r="I495" s="10" t="n">
        <v>0.05026010429608908</v>
      </c>
      <c r="J495" s="10" t="n">
        <v>0.06156901113029283</v>
      </c>
      <c r="K495" s="9" t="n">
        <v>16195176.89524476</v>
      </c>
      <c r="L495" s="18" t="n">
        <v>17153898.76408589</v>
      </c>
      <c r="M495" s="18" t="n">
        <v>14412263.92790306</v>
      </c>
      <c r="N495" s="23">
        <f>IF(L495=0,"",M495/L495)</f>
        <v/>
      </c>
      <c r="O495" s="9" t="n">
        <v>17506611.23023735</v>
      </c>
      <c r="P495" s="22">
        <f>M495*G495*(1+H495+I495)</f>
        <v/>
      </c>
      <c r="Q495" s="9" t="n">
        <v>16509490.20371696</v>
      </c>
      <c r="R495" s="22">
        <f>P495-M495*G495*J495</f>
        <v/>
      </c>
      <c r="S495" s="22">
        <f>IF(A495=A494,O495-O494,"")</f>
        <v/>
      </c>
      <c r="T495" s="22">
        <f>IF(A495=A494,P495-P494,"")</f>
        <v/>
      </c>
      <c r="U495" s="22">
        <f>IF(A495=A494,Q495-Q494,"")</f>
        <v/>
      </c>
      <c r="V495" s="22">
        <f>IF(A495=A494,R495-R494,"")</f>
        <v/>
      </c>
      <c r="W495" s="22">
        <f>IF(S495="","",D495-S495)</f>
        <v/>
      </c>
      <c r="X495" s="22">
        <f>IF(T495="","",D495-T495)</f>
        <v/>
      </c>
      <c r="Y495" s="22">
        <f>IF(U495="","",F495-U495)</f>
        <v/>
      </c>
      <c r="Z495" s="22">
        <f>IF(V495="","",F495-V495)</f>
        <v/>
      </c>
      <c r="AA495" s="9" t="n">
        <v>17096533.2082747</v>
      </c>
      <c r="AB495" s="9" t="n">
        <v>15173928.1737245</v>
      </c>
      <c r="AC495" s="9" t="n">
        <v>4705310.458940245</v>
      </c>
      <c r="AD495" s="9" t="n">
        <v>6215857.295681653</v>
      </c>
      <c r="AE495" s="9" t="n">
        <v>6215857.295681653</v>
      </c>
      <c r="AF495" s="9" t="n">
        <v>17887606.51135372</v>
      </c>
      <c r="AG495" s="9" t="n">
        <v>4068093.746488927</v>
      </c>
      <c r="AH495" s="9" t="n">
        <v>3605980.919301355</v>
      </c>
      <c r="AI495" s="9" t="n">
        <v>3900088.170158491</v>
      </c>
      <c r="AJ495" s="9" t="n">
        <v>3155849.701722862</v>
      </c>
      <c r="AK495" s="9" t="n">
        <v>3155849.701722862</v>
      </c>
      <c r="AL495" s="9" t="n">
        <v>3782399.821277605</v>
      </c>
      <c r="AM495" s="9" t="n">
        <v>3829044.741560081</v>
      </c>
      <c r="AN495" s="9" t="n">
        <v>3405419.635787225</v>
      </c>
      <c r="AO495" s="9" t="n">
        <v>3734921.394777772</v>
      </c>
      <c r="AP495" s="9" t="n">
        <v>3029070.422075732</v>
      </c>
      <c r="AQ495" s="9" t="n">
        <v>3029070.422075732</v>
      </c>
      <c r="AR495" s="9" t="n">
        <v>3557004.913569922</v>
      </c>
    </row>
    <row r="496">
      <c r="A496" s="4" t="inlineStr">
        <is>
          <t>Vida</t>
        </is>
      </c>
      <c r="B496" s="5" t="n">
        <v>202304</v>
      </c>
      <c r="C496" s="5" t="n">
        <v>2023</v>
      </c>
      <c r="D496" s="6" t="n">
        <v>1973889.224312605</v>
      </c>
      <c r="E496" s="11" t="n">
        <v>0.02905483446150987</v>
      </c>
      <c r="F496" s="22">
        <f>D496*(1-E496)</f>
        <v/>
      </c>
      <c r="G496" s="11" t="n">
        <v>0.9775326508615614</v>
      </c>
      <c r="H496" s="11" t="n">
        <v>0.02966652756162886</v>
      </c>
      <c r="I496" s="11" t="n">
        <v>0.05637103962223276</v>
      </c>
      <c r="J496" s="11" t="n">
        <v>0.06407999558769358</v>
      </c>
      <c r="K496" s="6" t="n">
        <v>15730687.1560245</v>
      </c>
      <c r="L496" s="18" t="n">
        <v>16092237.06457278</v>
      </c>
      <c r="M496" s="18" t="n">
        <v>13720692.07346342</v>
      </c>
      <c r="N496" s="23">
        <f>IF(L496=0,"",M496/L496)</f>
        <v/>
      </c>
      <c r="O496" s="6" t="n">
        <v>17084117.20905927</v>
      </c>
      <c r="P496" s="22">
        <f>M496*G496*(1+H496+I496)</f>
        <v/>
      </c>
      <c r="Q496" s="6" t="n">
        <v>16076094.84550984</v>
      </c>
      <c r="R496" s="22">
        <f>P496-M496*G496*J496</f>
        <v/>
      </c>
      <c r="S496" s="22">
        <f>IF(A496=A495,O496-O495,"")</f>
        <v/>
      </c>
      <c r="T496" s="22">
        <f>IF(A496=A495,P496-P495,"")</f>
        <v/>
      </c>
      <c r="U496" s="22">
        <f>IF(A496=A495,Q496-Q495,"")</f>
        <v/>
      </c>
      <c r="V496" s="22">
        <f>IF(A496=A495,R496-R495,"")</f>
        <v/>
      </c>
      <c r="W496" s="22">
        <f>IF(S496="","",D496-S496)</f>
        <v/>
      </c>
      <c r="X496" s="22">
        <f>IF(T496="","",D496-T496)</f>
        <v/>
      </c>
      <c r="Y496" s="22">
        <f>IF(U496="","",F496-U496)</f>
        <v/>
      </c>
      <c r="Z496" s="22">
        <f>IF(V496="","",F496-V496)</f>
        <v/>
      </c>
      <c r="AA496" s="6" t="n">
        <v>15765601.41610816</v>
      </c>
      <c r="AB496" s="6" t="n">
        <v>14434917.81502941</v>
      </c>
      <c r="AC496" s="6" t="n">
        <v>4389068.378577529</v>
      </c>
      <c r="AD496" s="6" t="n">
        <v>6345023.322474944</v>
      </c>
      <c r="AE496" s="6" t="n">
        <v>6345023.322474944</v>
      </c>
      <c r="AF496" s="6" t="n">
        <v>16905129.34946013</v>
      </c>
      <c r="AG496" s="6" t="n">
        <v>2684606.708558367</v>
      </c>
      <c r="AH496" s="6" t="n">
        <v>2135172.93015499</v>
      </c>
      <c r="AI496" s="6" t="n">
        <v>2116350.44607608</v>
      </c>
      <c r="AJ496" s="6" t="n">
        <v>1581442.123774859</v>
      </c>
      <c r="AK496" s="6" t="n">
        <v>1581442.123774859</v>
      </c>
      <c r="AL496" s="6" t="n">
        <v>2282180.560230614</v>
      </c>
      <c r="AM496" s="6" t="n">
        <v>2621031.012203835</v>
      </c>
      <c r="AN496" s="6" t="n">
        <v>2099999.925543722</v>
      </c>
      <c r="AO496" s="6" t="n">
        <v>2060421.861814875</v>
      </c>
      <c r="AP496" s="6" t="n">
        <v>1560230.124419042</v>
      </c>
      <c r="AQ496" s="6" t="n">
        <v>1560230.124419042</v>
      </c>
      <c r="AR496" s="6" t="n">
        <v>2244001.749723192</v>
      </c>
    </row>
    <row r="497">
      <c r="A497" t="inlineStr">
        <is>
          <t>Vida</t>
        </is>
      </c>
      <c r="B497" s="8" t="n">
        <v>202305</v>
      </c>
      <c r="C497" s="8" t="n">
        <v>2023</v>
      </c>
      <c r="D497" s="9" t="n">
        <v>4515159.096770802</v>
      </c>
      <c r="E497" s="10" t="n">
        <v>0.02905483446150987</v>
      </c>
      <c r="F497" s="22">
        <f>D497*(1-E497)</f>
        <v/>
      </c>
      <c r="G497" s="10" t="n">
        <v>0.9368740959999999</v>
      </c>
      <c r="H497" s="10" t="n">
        <v>0.03095399859227144</v>
      </c>
      <c r="I497" s="10" t="n">
        <v>0.06611619930712945</v>
      </c>
      <c r="J497" s="10" t="n">
        <v>0.05367476612966831</v>
      </c>
      <c r="K497" s="9" t="n">
        <v>16447903.91268953</v>
      </c>
      <c r="L497" s="18" t="n">
        <v>17556151.87026105</v>
      </c>
      <c r="M497" s="18" t="n">
        <v>15403868.09635344</v>
      </c>
      <c r="N497" s="23">
        <f>IF(L497=0,"",M497/L497)</f>
        <v/>
      </c>
      <c r="O497" s="9" t="n">
        <v>18044505.20052463</v>
      </c>
      <c r="P497" s="22">
        <f>M497*G497*(1+H497+I497)</f>
        <v/>
      </c>
      <c r="Q497" s="9" t="n">
        <v>17161667.80468776</v>
      </c>
      <c r="R497" s="22">
        <f>P497-M497*G497*J497</f>
        <v/>
      </c>
      <c r="S497" s="22">
        <f>IF(A497=A496,O497-O496,"")</f>
        <v/>
      </c>
      <c r="T497" s="22">
        <f>IF(A497=A496,P497-P496,"")</f>
        <v/>
      </c>
      <c r="U497" s="22">
        <f>IF(A497=A496,Q497-Q496,"")</f>
        <v/>
      </c>
      <c r="V497" s="22">
        <f>IF(A497=A496,R497-R496,"")</f>
        <v/>
      </c>
      <c r="W497" s="22">
        <f>IF(S497="","",D497-S497)</f>
        <v/>
      </c>
      <c r="X497" s="22">
        <f>IF(T497="","",D497-T497)</f>
        <v/>
      </c>
      <c r="Y497" s="22">
        <f>IF(U497="","",F497-U497)</f>
        <v/>
      </c>
      <c r="Z497" s="22">
        <f>IF(V497="","",F497-V497)</f>
        <v/>
      </c>
      <c r="AA497" s="9" t="n">
        <v>17568189.25406736</v>
      </c>
      <c r="AB497" s="9" t="n">
        <v>16188547.39909359</v>
      </c>
      <c r="AC497" s="9" t="n">
        <v>4544071.706841608</v>
      </c>
      <c r="AD497" s="9" t="n">
        <v>6593660.799435521</v>
      </c>
      <c r="AE497" s="9" t="n">
        <v>6593660.799435521</v>
      </c>
      <c r="AF497" s="9" t="n">
        <v>18541247.82804236</v>
      </c>
      <c r="AG497" s="9" t="n">
        <v>3195630.33243635</v>
      </c>
      <c r="AH497" s="9" t="n">
        <v>3200946.013522762</v>
      </c>
      <c r="AI497" s="9" t="n">
        <v>4504284.723084544</v>
      </c>
      <c r="AJ497" s="9" t="n">
        <v>4474197.422979594</v>
      </c>
      <c r="AK497" s="9" t="n">
        <v>4474197.422979594</v>
      </c>
      <c r="AL497" s="9" t="n">
        <v>3405269.752727886</v>
      </c>
      <c r="AM497" s="9" t="n">
        <v>2960324.033552248</v>
      </c>
      <c r="AN497" s="9" t="n">
        <v>2979616.761210963</v>
      </c>
      <c r="AO497" s="9" t="n">
        <v>4326670.46865505</v>
      </c>
      <c r="AP497" s="9" t="n">
        <v>4277128.24543607</v>
      </c>
      <c r="AQ497" s="9" t="n">
        <v>4277128.24543607</v>
      </c>
      <c r="AR497" s="9" t="n">
        <v>3147514.803996887</v>
      </c>
    </row>
    <row r="498">
      <c r="A498" s="4" t="inlineStr">
        <is>
          <t>Vida</t>
        </is>
      </c>
      <c r="B498" s="5" t="n">
        <v>202306</v>
      </c>
      <c r="C498" s="5" t="n">
        <v>2023</v>
      </c>
      <c r="D498" s="6" t="n">
        <v>1707392.481688635</v>
      </c>
      <c r="E498" s="11" t="n">
        <v>0.02905483446150987</v>
      </c>
      <c r="F498" s="22">
        <f>D498*(1-E498)</f>
        <v/>
      </c>
      <c r="G498" s="11" t="n">
        <v>0.9276292660753594</v>
      </c>
      <c r="H498" s="11" t="n">
        <v>0.03126248841314053</v>
      </c>
      <c r="I498" s="11" t="n">
        <v>0.0489505654250792</v>
      </c>
      <c r="J498" s="11" t="n">
        <v>0.05320808332836706</v>
      </c>
      <c r="K498" s="6" t="n">
        <v>15188457.85131692</v>
      </c>
      <c r="L498" s="18" t="n">
        <v>16373413.82681541</v>
      </c>
      <c r="M498" s="18" t="n">
        <v>14222640.33483244</v>
      </c>
      <c r="N498" s="23">
        <f>IF(L498=0,"",M498/L498)</f>
        <v/>
      </c>
      <c r="O498" s="6" t="n">
        <v>16406770.43866414</v>
      </c>
      <c r="P498" s="22">
        <f>M498*G498*(1+H498+I498)</f>
        <v/>
      </c>
      <c r="Q498" s="6" t="n">
        <v>15598621.70768188</v>
      </c>
      <c r="R498" s="22">
        <f>P498-M498*G498*J498</f>
        <v/>
      </c>
      <c r="S498" s="22">
        <f>IF(A498=A497,O498-O497,"")</f>
        <v/>
      </c>
      <c r="T498" s="22">
        <f>IF(A498=A497,P498-P497,"")</f>
        <v/>
      </c>
      <c r="U498" s="22">
        <f>IF(A498=A497,Q498-Q497,"")</f>
        <v/>
      </c>
      <c r="V498" s="22">
        <f>IF(A498=A497,R498-R497,"")</f>
        <v/>
      </c>
      <c r="W498" s="22">
        <f>IF(S498="","",D498-S498)</f>
        <v/>
      </c>
      <c r="X498" s="22">
        <f>IF(T498="","",D498-T498)</f>
        <v/>
      </c>
      <c r="Y498" s="22">
        <f>IF(U498="","",F498-U498)</f>
        <v/>
      </c>
      <c r="Z498" s="22">
        <f>IF(V498="","",F498-V498)</f>
        <v/>
      </c>
      <c r="AA498" s="6" t="n">
        <v>16334095.3741586</v>
      </c>
      <c r="AB498" s="6" t="n">
        <v>14961837.03756869</v>
      </c>
      <c r="AC498" s="6" t="n">
        <v>4152279.974892029</v>
      </c>
      <c r="AD498" s="6" t="n">
        <v>6027636.304497141</v>
      </c>
      <c r="AE498" s="6" t="n">
        <v>6027636.304497141</v>
      </c>
      <c r="AF498" s="6" t="n">
        <v>17353638.17557</v>
      </c>
      <c r="AG498" s="6" t="n">
        <v>3396898.020919747</v>
      </c>
      <c r="AH498" s="6" t="n">
        <v>3353933.110841607</v>
      </c>
      <c r="AI498" s="6" t="n">
        <v>2217125.864893302</v>
      </c>
      <c r="AJ498" s="6" t="n">
        <v>2444550.774809428</v>
      </c>
      <c r="AK498" s="6" t="n">
        <v>2444550.774809428</v>
      </c>
      <c r="AL498" s="6" t="n">
        <v>3375403.967413814</v>
      </c>
      <c r="AM498" s="6" t="n">
        <v>3270055.37664871</v>
      </c>
      <c r="AN498" s="6" t="n">
        <v>3228736.754235537</v>
      </c>
      <c r="AO498" s="6" t="n">
        <v>2143958.047216548</v>
      </c>
      <c r="AP498" s="6" t="n">
        <v>2360878.96549334</v>
      </c>
      <c r="AQ498" s="6" t="n">
        <v>2360878.96549334</v>
      </c>
      <c r="AR498" s="6" t="n">
        <v>3249951.571783436</v>
      </c>
    </row>
    <row r="499">
      <c r="A499" t="inlineStr">
        <is>
          <t>Vida</t>
        </is>
      </c>
      <c r="B499" s="8" t="n">
        <v>202307</v>
      </c>
      <c r="C499" s="8" t="n">
        <v>2023</v>
      </c>
      <c r="D499" s="9" t="n">
        <v>2611063.998930973</v>
      </c>
      <c r="E499" s="10" t="n">
        <v>0.02905483446150987</v>
      </c>
      <c r="F499" s="22">
        <f>D499*(1-E499)</f>
        <v/>
      </c>
      <c r="G499" s="10" t="n">
        <v>0.9374130000000001</v>
      </c>
      <c r="H499" s="10" t="n">
        <v>0.03085500755031822</v>
      </c>
      <c r="I499" s="10" t="n">
        <v>0.04820189488711323</v>
      </c>
      <c r="J499" s="10" t="n">
        <v>0.05780385466133434</v>
      </c>
      <c r="K499" s="9" t="n">
        <v>15115603.61020533</v>
      </c>
      <c r="L499" s="18" t="n">
        <v>16124806.89963263</v>
      </c>
      <c r="M499" s="18" t="n">
        <v>14139097.31631344</v>
      </c>
      <c r="N499" s="23">
        <f>IF(L499=0,"",M499/L499)</f>
        <v/>
      </c>
      <c r="O499" s="9" t="n">
        <v>16310596.41010021</v>
      </c>
      <c r="P499" s="22">
        <f>M499*G499*(1+H499+I499)</f>
        <v/>
      </c>
      <c r="Q499" s="9" t="n">
        <v>15436856.25589756</v>
      </c>
      <c r="R499" s="22">
        <f>P499-M499*G499*J499</f>
        <v/>
      </c>
      <c r="S499" s="22">
        <f>IF(A499=A498,O499-O498,"")</f>
        <v/>
      </c>
      <c r="T499" s="22">
        <f>IF(A499=A498,P499-P498,"")</f>
        <v/>
      </c>
      <c r="U499" s="22">
        <f>IF(A499=A498,Q499-Q498,"")</f>
        <v/>
      </c>
      <c r="V499" s="22">
        <f>IF(A499=A498,R499-R498,"")</f>
        <v/>
      </c>
      <c r="W499" s="22">
        <f>IF(S499="","",D499-S499)</f>
        <v/>
      </c>
      <c r="X499" s="22">
        <f>IF(T499="","",D499-T499)</f>
        <v/>
      </c>
      <c r="Y499" s="22">
        <f>IF(U499="","",F499-U499)</f>
        <v/>
      </c>
      <c r="Z499" s="22">
        <f>IF(V499="","",F499-V499)</f>
        <v/>
      </c>
      <c r="AA499" s="9" t="n">
        <v>16218480.64896656</v>
      </c>
      <c r="AB499" s="9" t="n">
        <v>14830386.75813765</v>
      </c>
      <c r="AC499" s="9" t="n">
        <v>4722557.606407273</v>
      </c>
      <c r="AD499" s="9" t="n">
        <v>6628917.094718887</v>
      </c>
      <c r="AE499" s="9" t="n">
        <v>6628917.094718887</v>
      </c>
      <c r="AF499" s="9" t="n">
        <v>17170216.17955156</v>
      </c>
      <c r="AG499" s="9" t="n">
        <v>2573086.418337591</v>
      </c>
      <c r="AH499" s="9" t="n">
        <v>2602119.923304563</v>
      </c>
      <c r="AI499" s="9" t="n">
        <v>1994832.40995692</v>
      </c>
      <c r="AJ499" s="9" t="n">
        <v>1945684.793379933</v>
      </c>
      <c r="AK499" s="9" t="n">
        <v>1945684.793379933</v>
      </c>
      <c r="AL499" s="9" t="n">
        <v>2632004.878515021</v>
      </c>
      <c r="AM499" s="9" t="n">
        <v>2569830.278649969</v>
      </c>
      <c r="AN499" s="9" t="n">
        <v>2591379.480034752</v>
      </c>
      <c r="AO499" s="9" t="n">
        <v>1969919.643660648</v>
      </c>
      <c r="AP499" s="9" t="n">
        <v>1931507.517837497</v>
      </c>
      <c r="AQ499" s="9" t="n">
        <v>1931507.517837497</v>
      </c>
      <c r="AR499" s="9" t="n">
        <v>2629997.604333437</v>
      </c>
    </row>
    <row r="500">
      <c r="A500" s="4" t="inlineStr">
        <is>
          <t>Vida</t>
        </is>
      </c>
      <c r="B500" s="5" t="n">
        <v>202308</v>
      </c>
      <c r="C500" s="5" t="n">
        <v>2023</v>
      </c>
      <c r="D500" s="6" t="n">
        <v>18129122.57166612</v>
      </c>
      <c r="E500" s="11" t="n">
        <v>0.02905483446150987</v>
      </c>
      <c r="F500" s="22">
        <f>D500*(1-E500)</f>
        <v/>
      </c>
      <c r="G500" s="11" t="n">
        <v>0.9471493805695881</v>
      </c>
      <c r="H500" s="11" t="n">
        <v>0.03133074705897834</v>
      </c>
      <c r="I500" s="11" t="n">
        <v>0.06328667361516628</v>
      </c>
      <c r="J500" s="11" t="n">
        <v>0.03535460788900362</v>
      </c>
      <c r="K500" s="6" t="n">
        <v>22708100.03400723</v>
      </c>
      <c r="L500" s="18" t="n">
        <v>23975204.43961145</v>
      </c>
      <c r="M500" s="18" t="n">
        <v>27780082.10024476</v>
      </c>
      <c r="N500" s="23">
        <f>IF(L500=0,"",M500/L500)</f>
        <v/>
      </c>
      <c r="O500" s="6" t="n">
        <v>24856681.88763544</v>
      </c>
      <c r="P500" s="22">
        <f>M500*G500*(1+H500+I500)</f>
        <v/>
      </c>
      <c r="Q500" s="6" t="n">
        <v>24053845.91502885</v>
      </c>
      <c r="R500" s="22">
        <f>P500-M500*G500*J500</f>
        <v/>
      </c>
      <c r="S500" s="22">
        <f>IF(A500=A499,O500-O499,"")</f>
        <v/>
      </c>
      <c r="T500" s="22">
        <f>IF(A500=A499,P500-P499,"")</f>
        <v/>
      </c>
      <c r="U500" s="22">
        <f>IF(A500=A499,Q500-Q499,"")</f>
        <v/>
      </c>
      <c r="V500" s="22">
        <f>IF(A500=A499,R500-R499,"")</f>
        <v/>
      </c>
      <c r="W500" s="22">
        <f>IF(S500="","",D500-S500)</f>
        <v/>
      </c>
      <c r="X500" s="22">
        <f>IF(T500="","",D500-T500)</f>
        <v/>
      </c>
      <c r="Y500" s="22">
        <f>IF(U500="","",F500-U500)</f>
        <v/>
      </c>
      <c r="Z500" s="22">
        <f>IF(V500="","",F500-V500)</f>
        <v/>
      </c>
      <c r="AA500" s="6" t="n">
        <v>30989475.19255846</v>
      </c>
      <c r="AB500" s="6" t="n">
        <v>28434205.88399203</v>
      </c>
      <c r="AC500" s="6" t="n">
        <v>5470345.084078868</v>
      </c>
      <c r="AD500" s="6" t="n">
        <v>8740683.54711901</v>
      </c>
      <c r="AE500" s="6" t="n">
        <v>8740683.54711901</v>
      </c>
      <c r="AF500" s="6" t="n">
        <v>31325398.71716854</v>
      </c>
      <c r="AG500" s="6" t="n">
        <v>2405631.231275067</v>
      </c>
      <c r="AH500" s="6" t="n">
        <v>3650760.648497749</v>
      </c>
      <c r="AI500" s="6" t="n">
        <v>17234624.38520024</v>
      </c>
      <c r="AJ500" s="6" t="n">
        <v>15772372.46656622</v>
      </c>
      <c r="AK500" s="6" t="n">
        <v>15772372.46656622</v>
      </c>
      <c r="AL500" s="6" t="n">
        <v>3020058.468152791</v>
      </c>
      <c r="AM500" s="6" t="n">
        <v>2037793.117225807</v>
      </c>
      <c r="AN500" s="6" t="n">
        <v>3272571.91701966</v>
      </c>
      <c r="AO500" s="6" t="n">
        <v>16635169.31793113</v>
      </c>
      <c r="AP500" s="6" t="n">
        <v>15179130.10671818</v>
      </c>
      <c r="AQ500" s="6" t="n">
        <v>15179130.10671818</v>
      </c>
      <c r="AR500" s="6" t="n">
        <v>2611898.298972081</v>
      </c>
    </row>
    <row r="501">
      <c r="A501" t="inlineStr">
        <is>
          <t>Vida</t>
        </is>
      </c>
      <c r="B501" s="8" t="n">
        <v>202309</v>
      </c>
      <c r="C501" s="8" t="n">
        <v>2023</v>
      </c>
      <c r="D501" s="9" t="n">
        <v>2224825.083241813</v>
      </c>
      <c r="E501" s="10" t="n">
        <v>0.02905483446150987</v>
      </c>
      <c r="F501" s="22">
        <f>D501*(1-E501)</f>
        <v/>
      </c>
      <c r="G501" s="10" t="n">
        <v>0.9198318642615304</v>
      </c>
      <c r="H501" s="10" t="n">
        <v>0.03152750075895852</v>
      </c>
      <c r="I501" s="10" t="n">
        <v>0.06936786916613476</v>
      </c>
      <c r="J501" s="10" t="n">
        <v>0.03335762352664186</v>
      </c>
      <c r="K501" s="9" t="n">
        <v>20654082.45055342</v>
      </c>
      <c r="L501" s="18" t="n">
        <v>22454193.26404306</v>
      </c>
      <c r="M501" s="18" t="n">
        <v>26078536.94502405</v>
      </c>
      <c r="N501" s="23">
        <f>IF(L501=0,"",M501/L501)</f>
        <v/>
      </c>
      <c r="O501" s="9" t="n">
        <v>22737983.73986539</v>
      </c>
      <c r="P501" s="22">
        <f>M501*G501*(1+H501+I501)</f>
        <v/>
      </c>
      <c r="Q501" s="9" t="n">
        <v>22049012.63319161</v>
      </c>
      <c r="R501" s="22">
        <f>P501-M501*G501*J501</f>
        <v/>
      </c>
      <c r="S501" s="22">
        <f>IF(A501=A500,O501-O500,"")</f>
        <v/>
      </c>
      <c r="T501" s="22">
        <f>IF(A501=A500,P501-P500,"")</f>
        <v/>
      </c>
      <c r="U501" s="22">
        <f>IF(A501=A500,Q501-Q500,"")</f>
        <v/>
      </c>
      <c r="V501" s="22">
        <f>IF(A501=A500,R501-R500,"")</f>
        <v/>
      </c>
      <c r="W501" s="22">
        <f>IF(S501="","",D501-S501)</f>
        <v/>
      </c>
      <c r="X501" s="22">
        <f>IF(T501="","",D501-T501)</f>
        <v/>
      </c>
      <c r="Y501" s="22">
        <f>IF(U501="","",F501-U501)</f>
        <v/>
      </c>
      <c r="Z501" s="22">
        <f>IF(V501="","",F501-V501)</f>
        <v/>
      </c>
      <c r="AA501" s="9" t="n">
        <v>29240876.83409943</v>
      </c>
      <c r="AB501" s="9" t="n">
        <v>26760913.88521247</v>
      </c>
      <c r="AC501" s="9" t="n">
        <v>6061156.397563317</v>
      </c>
      <c r="AD501" s="9" t="n">
        <v>8486934.270990673</v>
      </c>
      <c r="AE501" s="9" t="n">
        <v>8486934.270990673</v>
      </c>
      <c r="AF501" s="9" t="n">
        <v>29457390.74314266</v>
      </c>
      <c r="AG501" s="9" t="n">
        <v>4743224.125435319</v>
      </c>
      <c r="AH501" s="9" t="n">
        <v>4605313.552864678</v>
      </c>
      <c r="AI501" s="9" t="n">
        <v>1758532.859998194</v>
      </c>
      <c r="AJ501" s="9" t="n">
        <v>2692672.872283867</v>
      </c>
      <c r="AK501" s="9" t="n">
        <v>2692672.872283867</v>
      </c>
      <c r="AL501" s="9" t="n">
        <v>4872247.935053468</v>
      </c>
      <c r="AM501" s="9" t="n">
        <v>4538075.359308435</v>
      </c>
      <c r="AN501" s="9" t="n">
        <v>4409637.069824243</v>
      </c>
      <c r="AO501" s="9" t="n">
        <v>1696687.357268536</v>
      </c>
      <c r="AP501" s="9" t="n">
        <v>2595747.630239183</v>
      </c>
      <c r="AQ501" s="9" t="n">
        <v>2595747.630239183</v>
      </c>
      <c r="AR501" s="9" t="n">
        <v>4662493.78584847</v>
      </c>
    </row>
    <row r="502">
      <c r="A502" s="4" t="inlineStr">
        <is>
          <t>Vida</t>
        </is>
      </c>
      <c r="B502" s="5" t="n">
        <v>202310</v>
      </c>
      <c r="C502" s="5" t="n">
        <v>2023</v>
      </c>
      <c r="D502" s="6" t="n">
        <v>2247212.839475682</v>
      </c>
      <c r="E502" s="11" t="n">
        <v>0.02905483446150987</v>
      </c>
      <c r="F502" s="22">
        <f>D502*(1-E502)</f>
        <v/>
      </c>
      <c r="G502" s="11" t="n">
        <v>0.9453837209346472</v>
      </c>
      <c r="H502" s="11" t="n">
        <v>0.03067537462855756</v>
      </c>
      <c r="I502" s="11" t="n">
        <v>0.08145227661413085</v>
      </c>
      <c r="J502" s="11" t="n">
        <v>0.03108498713851994</v>
      </c>
      <c r="K502" s="6" t="n">
        <v>19108213.92915592</v>
      </c>
      <c r="L502" s="18" t="n">
        <v>20212124.98800457</v>
      </c>
      <c r="M502" s="18" t="n">
        <v>24387637.60502094</v>
      </c>
      <c r="N502" s="23">
        <f>IF(L502=0,"",M502/L502)</f>
        <v/>
      </c>
      <c r="O502" s="6" t="n">
        <v>21250773.07647499</v>
      </c>
      <c r="P502" s="22">
        <f>M502*G502*(1+H502+I502)</f>
        <v/>
      </c>
      <c r="Q502" s="6" t="n">
        <v>20656794.49224709</v>
      </c>
      <c r="R502" s="22">
        <f>P502-M502*G502*J502</f>
        <v/>
      </c>
      <c r="S502" s="22">
        <f>IF(A502=A501,O502-O501,"")</f>
        <v/>
      </c>
      <c r="T502" s="22">
        <f>IF(A502=A501,P502-P501,"")</f>
        <v/>
      </c>
      <c r="U502" s="22">
        <f>IF(A502=A501,Q502-Q501,"")</f>
        <v/>
      </c>
      <c r="V502" s="22">
        <f>IF(A502=A501,R502-R501,"")</f>
        <v/>
      </c>
      <c r="W502" s="22">
        <f>IF(S502="","",D502-S502)</f>
        <v/>
      </c>
      <c r="X502" s="22">
        <f>IF(T502="","",D502-T502)</f>
        <v/>
      </c>
      <c r="Y502" s="22">
        <f>IF(U502="","",F502-U502)</f>
        <v/>
      </c>
      <c r="Z502" s="22">
        <f>IF(V502="","",F502-V502)</f>
        <v/>
      </c>
      <c r="AA502" s="6" t="n">
        <v>27533171.97736257</v>
      </c>
      <c r="AB502" s="6" t="n">
        <v>25024991.77806391</v>
      </c>
      <c r="AC502" s="6" t="n">
        <v>6336245.211967444</v>
      </c>
      <c r="AD502" s="6" t="n">
        <v>8049729.17383213</v>
      </c>
      <c r="AE502" s="6" t="n">
        <v>8049729.17383213</v>
      </c>
      <c r="AF502" s="6" t="n">
        <v>27621902.80342688</v>
      </c>
      <c r="AG502" s="6" t="n">
        <v>2909625.134917208</v>
      </c>
      <c r="AH502" s="6" t="n">
        <v>3035387.826927693</v>
      </c>
      <c r="AI502" s="6" t="n">
        <v>1723125.779626117</v>
      </c>
      <c r="AJ502" s="6" t="n">
        <v>2378026.77912409</v>
      </c>
      <c r="AK502" s="6" t="n">
        <v>2378026.77912409</v>
      </c>
      <c r="AL502" s="6" t="n">
        <v>3035585.01493225</v>
      </c>
      <c r="AM502" s="6" t="n">
        <v>2756247.025420336</v>
      </c>
      <c r="AN502" s="6" t="n">
        <v>2884394.929563226</v>
      </c>
      <c r="AO502" s="6" t="n">
        <v>1658061.229694674</v>
      </c>
      <c r="AP502" s="6" t="n">
        <v>2288885.669980198</v>
      </c>
      <c r="AQ502" s="6" t="n">
        <v>2288885.669980198</v>
      </c>
      <c r="AR502" s="6" t="n">
        <v>2878171.075620798</v>
      </c>
    </row>
    <row r="503">
      <c r="A503" t="inlineStr">
        <is>
          <t>Vida</t>
        </is>
      </c>
      <c r="B503" s="8" t="n">
        <v>202311</v>
      </c>
      <c r="C503" s="8" t="n">
        <v>2023</v>
      </c>
      <c r="D503" s="9" t="n">
        <v>1257315.345787236</v>
      </c>
      <c r="E503" s="10" t="n">
        <v>0.02905483446150987</v>
      </c>
      <c r="F503" s="22">
        <f>D503*(1-E503)</f>
        <v/>
      </c>
      <c r="G503" s="10" t="n">
        <v>0.8898549777500554</v>
      </c>
      <c r="H503" s="10" t="n">
        <v>0.03258957943525265</v>
      </c>
      <c r="I503" s="10" t="n">
        <v>0.06350097447024357</v>
      </c>
      <c r="J503" s="10" t="n">
        <v>0.03118488959813667</v>
      </c>
      <c r="K503" s="9" t="n">
        <v>15867785.82816193</v>
      </c>
      <c r="L503" s="18" t="n">
        <v>17831878.4801122</v>
      </c>
      <c r="M503" s="18" t="n">
        <v>21840254.62920057</v>
      </c>
      <c r="N503" s="23">
        <f>IF(L503=0,"",M503/L503)</f>
        <v/>
      </c>
      <c r="O503" s="9" t="n">
        <v>17392530.1576438</v>
      </c>
      <c r="P503" s="22">
        <f>M503*G503*(1+H503+I503)</f>
        <v/>
      </c>
      <c r="Q503" s="9" t="n">
        <v>16897695.00842569</v>
      </c>
      <c r="R503" s="22">
        <f>P503-M503*G503*J503</f>
        <v/>
      </c>
      <c r="S503" s="22">
        <f>IF(A503=A502,O503-O502,"")</f>
        <v/>
      </c>
      <c r="T503" s="22">
        <f>IF(A503=A502,P503-P502,"")</f>
        <v/>
      </c>
      <c r="U503" s="22">
        <f>IF(A503=A502,Q503-Q502,"")</f>
        <v/>
      </c>
      <c r="V503" s="22">
        <f>IF(A503=A502,R503-R502,"")</f>
        <v/>
      </c>
      <c r="W503" s="22">
        <f>IF(S503="","",D503-S503)</f>
        <v/>
      </c>
      <c r="X503" s="22">
        <f>IF(T503="","",D503-T503)</f>
        <v/>
      </c>
      <c r="Y503" s="22">
        <f>IF(U503="","",F503-U503)</f>
        <v/>
      </c>
      <c r="Z503" s="22">
        <f>IF(V503="","",F503-V503)</f>
        <v/>
      </c>
      <c r="AA503" s="9" t="n">
        <v>24875365.09472971</v>
      </c>
      <c r="AB503" s="9" t="n">
        <v>22395048.55932562</v>
      </c>
      <c r="AC503" s="9" t="n">
        <v>6403884.430393406</v>
      </c>
      <c r="AD503" s="9" t="n">
        <v>7377776.622582869</v>
      </c>
      <c r="AE503" s="9" t="n">
        <v>7377776.622582869</v>
      </c>
      <c r="AF503" s="9" t="n">
        <v>24940571.62275015</v>
      </c>
      <c r="AG503" s="9" t="n">
        <v>5942868.032526595</v>
      </c>
      <c r="AH503" s="9" t="n">
        <v>5725004.623950941</v>
      </c>
      <c r="AI503" s="9" t="n">
        <v>1673060.388462077</v>
      </c>
      <c r="AJ503" s="9" t="n">
        <v>2524698.715472803</v>
      </c>
      <c r="AK503" s="9" t="n">
        <v>2524698.715472803</v>
      </c>
      <c r="AL503" s="9" t="n">
        <v>5972558.557196506</v>
      </c>
      <c r="AM503" s="9" t="n">
        <v>5787505.096952704</v>
      </c>
      <c r="AN503" s="9" t="n">
        <v>5574521.327498582</v>
      </c>
      <c r="AO503" s="9" t="n">
        <v>1628032.515562687</v>
      </c>
      <c r="AP503" s="9" t="n">
        <v>2456341.813577867</v>
      </c>
      <c r="AQ503" s="9" t="n">
        <v>2456341.813577867</v>
      </c>
      <c r="AR503" s="9" t="n">
        <v>5816397.550529298</v>
      </c>
    </row>
    <row r="504">
      <c r="A504" s="4" t="inlineStr">
        <is>
          <t>Vida</t>
        </is>
      </c>
      <c r="B504" s="5" t="n">
        <v>202312</v>
      </c>
      <c r="C504" s="5" t="n">
        <v>2023</v>
      </c>
      <c r="D504" s="6" t="n">
        <v>4357003.398898643</v>
      </c>
      <c r="E504" s="11" t="n">
        <v>0.02905483446150987</v>
      </c>
      <c r="F504" s="22">
        <f>D504*(1-E504)</f>
        <v/>
      </c>
      <c r="G504" s="11" t="n">
        <v>0.866399089</v>
      </c>
      <c r="H504" s="11" t="n">
        <v>0.0333676348550439</v>
      </c>
      <c r="I504" s="11" t="n">
        <v>0.06739339875489168</v>
      </c>
      <c r="J504" s="11" t="n">
        <v>0.02763341439272869</v>
      </c>
      <c r="K504" s="6" t="n">
        <v>16306974.63899662</v>
      </c>
      <c r="L504" s="18" t="n">
        <v>18821550.99887994</v>
      </c>
      <c r="M504" s="18" t="n">
        <v>22205365.71214774</v>
      </c>
      <c r="N504" s="23">
        <f>IF(L504=0,"",M504/L504)</f>
        <v/>
      </c>
      <c r="O504" s="6" t="n">
        <v>17950082.25867292</v>
      </c>
      <c r="P504" s="22">
        <f>M504*G504*(1+H504+I504)</f>
        <v/>
      </c>
      <c r="Q504" s="6" t="n">
        <v>17499464.87098181</v>
      </c>
      <c r="R504" s="22">
        <f>P504-M504*G504*J504</f>
        <v/>
      </c>
      <c r="S504" s="22">
        <f>IF(A504=A503,O504-O503,"")</f>
        <v/>
      </c>
      <c r="T504" s="22">
        <f>IF(A504=A503,P504-P503,"")</f>
        <v/>
      </c>
      <c r="U504" s="22">
        <f>IF(A504=A503,Q504-Q503,"")</f>
        <v/>
      </c>
      <c r="V504" s="22">
        <f>IF(A504=A503,R504-R503,"")</f>
        <v/>
      </c>
      <c r="W504" s="22">
        <f>IF(S504="","",D504-S504)</f>
        <v/>
      </c>
      <c r="X504" s="22">
        <f>IF(T504="","",D504-T504)</f>
        <v/>
      </c>
      <c r="Y504" s="22">
        <f>IF(U504="","",F504-U504)</f>
        <v/>
      </c>
      <c r="Z504" s="22">
        <f>IF(V504="","",F504-V504)</f>
        <v/>
      </c>
      <c r="AA504" s="6" t="n">
        <v>25382373.64208256</v>
      </c>
      <c r="AB504" s="6" t="n">
        <v>22905458.21516167</v>
      </c>
      <c r="AC504" s="6" t="n">
        <v>9461461.021207832</v>
      </c>
      <c r="AD504" s="6" t="n">
        <v>7775351.594633035</v>
      </c>
      <c r="AE504" s="6" t="n">
        <v>7775351.594633035</v>
      </c>
      <c r="AF504" s="6" t="n">
        <v>25295976.62886132</v>
      </c>
      <c r="AG504" s="6" t="n">
        <v>4412352.148031376</v>
      </c>
      <c r="AH504" s="6" t="n">
        <v>4355376.728011649</v>
      </c>
      <c r="AI504" s="6" t="n">
        <v>1579726.762052463</v>
      </c>
      <c r="AJ504" s="6" t="n">
        <v>4137663.632770972</v>
      </c>
      <c r="AK504" s="6" t="n">
        <v>4137663.632770972</v>
      </c>
      <c r="AL504" s="6" t="n">
        <v>4558348.783379067</v>
      </c>
      <c r="AM504" s="6" t="n">
        <v>4203161.776629496</v>
      </c>
      <c r="AN504" s="6" t="n">
        <v>4155713.981159028</v>
      </c>
      <c r="AO504" s="6" t="n">
        <v>1501948.953921858</v>
      </c>
      <c r="AP504" s="6" t="n">
        <v>3992492.189303429</v>
      </c>
      <c r="AQ504" s="6" t="n">
        <v>3992492.189303429</v>
      </c>
      <c r="AR504" s="6" t="n">
        <v>4345280.44920535</v>
      </c>
    </row>
    <row r="505">
      <c r="A505" t="inlineStr">
        <is>
          <t>Vida</t>
        </is>
      </c>
      <c r="B505" s="8" t="n">
        <v>202401</v>
      </c>
      <c r="C505" s="8" t="n">
        <v>2024</v>
      </c>
      <c r="D505" s="9" t="n">
        <v>2396154.005257039</v>
      </c>
      <c r="E505" s="10" t="n">
        <v>0.05937631194730551</v>
      </c>
      <c r="F505" s="22">
        <f>D505*(1-E505)</f>
        <v/>
      </c>
      <c r="G505" s="10" t="n">
        <v>0.87739</v>
      </c>
      <c r="H505" s="10" t="n">
        <v>0.03219552239059915</v>
      </c>
      <c r="I505" s="10" t="n">
        <v>0.0759324433160113</v>
      </c>
      <c r="J505" s="10" t="n">
        <v>0.02603125624724984</v>
      </c>
      <c r="K505" s="9" t="n">
        <v>14858840.17602839</v>
      </c>
      <c r="L505" s="18" t="n">
        <v>16935274.13810094</v>
      </c>
      <c r="M505" s="18" t="n">
        <v>20689448.84279355</v>
      </c>
      <c r="N505" s="23">
        <f>IF(L505=0,"",M505/L505)</f>
        <v/>
      </c>
      <c r="O505" s="9" t="n">
        <v>16465496.33702199</v>
      </c>
      <c r="P505" s="22">
        <f>M505*G505*(1+H505+I505)</f>
        <v/>
      </c>
      <c r="Q505" s="9" t="n">
        <v>16078702.06086286</v>
      </c>
      <c r="R505" s="22">
        <f>P505-M505*G505*J505</f>
        <v/>
      </c>
      <c r="S505" s="22">
        <f>IF(A505=A504,O505-O504,"")</f>
        <v/>
      </c>
      <c r="T505" s="22">
        <f>IF(A505=A504,P505-P504,"")</f>
        <v/>
      </c>
      <c r="U505" s="22">
        <f>IF(A505=A504,Q505-Q504,"")</f>
        <v/>
      </c>
      <c r="V505" s="22">
        <f>IF(A505=A504,R505-R504,"")</f>
        <v/>
      </c>
      <c r="W505" s="22">
        <f>IF(S505="","",D505-S505)</f>
        <v/>
      </c>
      <c r="X505" s="22">
        <f>IF(T505="","",D505-T505)</f>
        <v/>
      </c>
      <c r="Y505" s="22">
        <f>IF(U505="","",F505-U505)</f>
        <v/>
      </c>
      <c r="Z505" s="22">
        <f>IF(V505="","",F505-V505)</f>
        <v/>
      </c>
      <c r="AA505" s="9" t="n">
        <v>23824576.27413048</v>
      </c>
      <c r="AB505" s="9" t="n">
        <v>21308244.33185992</v>
      </c>
      <c r="AC505" s="9" t="n">
        <v>8931372.962199712</v>
      </c>
      <c r="AD505" s="9" t="n">
        <v>7934404.720708633</v>
      </c>
      <c r="AE505" s="9" t="n">
        <v>7934404.720708633</v>
      </c>
      <c r="AF505" s="9" t="n">
        <v>23696003.49440812</v>
      </c>
      <c r="AG505" s="9" t="n">
        <v>3439590.078725653</v>
      </c>
      <c r="AH505" s="9" t="n">
        <v>3523889.796556047</v>
      </c>
      <c r="AI505" s="9" t="n">
        <v>2735913.62186786</v>
      </c>
      <c r="AJ505" s="9" t="n">
        <v>2097186.569586047</v>
      </c>
      <c r="AK505" s="9" t="n">
        <v>2097186.569586047</v>
      </c>
      <c r="AL505" s="9" t="n">
        <v>3482199.610896493</v>
      </c>
      <c r="AM505" s="9" t="n">
        <v>3233764.473863407</v>
      </c>
      <c r="AN505" s="9" t="n">
        <v>3319893.499288849</v>
      </c>
      <c r="AO505" s="9" t="n">
        <v>2571105.313268158</v>
      </c>
      <c r="AP505" s="9" t="n">
        <v>1949976.039637393</v>
      </c>
      <c r="AQ505" s="9" t="n">
        <v>1949976.039637393</v>
      </c>
      <c r="AR505" s="9" t="n">
        <v>3275505.939526229</v>
      </c>
    </row>
    <row r="506">
      <c r="A506" s="4" t="inlineStr">
        <is>
          <t>Vida</t>
        </is>
      </c>
      <c r="B506" s="5" t="n">
        <v>202402</v>
      </c>
      <c r="C506" s="5" t="n">
        <v>2024</v>
      </c>
      <c r="D506" s="6" t="n">
        <v>4188620.571568613</v>
      </c>
      <c r="E506" s="11" t="n">
        <v>0.05937631194730551</v>
      </c>
      <c r="F506" s="22">
        <f>D506*(1-E506)</f>
        <v/>
      </c>
      <c r="G506" s="11" t="n">
        <v>0.8789830000000001</v>
      </c>
      <c r="H506" s="11" t="n">
        <v>0.03213704266317082</v>
      </c>
      <c r="I506" s="11" t="n">
        <v>0.07396583906618744</v>
      </c>
      <c r="J506" s="11" t="n">
        <v>0.02459264554421221</v>
      </c>
      <c r="K506" s="6" t="n">
        <v>15075992.98886498</v>
      </c>
      <c r="L506" s="18" t="n">
        <v>17151632.0439246</v>
      </c>
      <c r="M506" s="18" t="n">
        <v>20809275.59485548</v>
      </c>
      <c r="N506" s="23">
        <f>IF(L506=0,"",M506/L506)</f>
        <v/>
      </c>
      <c r="O506" s="6" t="n">
        <v>16675599.28991515</v>
      </c>
      <c r="P506" s="22">
        <f>M506*G506*(1+H506+I506)</f>
        <v/>
      </c>
      <c r="Q506" s="6" t="n">
        <v>16304840.73811297</v>
      </c>
      <c r="R506" s="22">
        <f>P506-M506*G506*J506</f>
        <v/>
      </c>
      <c r="S506" s="22">
        <f>IF(A506=A505,O506-O505,"")</f>
        <v/>
      </c>
      <c r="T506" s="22">
        <f>IF(A506=A505,P506-P505,"")</f>
        <v/>
      </c>
      <c r="U506" s="22">
        <f>IF(A506=A505,Q506-Q505,"")</f>
        <v/>
      </c>
      <c r="V506" s="22">
        <f>IF(A506=A505,R506-R505,"")</f>
        <v/>
      </c>
      <c r="W506" s="22">
        <f>IF(S506="","",D506-S506)</f>
        <v/>
      </c>
      <c r="X506" s="22">
        <f>IF(T506="","",D506-T506)</f>
        <v/>
      </c>
      <c r="Y506" s="22">
        <f>IF(U506="","",F506-U506)</f>
        <v/>
      </c>
      <c r="Z506" s="22">
        <f>IF(V506="","",F506-V506)</f>
        <v/>
      </c>
      <c r="AA506" s="6" t="n">
        <v>24000732.32354303</v>
      </c>
      <c r="AB506" s="6" t="n">
        <v>21492497.33266392</v>
      </c>
      <c r="AC506" s="6" t="n">
        <v>7793051.400056818</v>
      </c>
      <c r="AD506" s="6" t="n">
        <v>7798237.98345038</v>
      </c>
      <c r="AE506" s="6" t="n">
        <v>7798237.98345038</v>
      </c>
      <c r="AF506" s="6" t="n">
        <v>23855532.15892332</v>
      </c>
      <c r="AG506" s="6" t="n">
        <v>4017705.429017522</v>
      </c>
      <c r="AH506" s="6" t="n">
        <v>4009796.045899802</v>
      </c>
      <c r="AI506" s="6" t="n">
        <v>5295480.620567822</v>
      </c>
      <c r="AJ506" s="6" t="n">
        <v>4321125.250429103</v>
      </c>
      <c r="AK506" s="6" t="n">
        <v>4321125.250429103</v>
      </c>
      <c r="AL506" s="6" t="n">
        <v>4033869.432735381</v>
      </c>
      <c r="AM506" s="6" t="n">
        <v>3743669.90156634</v>
      </c>
      <c r="AN506" s="6" t="n">
        <v>3739013.137465707</v>
      </c>
      <c r="AO506" s="6" t="n">
        <v>5011245.746093029</v>
      </c>
      <c r="AP506" s="6" t="n">
        <v>4059772.811700791</v>
      </c>
      <c r="AQ506" s="6" t="n">
        <v>4059772.811700791</v>
      </c>
      <c r="AR506" s="6" t="n">
        <v>3759631.729625939</v>
      </c>
    </row>
    <row r="507">
      <c r="A507" t="inlineStr">
        <is>
          <t>Vida</t>
        </is>
      </c>
      <c r="B507" s="8" t="n">
        <v>202403</v>
      </c>
      <c r="C507" s="8" t="n">
        <v>2024</v>
      </c>
      <c r="D507" s="9" t="n">
        <v>3076321.707082789</v>
      </c>
      <c r="E507" s="10" t="n">
        <v>0.05937631194730551</v>
      </c>
      <c r="F507" s="22">
        <f>D507*(1-E507)</f>
        <v/>
      </c>
      <c r="G507" s="10" t="n">
        <v>0.91454</v>
      </c>
      <c r="H507" s="10" t="n">
        <v>0.03088764639718806</v>
      </c>
      <c r="I507" s="10" t="n">
        <v>0.06642559219524616</v>
      </c>
      <c r="J507" s="10" t="n">
        <v>0.02170077612723089</v>
      </c>
      <c r="K507" s="9" t="n">
        <v>17537404.32603773</v>
      </c>
      <c r="L507" s="18" t="n">
        <v>19176202.60025558</v>
      </c>
      <c r="M507" s="18" t="n">
        <v>19804253.50868671</v>
      </c>
      <c r="N507" s="23">
        <f>IF(L507=0,"",M507/L507)</f>
        <v/>
      </c>
      <c r="O507" s="9" t="n">
        <v>19244025.93750943</v>
      </c>
      <c r="P507" s="22">
        <f>M507*G507*(1+H507+I507)</f>
        <v/>
      </c>
      <c r="Q507" s="9" t="n">
        <v>18863450.65237736</v>
      </c>
      <c r="R507" s="22">
        <f>P507-M507*G507*J507</f>
        <v/>
      </c>
      <c r="S507" s="22">
        <f>IF(A507=A506,O507-O506,"")</f>
        <v/>
      </c>
      <c r="T507" s="22">
        <f>IF(A507=A506,P507-P506,"")</f>
        <v/>
      </c>
      <c r="U507" s="22">
        <f>IF(A507=A506,Q507-Q506,"")</f>
        <v/>
      </c>
      <c r="V507" s="22">
        <f>IF(A507=A506,R507-R506,"")</f>
        <v/>
      </c>
      <c r="W507" s="22">
        <f>IF(S507="","",D507-S507)</f>
        <v/>
      </c>
      <c r="X507" s="22">
        <f>IF(T507="","",D507-T507)</f>
        <v/>
      </c>
      <c r="Y507" s="22">
        <f>IF(U507="","",F507-U507)</f>
        <v/>
      </c>
      <c r="Z507" s="22">
        <f>IF(V507="","",F507-V507)</f>
        <v/>
      </c>
      <c r="AA507" s="9" t="n">
        <v>23042374.84266016</v>
      </c>
      <c r="AB507" s="9" t="n">
        <v>20509695.87199504</v>
      </c>
      <c r="AC507" s="9" t="n">
        <v>6666753.298355925</v>
      </c>
      <c r="AD507" s="9" t="n">
        <v>7385013.047502452</v>
      </c>
      <c r="AE507" s="9" t="n">
        <v>7385013.047502452</v>
      </c>
      <c r="AF507" s="9" t="n">
        <v>22914180.37475443</v>
      </c>
      <c r="AG507" s="9" t="n">
        <v>3287056.56023059</v>
      </c>
      <c r="AH507" s="9" t="n">
        <v>3390072.72742625</v>
      </c>
      <c r="AI507" s="9" t="n">
        <v>3962749.270054401</v>
      </c>
      <c r="AJ507" s="9" t="n">
        <v>3246991.777508024</v>
      </c>
      <c r="AK507" s="9" t="n">
        <v>3246991.777508024</v>
      </c>
      <c r="AL507" s="9" t="n">
        <v>3274534.207216583</v>
      </c>
      <c r="AM507" s="9" t="n">
        <v>3042887.896181221</v>
      </c>
      <c r="AN507" s="9" t="n">
        <v>3149859.244801573</v>
      </c>
      <c r="AO507" s="9" t="n">
        <v>3743939.906501803</v>
      </c>
      <c r="AP507" s="9" t="n">
        <v>3042325.044686169</v>
      </c>
      <c r="AQ507" s="9" t="n">
        <v>3042325.044686169</v>
      </c>
      <c r="AR507" s="9" t="n">
        <v>3030960.088433477</v>
      </c>
    </row>
    <row r="508">
      <c r="A508" s="4" t="inlineStr">
        <is>
          <t>Vida</t>
        </is>
      </c>
      <c r="B508" s="5" t="n">
        <v>202404</v>
      </c>
      <c r="C508" s="5" t="n">
        <v>2024</v>
      </c>
      <c r="D508" s="6" t="n">
        <v>4217158.415441642</v>
      </c>
      <c r="E508" s="11" t="n">
        <v>0.05937631194730551</v>
      </c>
      <c r="F508" s="22">
        <f>D508*(1-E508)</f>
        <v/>
      </c>
      <c r="G508" s="11" t="n">
        <v>0.92538</v>
      </c>
      <c r="H508" s="11" t="n">
        <v>0.03052560304595719</v>
      </c>
      <c r="I508" s="11" t="n">
        <v>0.07346462417122275</v>
      </c>
      <c r="J508" s="11" t="n">
        <v>0.01894573298803334</v>
      </c>
      <c r="K508" s="6" t="n">
        <v>16983137.14470888</v>
      </c>
      <c r="L508" s="18" t="n">
        <v>18352608.81444259</v>
      </c>
      <c r="M508" s="18" t="n">
        <v>19848021.15942903</v>
      </c>
      <c r="N508" s="23">
        <f>IF(L508=0,"",M508/L508)</f>
        <v/>
      </c>
      <c r="O508" s="6" t="n">
        <v>18749217.43524769</v>
      </c>
      <c r="P508" s="22">
        <f>M508*G508*(1+H508+I508)</f>
        <v/>
      </c>
      <c r="Q508" s="6" t="n">
        <v>18427459.45360488</v>
      </c>
      <c r="R508" s="22">
        <f>P508-M508*G508*J508</f>
        <v/>
      </c>
      <c r="S508" s="22">
        <f>IF(A508=A507,O508-O507,"")</f>
        <v/>
      </c>
      <c r="T508" s="22">
        <f>IF(A508=A507,P508-P507,"")</f>
        <v/>
      </c>
      <c r="U508" s="22">
        <f>IF(A508=A507,Q508-Q507,"")</f>
        <v/>
      </c>
      <c r="V508" s="22">
        <f>IF(A508=A507,R508-R507,"")</f>
        <v/>
      </c>
      <c r="W508" s="22">
        <f>IF(S508="","",D508-S508)</f>
        <v/>
      </c>
      <c r="X508" s="22">
        <f>IF(T508="","",D508-T508)</f>
        <v/>
      </c>
      <c r="Y508" s="22">
        <f>IF(U508="","",F508-U508)</f>
        <v/>
      </c>
      <c r="Z508" s="22">
        <f>IF(V508="","",F508-V508)</f>
        <v/>
      </c>
      <c r="AA508" s="6" t="n">
        <v>23168622.53407985</v>
      </c>
      <c r="AB508" s="6" t="n">
        <v>20653146.53716663</v>
      </c>
      <c r="AC508" s="6" t="n">
        <v>7197664.802253094</v>
      </c>
      <c r="AD508" s="6" t="n">
        <v>8744806.982964922</v>
      </c>
      <c r="AE508" s="6" t="n">
        <v>8744806.982964922</v>
      </c>
      <c r="AF508" s="6" t="n">
        <v>22968289.69695427</v>
      </c>
      <c r="AG508" s="6" t="n">
        <v>3671723.157629615</v>
      </c>
      <c r="AH508" s="6" t="n">
        <v>3699923.115052531</v>
      </c>
      <c r="AI508" s="6" t="n">
        <v>3554281.246971056</v>
      </c>
      <c r="AJ508" s="6" t="n">
        <v>2694504.712160947</v>
      </c>
      <c r="AK508" s="6" t="n">
        <v>2694504.712160947</v>
      </c>
      <c r="AL508" s="6" t="n">
        <v>3747737.410406658</v>
      </c>
      <c r="AM508" s="6" t="n">
        <v>3370211.969554239</v>
      </c>
      <c r="AN508" s="6" t="n">
        <v>3404574.719575641</v>
      </c>
      <c r="AO508" s="6" t="n">
        <v>3297761.505256302</v>
      </c>
      <c r="AP508" s="6" t="n">
        <v>2450854.724259218</v>
      </c>
      <c r="AQ508" s="6" t="n">
        <v>2450854.724259218</v>
      </c>
      <c r="AR508" s="6" t="n">
        <v>3445258.163164185</v>
      </c>
    </row>
    <row r="509">
      <c r="A509" t="inlineStr">
        <is>
          <t>Vida</t>
        </is>
      </c>
      <c r="B509" s="8" t="n">
        <v>202405</v>
      </c>
      <c r="C509" s="8" t="n">
        <v>2024</v>
      </c>
      <c r="D509" s="9" t="n">
        <v>5107745.286248765</v>
      </c>
      <c r="E509" s="10" t="n">
        <v>0.05937631194730551</v>
      </c>
      <c r="F509" s="22">
        <f>D509*(1-E509)</f>
        <v/>
      </c>
      <c r="G509" s="10" t="n">
        <v>0.97226</v>
      </c>
      <c r="H509" s="10" t="n">
        <v>0.02905374172147067</v>
      </c>
      <c r="I509" s="10" t="n">
        <v>0.08872274491240614</v>
      </c>
      <c r="J509" s="10" t="n">
        <v>0.01554621689187051</v>
      </c>
      <c r="K509" s="9" t="n">
        <v>19621113.00609375</v>
      </c>
      <c r="L509" s="18" t="n">
        <v>20180932.06147918</v>
      </c>
      <c r="M509" s="18" t="n">
        <v>20526825.75838589</v>
      </c>
      <c r="N509" s="23">
        <f>IF(L509=0,"",M509/L509)</f>
        <v/>
      </c>
      <c r="O509" s="9" t="n">
        <v>21932018.75979774</v>
      </c>
      <c r="P509" s="22">
        <f>M509*G509*(1+H509+I509)</f>
        <v/>
      </c>
      <c r="Q509" s="9" t="n">
        <v>21626984.68134511</v>
      </c>
      <c r="R509" s="22">
        <f>P509-M509*G509*J509</f>
        <v/>
      </c>
      <c r="S509" s="22">
        <f>IF(A509=A508,O509-O508,"")</f>
        <v/>
      </c>
      <c r="T509" s="22">
        <f>IF(A509=A508,P509-P508,"")</f>
        <v/>
      </c>
      <c r="U509" s="22">
        <f>IF(A509=A508,Q509-Q508,"")</f>
        <v/>
      </c>
      <c r="V509" s="22">
        <f>IF(A509=A508,R509-R508,"")</f>
        <v/>
      </c>
      <c r="W509" s="22">
        <f>IF(S509="","",D509-S509)</f>
        <v/>
      </c>
      <c r="X509" s="22">
        <f>IF(T509="","",D509-T509)</f>
        <v/>
      </c>
      <c r="Y509" s="22">
        <f>IF(U509="","",F509-U509)</f>
        <v/>
      </c>
      <c r="Z509" s="22">
        <f>IF(V509="","",F509-V509)</f>
        <v/>
      </c>
      <c r="AA509" s="9" t="n">
        <v>23965643.28572579</v>
      </c>
      <c r="AB509" s="9" t="n">
        <v>21370225.06576058</v>
      </c>
      <c r="AC509" s="9" t="n">
        <v>7593210.808407743</v>
      </c>
      <c r="AD509" s="9" t="n">
        <v>9327709.035866568</v>
      </c>
      <c r="AE509" s="9" t="n">
        <v>9327709.035866568</v>
      </c>
      <c r="AF509" s="9" t="n">
        <v>23866320.94430066</v>
      </c>
      <c r="AG509" s="9" t="n">
        <v>2731925.811412412</v>
      </c>
      <c r="AH509" s="9" t="n">
        <v>2982710.195415019</v>
      </c>
      <c r="AI509" s="9" t="n">
        <v>4208886.151343076</v>
      </c>
      <c r="AJ509" s="9" t="n">
        <v>3904463.271199583</v>
      </c>
      <c r="AK509" s="9" t="n">
        <v>3904463.271199583</v>
      </c>
      <c r="AL509" s="9" t="n">
        <v>2635204.164334605</v>
      </c>
      <c r="AM509" s="9" t="n">
        <v>2384694.243769939</v>
      </c>
      <c r="AN509" s="9" t="n">
        <v>2640350.303840975</v>
      </c>
      <c r="AO509" s="9" t="n">
        <v>3894188.711702146</v>
      </c>
      <c r="AP509" s="9" t="n">
        <v>3588858.21085984</v>
      </c>
      <c r="AQ509" s="9" t="n">
        <v>3588858.21085984</v>
      </c>
      <c r="AR509" s="9" t="n">
        <v>2289983.578773907</v>
      </c>
    </row>
    <row r="510">
      <c r="A510" s="4" t="inlineStr">
        <is>
          <t>Vida</t>
        </is>
      </c>
      <c r="B510" s="5" t="n">
        <v>202406</v>
      </c>
      <c r="C510" s="5" t="n">
        <v>2024</v>
      </c>
      <c r="D510" s="6" t="n">
        <v>12375700.12666677</v>
      </c>
      <c r="E510" s="11" t="n">
        <v>0.05937631194730551</v>
      </c>
      <c r="F510" s="22">
        <f>D510*(1-E510)</f>
        <v/>
      </c>
      <c r="G510" s="11" t="n">
        <v>0.9647700000000001</v>
      </c>
      <c r="H510" s="11" t="n">
        <v>0.02927933205650385</v>
      </c>
      <c r="I510" s="11" t="n">
        <v>0.06538071431595577</v>
      </c>
      <c r="J510" s="11" t="n">
        <v>0.01217382511132061</v>
      </c>
      <c r="K510" s="6" t="n">
        <v>23026863.44784592</v>
      </c>
      <c r="L510" s="18" t="n">
        <v>23867723.3411548</v>
      </c>
      <c r="M510" s="18" t="n">
        <v>27230353.28433039</v>
      </c>
      <c r="N510" s="23">
        <f>IF(L510=0,"",M510/L510)</f>
        <v/>
      </c>
      <c r="O510" s="6" t="n">
        <v>25206587.4096313</v>
      </c>
      <c r="P510" s="22">
        <f>M510*G510*(1+H510+I510)</f>
        <v/>
      </c>
      <c r="Q510" s="6" t="n">
        <v>24926262.40115497</v>
      </c>
      <c r="R510" s="22">
        <f>P510-M510*G510*J510</f>
        <v/>
      </c>
      <c r="S510" s="22">
        <f>IF(A510=A509,O510-O509,"")</f>
        <v/>
      </c>
      <c r="T510" s="22">
        <f>IF(A510=A509,P510-P509,"")</f>
        <v/>
      </c>
      <c r="U510" s="22">
        <f>IF(A510=A509,Q510-Q509,"")</f>
        <v/>
      </c>
      <c r="V510" s="22">
        <f>IF(A510=A509,R510-R509,"")</f>
        <v/>
      </c>
      <c r="W510" s="22">
        <f>IF(S510="","",D510-S510)</f>
        <v/>
      </c>
      <c r="X510" s="22">
        <f>IF(T510="","",D510-T510)</f>
        <v/>
      </c>
      <c r="Y510" s="22">
        <f>IF(U510="","",F510-U510)</f>
        <v/>
      </c>
      <c r="Z510" s="22">
        <f>IF(V510="","",F510-V510)</f>
        <v/>
      </c>
      <c r="AA510" s="6" t="n">
        <v>31396247.99432637</v>
      </c>
      <c r="AB510" s="6" t="n">
        <v>27966707.4825689</v>
      </c>
      <c r="AC510" s="6" t="n">
        <v>6696823.34649831</v>
      </c>
      <c r="AD510" s="6" t="n">
        <v>9731236.342716526</v>
      </c>
      <c r="AE510" s="6" t="n">
        <v>9731236.342716526</v>
      </c>
      <c r="AF510" s="6" t="n">
        <v>31306548.64696695</v>
      </c>
      <c r="AG510" s="6" t="n">
        <v>5263401.152321842</v>
      </c>
      <c r="AH510" s="6" t="n">
        <v>6064701.316448383</v>
      </c>
      <c r="AI510" s="6" t="n">
        <v>13555286.21935724</v>
      </c>
      <c r="AJ510" s="6" t="n">
        <v>12235656.84188388</v>
      </c>
      <c r="AK510" s="6" t="n">
        <v>12235656.84188388</v>
      </c>
      <c r="AL510" s="6" t="n">
        <v>5250191.721974786</v>
      </c>
      <c r="AM510" s="6" t="n">
        <v>4535084.953762673</v>
      </c>
      <c r="AN510" s="6" t="n">
        <v>5335335.02118269</v>
      </c>
      <c r="AO510" s="6" t="n">
        <v>12784345.47049793</v>
      </c>
      <c r="AP510" s="6" t="n">
        <v>11474138.21568651</v>
      </c>
      <c r="AQ510" s="6" t="n">
        <v>11474138.21568651</v>
      </c>
      <c r="AR510" s="6" t="n">
        <v>4522323.263548482</v>
      </c>
    </row>
    <row r="511">
      <c r="A511" t="inlineStr">
        <is>
          <t>Vida</t>
        </is>
      </c>
      <c r="B511" s="8" t="n">
        <v>202407</v>
      </c>
      <c r="C511" s="8" t="n">
        <v>2024</v>
      </c>
      <c r="D511" s="9" t="n">
        <v>2998832.526020851</v>
      </c>
      <c r="E511" s="10" t="n">
        <v>0.05937631194730551</v>
      </c>
      <c r="F511" s="22">
        <f>D511*(1-E511)</f>
        <v/>
      </c>
      <c r="G511" s="10" t="n">
        <v>0.96451</v>
      </c>
      <c r="H511" s="10" t="n">
        <v>0.02928731038856203</v>
      </c>
      <c r="I511" s="10" t="n">
        <v>0.06400892470768642</v>
      </c>
      <c r="J511" s="10" t="n">
        <v>0.01245045522805134</v>
      </c>
      <c r="K511" s="9" t="n">
        <v>21754148.95072993</v>
      </c>
      <c r="L511" s="18" t="n">
        <v>22554612.13541583</v>
      </c>
      <c r="M511" s="18" t="n">
        <v>25367535.13663672</v>
      </c>
      <c r="N511" s="23">
        <f>IF(L511=0,"",M511/L511)</f>
        <v/>
      </c>
      <c r="O511" s="9" t="n">
        <v>23783729.14555603</v>
      </c>
      <c r="P511" s="22">
        <f>M511*G511*(1+H511+I511)</f>
        <v/>
      </c>
      <c r="Q511" s="9" t="n">
        <v>23512880.08802061</v>
      </c>
      <c r="R511" s="22">
        <f>P511-M511*G511*J511</f>
        <v/>
      </c>
      <c r="S511" s="22">
        <f>IF(A511=A510,O511-O510,"")</f>
        <v/>
      </c>
      <c r="T511" s="22">
        <f>IF(A511=A510,P511-P510,"")</f>
        <v/>
      </c>
      <c r="U511" s="22">
        <f>IF(A511=A510,Q511-Q510,"")</f>
        <v/>
      </c>
      <c r="V511" s="22">
        <f>IF(A511=A510,R511-R510,"")</f>
        <v/>
      </c>
      <c r="W511" s="22">
        <f>IF(S511="","",D511-S511)</f>
        <v/>
      </c>
      <c r="X511" s="22">
        <f>IF(T511="","",D511-T511)</f>
        <v/>
      </c>
      <c r="Y511" s="22">
        <f>IF(U511="","",F511-U511)</f>
        <v/>
      </c>
      <c r="Z511" s="22">
        <f>IF(V511="","",F511-V511)</f>
        <v/>
      </c>
      <c r="AA511" s="9" t="n">
        <v>29142048.03851582</v>
      </c>
      <c r="AB511" s="9" t="n">
        <v>26248777.88625127</v>
      </c>
      <c r="AC511" s="9" t="n">
        <v>6040799.376061122</v>
      </c>
      <c r="AD511" s="9" t="n">
        <v>9469523.541824287</v>
      </c>
      <c r="AE511" s="9" t="n">
        <v>9469523.541824287</v>
      </c>
      <c r="AF511" s="9" t="n">
        <v>29204528.86418397</v>
      </c>
      <c r="AG511" s="9" t="n">
        <v>5426110.11362407</v>
      </c>
      <c r="AH511" s="9" t="n">
        <v>4855128.281917065</v>
      </c>
      <c r="AI511" s="9" t="n">
        <v>3701321.681755845</v>
      </c>
      <c r="AJ511" s="9" t="n">
        <v>3290377.590407165</v>
      </c>
      <c r="AK511" s="9" t="n">
        <v>3290377.590407165</v>
      </c>
      <c r="AL511" s="9" t="n">
        <v>5265493.338119969</v>
      </c>
      <c r="AM511" s="9" t="n">
        <v>5229258.274874598</v>
      </c>
      <c r="AN511" s="9" t="n">
        <v>4663812.104115549</v>
      </c>
      <c r="AO511" s="9" t="n">
        <v>3517149.743782275</v>
      </c>
      <c r="AP511" s="9" t="n">
        <v>3111740.787890289</v>
      </c>
      <c r="AQ511" s="9" t="n">
        <v>3111740.787890289</v>
      </c>
      <c r="AR511" s="9" t="n">
        <v>5070445.319464721</v>
      </c>
    </row>
    <row r="512">
      <c r="A512" s="4" t="inlineStr">
        <is>
          <t>Vida</t>
        </is>
      </c>
      <c r="B512" s="5" t="n">
        <v>202408</v>
      </c>
      <c r="C512" s="5" t="n">
        <v>2024</v>
      </c>
      <c r="D512" s="6" t="n">
        <v>1841854.125700803</v>
      </c>
      <c r="E512" s="11" t="n">
        <v>0.05937631194730551</v>
      </c>
      <c r="F512" s="22">
        <f>D512*(1-E512)</f>
        <v/>
      </c>
      <c r="G512" s="11" t="n">
        <v>0.93737</v>
      </c>
      <c r="H512" s="11" t="n">
        <v>0.03013514931018131</v>
      </c>
      <c r="I512" s="11" t="n">
        <v>0.06640206591799314</v>
      </c>
      <c r="J512" s="11" t="n">
        <v>0.01287766736978864</v>
      </c>
      <c r="K512" s="6" t="n">
        <v>18778113.54230638</v>
      </c>
      <c r="L512" s="18" t="n">
        <v>20032765.65529767</v>
      </c>
      <c r="M512" s="18" t="n">
        <v>23322581.21097394</v>
      </c>
      <c r="N512" s="23">
        <f>IF(L512=0,"",M512/L512)</f>
        <v/>
      </c>
      <c r="O512" s="6" t="n">
        <v>20590900.33091912</v>
      </c>
      <c r="P512" s="22">
        <f>M512*G512*(1+H512+I512)</f>
        <v/>
      </c>
      <c r="Q512" s="6" t="n">
        <v>20349082.03088917</v>
      </c>
      <c r="R512" s="22">
        <f>P512-M512*G512*J512</f>
        <v/>
      </c>
      <c r="S512" s="22">
        <f>IF(A512=A511,O512-O511,"")</f>
        <v/>
      </c>
      <c r="T512" s="22">
        <f>IF(A512=A511,P512-P511,"")</f>
        <v/>
      </c>
      <c r="U512" s="22">
        <f>IF(A512=A511,Q512-Q511,"")</f>
        <v/>
      </c>
      <c r="V512" s="22">
        <f>IF(A512=A511,R512-R511,"")</f>
        <v/>
      </c>
      <c r="W512" s="22">
        <f>IF(S512="","",D512-S512)</f>
        <v/>
      </c>
      <c r="X512" s="22">
        <f>IF(T512="","",D512-T512)</f>
        <v/>
      </c>
      <c r="Y512" s="22">
        <f>IF(U512="","",F512-U512)</f>
        <v/>
      </c>
      <c r="Z512" s="22">
        <f>IF(V512="","",F512-V512)</f>
        <v/>
      </c>
      <c r="AA512" s="6" t="n">
        <v>26358059.10526534</v>
      </c>
      <c r="AB512" s="6" t="n">
        <v>24091126.28052923</v>
      </c>
      <c r="AC512" s="6" t="n">
        <v>6265046.141314541</v>
      </c>
      <c r="AD512" s="6" t="n">
        <v>9220613.570270371</v>
      </c>
      <c r="AE512" s="6" t="n">
        <v>9220613.570270371</v>
      </c>
      <c r="AF512" s="6" t="n">
        <v>26914655.4074165</v>
      </c>
      <c r="AG512" s="6" t="n">
        <v>5479579.14587316</v>
      </c>
      <c r="AH512" s="6" t="n">
        <v>4758731.840632183</v>
      </c>
      <c r="AI512" s="6" t="n">
        <v>1772250.628032633</v>
      </c>
      <c r="AJ512" s="6" t="n">
        <v>2349910.879954712</v>
      </c>
      <c r="AK512" s="6" t="n">
        <v>2349910.879954712</v>
      </c>
      <c r="AL512" s="6" t="n">
        <v>4973361.192108725</v>
      </c>
      <c r="AM512" s="6" t="n">
        <v>5338433.572579006</v>
      </c>
      <c r="AN512" s="6" t="n">
        <v>4624965.896851694</v>
      </c>
      <c r="AO512" s="6" t="n">
        <v>1665972.891754709</v>
      </c>
      <c r="AP512" s="6" t="n">
        <v>2238136.07128652</v>
      </c>
      <c r="AQ512" s="6" t="n">
        <v>2238136.07128652</v>
      </c>
      <c r="AR512" s="6" t="n">
        <v>4838184.063650379</v>
      </c>
    </row>
    <row r="513">
      <c r="A513" t="inlineStr">
        <is>
          <t>Vida</t>
        </is>
      </c>
      <c r="B513" s="8" t="n">
        <v>202409</v>
      </c>
      <c r="C513" s="8" t="n">
        <v>2024</v>
      </c>
      <c r="D513" s="9" t="n">
        <v>3202201.205458615</v>
      </c>
      <c r="E513" s="10" t="n">
        <v>0.05937631194730551</v>
      </c>
      <c r="F513" s="22">
        <f>D513*(1-E513)</f>
        <v/>
      </c>
      <c r="G513" s="10" t="n">
        <v>0.9147</v>
      </c>
      <c r="H513" s="10" t="n">
        <v>0.03088217804375199</v>
      </c>
      <c r="I513" s="10" t="n">
        <v>0.06680680212997417</v>
      </c>
      <c r="J513" s="10" t="n">
        <v>0.01268964755479539</v>
      </c>
      <c r="K513" s="9" t="n">
        <v>17605884.00119845</v>
      </c>
      <c r="L513" s="18" t="n">
        <v>19247714.00590188</v>
      </c>
      <c r="M513" s="18" t="n">
        <v>22441351.9351606</v>
      </c>
      <c r="N513" s="23">
        <f>IF(L513=0,"",M513/L513)</f>
        <v/>
      </c>
      <c r="O513" s="9" t="n">
        <v>19325784.85433245</v>
      </c>
      <c r="P513" s="22">
        <f>M513*G513*(1+H513+I513)</f>
        <v/>
      </c>
      <c r="Q513" s="9" t="n">
        <v>19102372.39146663</v>
      </c>
      <c r="R513" s="22">
        <f>P513-M513*G513*J513</f>
        <v/>
      </c>
      <c r="S513" s="22">
        <f>IF(A513=A512,O513-O512,"")</f>
        <v/>
      </c>
      <c r="T513" s="22">
        <f>IF(A513=A512,P513-P512,"")</f>
        <v/>
      </c>
      <c r="U513" s="22">
        <f>IF(A513=A512,Q513-Q512,"")</f>
        <v/>
      </c>
      <c r="V513" s="22">
        <f>IF(A513=A512,R513-R512,"")</f>
        <v/>
      </c>
      <c r="W513" s="22">
        <f>IF(S513="","",D513-S513)</f>
        <v/>
      </c>
      <c r="X513" s="22">
        <f>IF(T513="","",D513-T513)</f>
        <v/>
      </c>
      <c r="Y513" s="22">
        <f>IF(U513="","",F513-U513)</f>
        <v/>
      </c>
      <c r="Z513" s="22">
        <f>IF(V513="","",F513-V513)</f>
        <v/>
      </c>
      <c r="AA513" s="9" t="n">
        <v>25536500.54510946</v>
      </c>
      <c r="AB513" s="9" t="n">
        <v>23306060.86734091</v>
      </c>
      <c r="AC513" s="9" t="n">
        <v>5480116.758814142</v>
      </c>
      <c r="AD513" s="9" t="n">
        <v>8552330.695225624</v>
      </c>
      <c r="AE513" s="9" t="n">
        <v>8552330.695225624</v>
      </c>
      <c r="AF513" s="9" t="n">
        <v>26126856.72010417</v>
      </c>
      <c r="AG513" s="9" t="n">
        <v>4654545.148332641</v>
      </c>
      <c r="AH513" s="9" t="n">
        <v>4563939.692233395</v>
      </c>
      <c r="AI513" s="9" t="n">
        <v>4139453.641547789</v>
      </c>
      <c r="AJ513" s="9" t="n">
        <v>4092691.22439535</v>
      </c>
      <c r="AK513" s="9" t="n">
        <v>4092691.22439535</v>
      </c>
      <c r="AL513" s="9" t="n">
        <v>4633898.105162118</v>
      </c>
      <c r="AM513" s="9" t="n">
        <v>4442646.249412427</v>
      </c>
      <c r="AN513" s="9" t="n">
        <v>4353516.049269902</v>
      </c>
      <c r="AO513" s="9" t="n">
        <v>3937301.424884152</v>
      </c>
      <c r="AP513" s="9" t="n">
        <v>3890521.807235195</v>
      </c>
      <c r="AQ513" s="9" t="n">
        <v>3890521.807235195</v>
      </c>
      <c r="AR513" s="9" t="n">
        <v>4422132.849243591</v>
      </c>
    </row>
    <row r="514">
      <c r="A514" s="4" t="inlineStr">
        <is>
          <t>Vida</t>
        </is>
      </c>
      <c r="B514" s="5" t="n">
        <v>202410</v>
      </c>
      <c r="C514" s="5" t="n">
        <v>2024</v>
      </c>
      <c r="D514" s="6" t="n">
        <v>1842637.377874513</v>
      </c>
      <c r="E514" s="11" t="n">
        <v>0.05937631194730551</v>
      </c>
      <c r="F514" s="22">
        <f>D514*(1-E514)</f>
        <v/>
      </c>
      <c r="G514" s="11" t="n">
        <v>0.91655</v>
      </c>
      <c r="H514" s="11" t="n">
        <v>0.03081969050336268</v>
      </c>
      <c r="I514" s="11" t="n">
        <v>0.07029752918802901</v>
      </c>
      <c r="J514" s="11" t="n">
        <v>0.02475219194718436</v>
      </c>
      <c r="K514" s="6" t="n">
        <v>15596924.8974309</v>
      </c>
      <c r="L514" s="18" t="n">
        <v>17016992.9599377</v>
      </c>
      <c r="M514" s="18" t="n">
        <v>20427652.99614454</v>
      </c>
      <c r="N514" s="23">
        <f>IF(L514=0,"",M514/L514)</f>
        <v/>
      </c>
      <c r="O514" s="6" t="n">
        <v>17174042.57879456</v>
      </c>
      <c r="P514" s="22">
        <f>M514*G514*(1+H514+I514)</f>
        <v/>
      </c>
      <c r="Q514" s="6" t="n">
        <v>16787984.49994753</v>
      </c>
      <c r="R514" s="22">
        <f>P514-M514*G514*J514</f>
        <v/>
      </c>
      <c r="S514" s="22">
        <f>IF(A514=A513,O514-O513,"")</f>
        <v/>
      </c>
      <c r="T514" s="22">
        <f>IF(A514=A513,P514-P513,"")</f>
        <v/>
      </c>
      <c r="U514" s="22">
        <f>IF(A514=A513,Q514-Q513,"")</f>
        <v/>
      </c>
      <c r="V514" s="22">
        <f>IF(A514=A513,R514-R513,"")</f>
        <v/>
      </c>
      <c r="W514" s="22">
        <f>IF(S514="","",D514-S514)</f>
        <v/>
      </c>
      <c r="X514" s="22">
        <f>IF(T514="","",D514-T514)</f>
        <v/>
      </c>
      <c r="Y514" s="22">
        <f>IF(U514="","",F514-U514)</f>
        <v/>
      </c>
      <c r="Z514" s="22">
        <f>IF(V514="","",F514-V514)</f>
        <v/>
      </c>
      <c r="AA514" s="6" t="n">
        <v>23518241.72216664</v>
      </c>
      <c r="AB514" s="6" t="n">
        <v>21358512.55222231</v>
      </c>
      <c r="AC514" s="6" t="n">
        <v>5016300.498810888</v>
      </c>
      <c r="AD514" s="6" t="n">
        <v>7764105.43925506</v>
      </c>
      <c r="AE514" s="6" t="n">
        <v>7764105.43925506</v>
      </c>
      <c r="AF514" s="6" t="n">
        <v>24036561.83459654</v>
      </c>
      <c r="AG514" s="6" t="n">
        <v>3747425.496483454</v>
      </c>
      <c r="AH514" s="6" t="n">
        <v>3687600.193572366</v>
      </c>
      <c r="AI514" s="6" t="n">
        <v>2282386.219524184</v>
      </c>
      <c r="AJ514" s="6" t="n">
        <v>2593896.995648005</v>
      </c>
      <c r="AK514" s="6" t="n">
        <v>2593896.995648005</v>
      </c>
      <c r="AL514" s="6" t="n">
        <v>3817072.538784073</v>
      </c>
      <c r="AM514" s="6" t="n">
        <v>3875158.138063607</v>
      </c>
      <c r="AN514" s="6" t="n">
        <v>3792225.082284269</v>
      </c>
      <c r="AO514" s="6" t="n">
        <v>2223171.194428971</v>
      </c>
      <c r="AP514" s="6" t="n">
        <v>2561360.516325928</v>
      </c>
      <c r="AQ514" s="6" t="n">
        <v>2561360.516325928</v>
      </c>
      <c r="AR514" s="6" t="n">
        <v>3949711.718219311</v>
      </c>
    </row>
    <row r="515">
      <c r="A515" t="inlineStr">
        <is>
          <t>Vida</t>
        </is>
      </c>
      <c r="B515" s="8" t="n">
        <v>202411</v>
      </c>
      <c r="C515" s="8" t="n">
        <v>2024</v>
      </c>
      <c r="D515" s="9" t="n">
        <v>4736630.544867521</v>
      </c>
      <c r="E515" s="10" t="n">
        <v>0.05937631194730551</v>
      </c>
      <c r="F515" s="22">
        <f>D515*(1-E515)</f>
        <v/>
      </c>
      <c r="G515" s="10" t="n">
        <v>0.8528416992770397</v>
      </c>
      <c r="H515" s="10" t="n">
        <v>0.03312207808954314</v>
      </c>
      <c r="I515" s="10" t="n">
        <v>0.05191744048978764</v>
      </c>
      <c r="J515" s="10" t="n">
        <v>0.02793481832746096</v>
      </c>
      <c r="K515" s="9" t="n">
        <v>15111568.80227493</v>
      </c>
      <c r="L515" s="18" t="n">
        <v>17719078.24756355</v>
      </c>
      <c r="M515" s="18" t="n">
        <v>20980953.72015081</v>
      </c>
      <c r="N515" s="23">
        <f>IF(L515=0,"",M515/L515)</f>
        <v/>
      </c>
      <c r="O515" s="9" t="n">
        <v>16396649.33819882</v>
      </c>
      <c r="P515" s="22">
        <f>M515*G515*(1+H515+I515)</f>
        <v/>
      </c>
      <c r="Q515" s="9" t="n">
        <v>15974510.40906434</v>
      </c>
      <c r="R515" s="22">
        <f>P515-M515*G515*J515</f>
        <v/>
      </c>
      <c r="S515" s="22">
        <f>IF(A515=A514,O515-O514,"")</f>
        <v/>
      </c>
      <c r="T515" s="22">
        <f>IF(A515=A514,P515-P514,"")</f>
        <v/>
      </c>
      <c r="U515" s="22">
        <f>IF(A515=A514,Q515-Q514,"")</f>
        <v/>
      </c>
      <c r="V515" s="22">
        <f>IF(A515=A514,R515-R514,"")</f>
        <v/>
      </c>
      <c r="W515" s="22">
        <f>IF(S515="","",D515-S515)</f>
        <v/>
      </c>
      <c r="X515" s="22">
        <f>IF(T515="","",D515-T515)</f>
        <v/>
      </c>
      <c r="Y515" s="22">
        <f>IF(U515="","",F515-U515)</f>
        <v/>
      </c>
      <c r="Z515" s="22">
        <f>IF(V515="","",F515-V515)</f>
        <v/>
      </c>
      <c r="AA515" s="9" t="n">
        <v>24225061.31220114</v>
      </c>
      <c r="AB515" s="9" t="n">
        <v>22008840.38975738</v>
      </c>
      <c r="AC515" s="9" t="n">
        <v>5646290.172816362</v>
      </c>
      <c r="AD515" s="9" t="n">
        <v>7452724.200822935</v>
      </c>
      <c r="AE515" s="9" t="n">
        <v>7452724.200822935</v>
      </c>
      <c r="AF515" s="9" t="n">
        <v>24645003.03379084</v>
      </c>
      <c r="AG515" s="9" t="n">
        <v>6054850.808098568</v>
      </c>
      <c r="AH515" s="9" t="n">
        <v>5926007.11264555</v>
      </c>
      <c r="AI515" s="9" t="n">
        <v>4574336.121311558</v>
      </c>
      <c r="AJ515" s="9" t="n">
        <v>5675886.178669062</v>
      </c>
      <c r="AK515" s="9" t="n">
        <v>5675886.178669062</v>
      </c>
      <c r="AL515" s="9" t="n">
        <v>6189354.30173024</v>
      </c>
      <c r="AM515" s="9" t="n">
        <v>5817195.032392915</v>
      </c>
      <c r="AN515" s="9" t="n">
        <v>5684549.096876599</v>
      </c>
      <c r="AO515" s="9" t="n">
        <v>4313806.650078535</v>
      </c>
      <c r="AP515" s="9" t="n">
        <v>5396054.741133874</v>
      </c>
      <c r="AQ515" s="9" t="n">
        <v>5396054.741133874</v>
      </c>
      <c r="AR515" s="9" t="n">
        <v>5949944.276110545</v>
      </c>
    </row>
    <row r="516">
      <c r="A516" s="4" t="inlineStr">
        <is>
          <t>Vida</t>
        </is>
      </c>
      <c r="B516" s="5" t="n">
        <v>202412</v>
      </c>
      <c r="C516" s="5" t="n">
        <v>2024</v>
      </c>
      <c r="D516" s="6" t="n">
        <v>8205163.245232435</v>
      </c>
      <c r="E516" s="11" t="n">
        <v>0.05937631194730551</v>
      </c>
      <c r="F516" s="22">
        <f>D516*(1-E516)</f>
        <v/>
      </c>
      <c r="G516" s="11" t="n">
        <v>0.84842</v>
      </c>
      <c r="H516" s="11" t="n">
        <v>0.03585091139871407</v>
      </c>
      <c r="I516" s="11" t="n">
        <v>0.05187155707065116</v>
      </c>
      <c r="J516" s="11" t="n">
        <v>0.1201340577527101</v>
      </c>
      <c r="K516" s="6" t="n">
        <v>17925332.34512448</v>
      </c>
      <c r="L516" s="18" t="n">
        <v>21127899.32477367</v>
      </c>
      <c r="M516" s="18" t="n">
        <v>24429518.32649921</v>
      </c>
      <c r="N516" s="23">
        <f>IF(L516=0,"",M516/L516)</f>
        <v/>
      </c>
      <c r="O516" s="6" t="n">
        <v>19497786.74657256</v>
      </c>
      <c r="P516" s="22">
        <f>M516*G516*(1+H516+I516)</f>
        <v/>
      </c>
      <c r="Q516" s="6" t="n">
        <v>17344343.83538685</v>
      </c>
      <c r="R516" s="22">
        <f>P516-M516*G516*J516</f>
        <v/>
      </c>
      <c r="S516" s="22">
        <f>IF(A516=A515,O516-O515,"")</f>
        <v/>
      </c>
      <c r="T516" s="22">
        <f>IF(A516=A515,P516-P515,"")</f>
        <v/>
      </c>
      <c r="U516" s="22">
        <f>IF(A516=A515,Q516-Q515,"")</f>
        <v/>
      </c>
      <c r="V516" s="22">
        <f>IF(A516=A515,R516-R515,"")</f>
        <v/>
      </c>
      <c r="W516" s="22">
        <f>IF(S516="","",D516-S516)</f>
        <v/>
      </c>
      <c r="X516" s="22">
        <f>IF(T516="","",D516-T516)</f>
        <v/>
      </c>
      <c r="Y516" s="22">
        <f>IF(U516="","",F516-U516)</f>
        <v/>
      </c>
      <c r="Z516" s="22">
        <f>IF(V516="","",F516-V516)</f>
        <v/>
      </c>
      <c r="AA516" s="6" t="n">
        <v>27997533.64840927</v>
      </c>
      <c r="AB516" s="6" t="n">
        <v>25535707.2701977</v>
      </c>
      <c r="AC516" s="6" t="n">
        <v>10573728.27622446</v>
      </c>
      <c r="AD516" s="6" t="n">
        <v>9449468.564287283</v>
      </c>
      <c r="AE516" s="6" t="n">
        <v>9449468.564287283</v>
      </c>
      <c r="AF516" s="6" t="n">
        <v>28392053.01576066</v>
      </c>
      <c r="AG516" s="6" t="n">
        <v>4784836.42183206</v>
      </c>
      <c r="AH516" s="6" t="n">
        <v>5005904.220165228</v>
      </c>
      <c r="AI516" s="6" t="n">
        <v>3672136.020212887</v>
      </c>
      <c r="AJ516" s="6" t="n">
        <v>6381268.373600387</v>
      </c>
      <c r="AK516" s="6" t="n">
        <v>6381268.373600387</v>
      </c>
      <c r="AL516" s="6" t="n">
        <v>4809356.189056115</v>
      </c>
      <c r="AM516" s="6" t="n">
        <v>6574131.226357603</v>
      </c>
      <c r="AN516" s="6" t="n">
        <v>6597078.693309346</v>
      </c>
      <c r="AO516" s="6" t="n">
        <v>4128144.727686048</v>
      </c>
      <c r="AP516" s="6" t="n">
        <v>6679651.43543958</v>
      </c>
      <c r="AQ516" s="6" t="n">
        <v>6679651.43543958</v>
      </c>
      <c r="AR516" s="6" t="n">
        <v>6628857.357431008</v>
      </c>
    </row>
    <row r="517">
      <c r="A517" t="inlineStr">
        <is>
          <t>Vida</t>
        </is>
      </c>
      <c r="B517" s="8" t="n">
        <v>202501</v>
      </c>
      <c r="C517" s="8" t="n">
        <v>2025</v>
      </c>
      <c r="D517" s="9" t="n">
        <v>2199966.624677422</v>
      </c>
      <c r="E517" s="10" t="n">
        <v>0.3097440498373716</v>
      </c>
      <c r="F517" s="22">
        <f>D517*(1-E517)</f>
        <v/>
      </c>
      <c r="G517" s="10" t="n">
        <v>0.84842</v>
      </c>
      <c r="H517" s="10" t="n">
        <v>0.03263490487719633</v>
      </c>
      <c r="I517" s="10" t="n">
        <v>0.009203201949584511</v>
      </c>
      <c r="J517" s="10" t="n">
        <v>0.1450278501640486</v>
      </c>
      <c r="K517" s="9" t="n">
        <v>17892106.32761479</v>
      </c>
      <c r="L517" s="18" t="n">
        <v>21088737.0967384</v>
      </c>
      <c r="M517" s="18" t="n">
        <v>22291937.58504261</v>
      </c>
      <c r="N517" s="23">
        <f>IF(L517=0,"",M517/L517)</f>
        <v/>
      </c>
      <c r="O517" s="9" t="n">
        <v>18640678.18350565</v>
      </c>
      <c r="P517" s="22">
        <f>M517*G517*(1+H517+I517)</f>
        <v/>
      </c>
      <c r="Q517" s="9" t="n">
        <v>16045824.46790512</v>
      </c>
      <c r="R517" s="22">
        <f>P517-M517*G517*J517</f>
        <v/>
      </c>
      <c r="S517" s="22">
        <f>IF(A517=A516,O517-O516,"")</f>
        <v/>
      </c>
      <c r="T517" s="22">
        <f>IF(A517=A516,P517-P516,"")</f>
        <v/>
      </c>
      <c r="U517" s="22">
        <f>IF(A517=A516,Q517-Q516,"")</f>
        <v/>
      </c>
      <c r="V517" s="22">
        <f>IF(A517=A516,R517-R516,"")</f>
        <v/>
      </c>
      <c r="W517" s="22">
        <f>IF(S517="","",D517-S517)</f>
        <v/>
      </c>
      <c r="X517" s="22">
        <f>IF(T517="","",D517-T517)</f>
        <v/>
      </c>
      <c r="Y517" s="22">
        <f>IF(U517="","",F517-U517)</f>
        <v/>
      </c>
      <c r="Z517" s="22">
        <f>IF(V517="","",F517-V517)</f>
        <v/>
      </c>
      <c r="AA517" s="9" t="n">
        <v>25772934.59523592</v>
      </c>
      <c r="AB517" s="9" t="n">
        <v>23354081.10559909</v>
      </c>
      <c r="AC517" s="9" t="n">
        <v>10087054.61014665</v>
      </c>
      <c r="AD517" s="9" t="n">
        <v>9309548.842747679</v>
      </c>
      <c r="AE517" s="9" t="n">
        <v>9309548.842747679</v>
      </c>
      <c r="AF517" s="9" t="n">
        <v>26114540.27135468</v>
      </c>
      <c r="AG517" s="9" t="n">
        <v>5256247.828734068</v>
      </c>
      <c r="AH517" s="9" t="n">
        <v>5122426.436321912</v>
      </c>
      <c r="AI517" s="9" t="n">
        <v>3041772.294036227</v>
      </c>
      <c r="AJ517" s="9" t="n">
        <v>2691504.292479828</v>
      </c>
      <c r="AK517" s="9" t="n">
        <v>2691504.292479828</v>
      </c>
      <c r="AL517" s="9" t="n">
        <v>5318377.429540424</v>
      </c>
      <c r="AM517" s="9" t="n">
        <v>4892415.382699974</v>
      </c>
      <c r="AN517" s="9" t="n">
        <v>4711886.832544275</v>
      </c>
      <c r="AO517" s="9" t="n">
        <v>2523784.469662478</v>
      </c>
      <c r="AP517" s="9" t="n">
        <v>2192437.838660792</v>
      </c>
      <c r="AQ517" s="9" t="n">
        <v>2192437.838660792</v>
      </c>
      <c r="AR517" s="9" t="n">
        <v>4956366.646746837</v>
      </c>
    </row>
    <row r="518">
      <c r="A518" s="4" t="inlineStr">
        <is>
          <t>Vida</t>
        </is>
      </c>
      <c r="B518" s="5" t="n">
        <v>202502</v>
      </c>
      <c r="C518" s="5" t="n">
        <v>2025</v>
      </c>
      <c r="D518" s="6" t="n">
        <v>6129816.536605685</v>
      </c>
      <c r="E518" s="11" t="n">
        <v>0.3097440498373716</v>
      </c>
      <c r="F518" s="22">
        <f>D518*(1-E518)</f>
        <v/>
      </c>
      <c r="G518" s="11" t="n">
        <v>0.8634299999999999</v>
      </c>
      <c r="H518" s="11" t="n">
        <v>0.03272815321209058</v>
      </c>
      <c r="I518" s="11" t="n">
        <v>0.008652511771324423</v>
      </c>
      <c r="J518" s="11" t="n">
        <v>0.1260176678730305</v>
      </c>
      <c r="K518" s="6" t="n">
        <v>19555920.69568767</v>
      </c>
      <c r="L518" s="18" t="n">
        <v>22649109.59277263</v>
      </c>
      <c r="M518" s="18" t="n">
        <v>23392380.32189921</v>
      </c>
      <c r="N518" s="23">
        <f>IF(L518=0,"",M518/L518)</f>
        <v/>
      </c>
      <c r="O518" s="6" t="n">
        <v>20365157.69843816</v>
      </c>
      <c r="P518" s="22">
        <f>M518*G518*(1+H518+I518)</f>
        <v/>
      </c>
      <c r="Q518" s="6" t="n">
        <v>17900766.17925766</v>
      </c>
      <c r="R518" s="22">
        <f>P518-M518*G518*J518</f>
        <v/>
      </c>
      <c r="S518" s="22">
        <f>IF(A518=A517,O518-O517,"")</f>
        <v/>
      </c>
      <c r="T518" s="22">
        <f>IF(A518=A517,P518-P517,"")</f>
        <v/>
      </c>
      <c r="U518" s="22">
        <f>IF(A518=A517,Q518-Q517,"")</f>
        <v/>
      </c>
      <c r="V518" s="22">
        <f>IF(A518=A517,R518-R517,"")</f>
        <v/>
      </c>
      <c r="W518" s="22">
        <f>IF(S518="","",D518-S518)</f>
        <v/>
      </c>
      <c r="X518" s="22">
        <f>IF(T518="","",D518-T518)</f>
        <v/>
      </c>
      <c r="Y518" s="22">
        <f>IF(U518="","",F518-U518)</f>
        <v/>
      </c>
      <c r="Z518" s="22">
        <f>IF(V518="","",F518-V518)</f>
        <v/>
      </c>
      <c r="AA518" s="6" t="n">
        <v>27009691.07962615</v>
      </c>
      <c r="AB518" s="6" t="n">
        <v>24533168.49062737</v>
      </c>
      <c r="AC518" s="6" t="n">
        <v>8701964.221442202</v>
      </c>
      <c r="AD518" s="6" t="n">
        <v>9195252.61940359</v>
      </c>
      <c r="AE518" s="6" t="n">
        <v>9195252.61940359</v>
      </c>
      <c r="AF518" s="6" t="n">
        <v>27630240.51454271</v>
      </c>
      <c r="AG518" s="6" t="n">
        <v>4624918.049910828</v>
      </c>
      <c r="AH518" s="6" t="n">
        <v>4713642.391833431</v>
      </c>
      <c r="AI518" s="6" t="n">
        <v>7221476.266455607</v>
      </c>
      <c r="AJ518" s="6" t="n">
        <v>6090681.401389298</v>
      </c>
      <c r="AK518" s="6" t="n">
        <v>6090681.401389298</v>
      </c>
      <c r="AL518" s="6" t="n">
        <v>4368896.070414714</v>
      </c>
      <c r="AM518" s="6" t="n">
        <v>2493880.468010256</v>
      </c>
      <c r="AN518" s="6" t="n">
        <v>2610767.426846994</v>
      </c>
      <c r="AO518" s="6" t="n">
        <v>5028483.593964204</v>
      </c>
      <c r="AP518" s="6" t="n">
        <v>4047030.004842849</v>
      </c>
      <c r="AQ518" s="6" t="n">
        <v>4047030.004842849</v>
      </c>
      <c r="AR518" s="6" t="n">
        <v>2263346.171403015</v>
      </c>
    </row>
    <row r="519">
      <c r="A519" t="inlineStr">
        <is>
          <t>Vida</t>
        </is>
      </c>
      <c r="B519" s="8" t="n">
        <v>202503</v>
      </c>
      <c r="C519" s="8" t="n">
        <v>2025</v>
      </c>
      <c r="D519" s="9" t="n">
        <v>3642560.170216834</v>
      </c>
      <c r="E519" s="10" t="n">
        <v>0.3097440498373716</v>
      </c>
      <c r="F519" s="22">
        <f>D519*(1-E519)</f>
        <v/>
      </c>
      <c r="G519" s="10" t="n">
        <v>0.8799899999999999</v>
      </c>
      <c r="H519" s="10" t="n">
        <v>0.03211213773916169</v>
      </c>
      <c r="I519" s="10" t="n">
        <v>0.008306243083865959</v>
      </c>
      <c r="J519" s="10" t="n">
        <v>0.1676966110808527</v>
      </c>
      <c r="K519" s="9" t="n">
        <v>19989769.46442885</v>
      </c>
      <c r="L519" s="18" t="n">
        <v>22715905.25395612</v>
      </c>
      <c r="M519" s="18" t="n">
        <v>22541750.50277883</v>
      </c>
      <c r="N519" s="23">
        <f>IF(L519=0,"",M519/L519)</f>
        <v/>
      </c>
      <c r="O519" s="9" t="n">
        <v>20797723.57920666</v>
      </c>
      <c r="P519" s="22">
        <f>M519*G519*(1+H519+I519)</f>
        <v/>
      </c>
      <c r="Q519" s="9" t="n">
        <v>17445506.98373443</v>
      </c>
      <c r="R519" s="22">
        <f>P519-M519*G519*J519</f>
        <v/>
      </c>
      <c r="S519" s="22">
        <f>IF(A519=A518,O519-O518,"")</f>
        <v/>
      </c>
      <c r="T519" s="22">
        <f>IF(A519=A518,P519-P518,"")</f>
        <v/>
      </c>
      <c r="U519" s="22">
        <f>IF(A519=A518,Q519-Q518,"")</f>
        <v/>
      </c>
      <c r="V519" s="22">
        <f>IF(A519=A518,R519-R518,"")</f>
        <v/>
      </c>
      <c r="W519" s="22">
        <f>IF(S519="","",D519-S519)</f>
        <v/>
      </c>
      <c r="X519" s="22">
        <f>IF(T519="","",D519-T519)</f>
        <v/>
      </c>
      <c r="Y519" s="22">
        <f>IF(U519="","",F519-U519)</f>
        <v/>
      </c>
      <c r="Z519" s="22">
        <f>IF(V519="","",F519-V519)</f>
        <v/>
      </c>
      <c r="AA519" s="9" t="n">
        <v>26186647.56666751</v>
      </c>
      <c r="AB519" s="9" t="n">
        <v>23726221.05397692</v>
      </c>
      <c r="AC519" s="9" t="n">
        <v>7702668.41451483</v>
      </c>
      <c r="AD519" s="9" t="n">
        <v>9331462.974807099</v>
      </c>
      <c r="AE519" s="9" t="n">
        <v>9331462.974807099</v>
      </c>
      <c r="AF519" s="9" t="n">
        <v>26628765.28626934</v>
      </c>
      <c r="AG519" s="9" t="n">
        <v>3953186.624420648</v>
      </c>
      <c r="AH519" s="9" t="n">
        <v>3979060.901645181</v>
      </c>
      <c r="AI519" s="9" t="n">
        <v>4414774.37015174</v>
      </c>
      <c r="AJ519" s="9" t="n">
        <v>3367063.707552224</v>
      </c>
      <c r="AK519" s="9" t="n">
        <v>3367063.707552224</v>
      </c>
      <c r="AL519" s="9" t="n">
        <v>4106375.110779156</v>
      </c>
      <c r="AM519" s="9" t="n">
        <v>3750468.771850083</v>
      </c>
      <c r="AN519" s="9" t="n">
        <v>3682718.680252019</v>
      </c>
      <c r="AO519" s="9" t="n">
        <v>3476367.730655144</v>
      </c>
      <c r="AP519" s="9" t="n">
        <v>2615347.019897904</v>
      </c>
      <c r="AQ519" s="9" t="n">
        <v>2615347.019897904</v>
      </c>
      <c r="AR519" s="9" t="n">
        <v>3901380.770588703</v>
      </c>
    </row>
    <row r="520">
      <c r="A520" s="4" t="inlineStr">
        <is>
          <t>Vida</t>
        </is>
      </c>
      <c r="B520" s="5" t="n">
        <v>202504</v>
      </c>
      <c r="C520" s="5" t="n">
        <v>2025</v>
      </c>
      <c r="D520" s="6" t="n">
        <v>3085405.280810921</v>
      </c>
      <c r="E520" s="11" t="n">
        <v>0.3097440498373716</v>
      </c>
      <c r="F520" s="22">
        <f>D520*(1-E520)</f>
        <v/>
      </c>
      <c r="G520" s="11" t="n">
        <v>0.86927</v>
      </c>
      <c r="H520" s="11" t="n">
        <v>0.03250807859353839</v>
      </c>
      <c r="I520" s="11" t="n">
        <v>0.05003355782637685</v>
      </c>
      <c r="J520" s="11" t="n">
        <v>0.2101984791041329</v>
      </c>
      <c r="K520" s="6" t="n">
        <v>19601047.1825672</v>
      </c>
      <c r="L520" s="18" t="n">
        <v>22548859.59778573</v>
      </c>
      <c r="M520" s="18" t="n">
        <v>21053182.15845374</v>
      </c>
      <c r="N520" s="23">
        <f>IF(L520=0,"",M520/L520)</f>
        <v/>
      </c>
      <c r="O520" s="6" t="n">
        <v>21218949.69256026</v>
      </c>
      <c r="P520" s="22">
        <f>M520*G520*(1+H520+I520)</f>
        <v/>
      </c>
      <c r="Q520" s="6" t="n">
        <v>17098839.38593629</v>
      </c>
      <c r="R520" s="22">
        <f>P520-M520*G520*J520</f>
        <v/>
      </c>
      <c r="S520" s="22">
        <f>IF(A520=A519,O520-O519,"")</f>
        <v/>
      </c>
      <c r="T520" s="22">
        <f>IF(A520=A519,P520-P519,"")</f>
        <v/>
      </c>
      <c r="U520" s="22">
        <f>IF(A520=A519,Q520-Q519,"")</f>
        <v/>
      </c>
      <c r="V520" s="22">
        <f>IF(A520=A519,R520-R519,"")</f>
        <v/>
      </c>
      <c r="W520" s="22">
        <f>IF(S520="","",D520-S520)</f>
        <v/>
      </c>
      <c r="X520" s="22">
        <f>IF(T520="","",D520-T520)</f>
        <v/>
      </c>
      <c r="Y520" s="22">
        <f>IF(U520="","",F520-U520)</f>
        <v/>
      </c>
      <c r="Z520" s="22">
        <f>IF(V520="","",F520-V520)</f>
        <v/>
      </c>
      <c r="AA520" s="6" t="n">
        <v>24591098.5300158</v>
      </c>
      <c r="AB520" s="6" t="n">
        <v>22179278.71878491</v>
      </c>
      <c r="AC520" s="6" t="n">
        <v>6592908.542533354</v>
      </c>
      <c r="AD520" s="6" t="n">
        <v>9234885.073559267</v>
      </c>
      <c r="AE520" s="6" t="n">
        <v>9234885.073559267</v>
      </c>
      <c r="AF520" s="6" t="n">
        <v>25163770.98389754</v>
      </c>
      <c r="AG520" s="6" t="n">
        <v>3920054.605303898</v>
      </c>
      <c r="AH520" s="6" t="n">
        <v>3936965.005889378</v>
      </c>
      <c r="AI520" s="6" t="n">
        <v>3933578.02415055</v>
      </c>
      <c r="AJ520" s="6" t="n">
        <v>2938678.227664265</v>
      </c>
      <c r="AK520" s="6" t="n">
        <v>2938678.227664265</v>
      </c>
      <c r="AL520" s="6" t="n">
        <v>3785942.13209059</v>
      </c>
      <c r="AM520" s="6" t="n">
        <v>3593236.621897819</v>
      </c>
      <c r="AN520" s="6" t="n">
        <v>3532549.598400394</v>
      </c>
      <c r="AO520" s="6" t="n">
        <v>3045850.176612066</v>
      </c>
      <c r="AP520" s="6" t="n">
        <v>2293326.905528457</v>
      </c>
      <c r="AQ520" s="6" t="n">
        <v>2293326.905528457</v>
      </c>
      <c r="AR520" s="6" t="n">
        <v>3498518.514939277</v>
      </c>
    </row>
    <row r="521">
      <c r="A521" t="inlineStr">
        <is>
          <t>Vida</t>
        </is>
      </c>
      <c r="B521" s="8" t="n">
        <v>202505</v>
      </c>
      <c r="C521" s="8" t="n">
        <v>2025</v>
      </c>
      <c r="D521" s="9" t="n">
        <v>6568208.304691807</v>
      </c>
      <c r="E521" s="10" t="n">
        <v>0.3097440498373716</v>
      </c>
      <c r="F521" s="22">
        <f>D521*(1-E521)</f>
        <v/>
      </c>
      <c r="G521" s="10" t="n">
        <v>0.9268499999999998</v>
      </c>
      <c r="H521" s="10" t="n">
        <v>0.03048871418374079</v>
      </c>
      <c r="I521" s="10" t="n">
        <v>0.06704623193613991</v>
      </c>
      <c r="J521" s="10" t="n">
        <v>0.2406075354239365</v>
      </c>
      <c r="K521" s="9" t="n">
        <v>23867031.81736158</v>
      </c>
      <c r="L521" s="18" t="n">
        <v>25750695.16897187</v>
      </c>
      <c r="M521" s="18" t="n">
        <v>23150232.66487928</v>
      </c>
      <c r="N521" s="23">
        <f>IF(L521=0,"",M521/L521)</f>
        <v/>
      </c>
      <c r="O521" s="9" t="n">
        <v>26194901.47970942</v>
      </c>
      <c r="P521" s="22">
        <f>M521*G521*(1+H521+I521)</f>
        <v/>
      </c>
      <c r="Q521" s="9" t="n">
        <v>20452313.77624937</v>
      </c>
      <c r="R521" s="22">
        <f>P521-M521*G521*J521</f>
        <v/>
      </c>
      <c r="S521" s="22">
        <f>IF(A521=A520,O521-O520,"")</f>
        <v/>
      </c>
      <c r="T521" s="22">
        <f>IF(A521=A520,P521-P520,"")</f>
        <v/>
      </c>
      <c r="U521" s="22">
        <f>IF(A521=A520,Q521-Q520,"")</f>
        <v/>
      </c>
      <c r="V521" s="22">
        <f>IF(A521=A520,R521-R520,"")</f>
        <v/>
      </c>
      <c r="W521" s="22">
        <f>IF(S521="","",D521-S521)</f>
        <v/>
      </c>
      <c r="X521" s="22">
        <f>IF(T521="","",D521-T521)</f>
        <v/>
      </c>
      <c r="Y521" s="22">
        <f>IF(U521="","",F521-U521)</f>
        <v/>
      </c>
      <c r="Z521" s="22">
        <f>IF(V521="","",F521-V521)</f>
        <v/>
      </c>
      <c r="AA521" s="9" t="n">
        <v>26609341.55507548</v>
      </c>
      <c r="AB521" s="9" t="n">
        <v>24506457.89087509</v>
      </c>
      <c r="AC521" s="9" t="n">
        <v>7266229.556595645</v>
      </c>
      <c r="AD521" s="9" t="n">
        <v>10008713.06700015</v>
      </c>
      <c r="AE521" s="9" t="n">
        <v>10008713.06700015</v>
      </c>
      <c r="AF521" s="9" t="n">
        <v>27071412.89413421</v>
      </c>
      <c r="AG521" s="9" t="n">
        <v>2640587.91138775</v>
      </c>
      <c r="AH521" s="9" t="n">
        <v>2510173.861555492</v>
      </c>
      <c r="AI521" s="9" t="n">
        <v>5380699.544612862</v>
      </c>
      <c r="AJ521" s="9" t="n">
        <v>5077062.780840916</v>
      </c>
      <c r="AK521" s="9" t="n">
        <v>5077062.780840916</v>
      </c>
      <c r="AL521" s="9" t="n">
        <v>2709442.506433819</v>
      </c>
      <c r="AM521" s="9" t="n">
        <v>2046929.774153656</v>
      </c>
      <c r="AN521" s="9" t="n">
        <v>1888243.612374994</v>
      </c>
      <c r="AO521" s="9" t="n">
        <v>3762005.658322454</v>
      </c>
      <c r="AP521" s="9" t="n">
        <v>3587222.250589896</v>
      </c>
      <c r="AQ521" s="9" t="n">
        <v>3587222.250589896</v>
      </c>
      <c r="AR521" s="9" t="n">
        <v>2114191.284918631</v>
      </c>
    </row>
    <row r="522">
      <c r="A522" s="4" t="inlineStr">
        <is>
          <t>Vida</t>
        </is>
      </c>
      <c r="B522" s="5" t="n">
        <v>202506</v>
      </c>
      <c r="C522" s="5" t="n">
        <v>2025</v>
      </c>
      <c r="D522" s="6" t="n">
        <v>12244468.79417178</v>
      </c>
      <c r="E522" s="11" t="n">
        <v>0.3097440498373716</v>
      </c>
      <c r="F522" s="22">
        <f>D522*(1-E522)</f>
        <v/>
      </c>
      <c r="G522" s="11" t="n">
        <v>0.92685</v>
      </c>
      <c r="H522" s="11" t="n">
        <v>0.02981823786536095</v>
      </c>
      <c r="I522" s="11" t="n">
        <v>0.06058283405284253</v>
      </c>
      <c r="J522" s="11" t="n">
        <v>0.2418765238354676</v>
      </c>
      <c r="K522" s="6" t="n">
        <v>28861466.29701472</v>
      </c>
      <c r="L522" s="18" t="n">
        <v>31139306.57281623</v>
      </c>
      <c r="M522" s="18" t="n">
        <v>30406731.0969899</v>
      </c>
      <c r="N522" s="23">
        <f>IF(L522=0,"",M522/L522)</f>
        <v/>
      </c>
      <c r="O522" s="6" t="n">
        <v>31470573.78739595</v>
      </c>
      <c r="P522" s="22">
        <f>M522*G522*(1+H522+I522)</f>
        <v/>
      </c>
      <c r="Q522" s="6" t="n">
        <v>24489662.64667952</v>
      </c>
      <c r="R522" s="22">
        <f>P522-M522*G522*J522</f>
        <v/>
      </c>
      <c r="S522" s="22">
        <f>IF(A522=A521,O522-O521,"")</f>
        <v/>
      </c>
      <c r="T522" s="22">
        <f>IF(A522=A521,P522-P521,"")</f>
        <v/>
      </c>
      <c r="U522" s="22">
        <f>IF(A522=A521,Q522-Q521,"")</f>
        <v/>
      </c>
      <c r="V522" s="22">
        <f>IF(A522=A521,R522-R521,"")</f>
        <v/>
      </c>
      <c r="W522" s="22">
        <f>IF(S522="","",D522-S522)</f>
        <v/>
      </c>
      <c r="X522" s="22">
        <f>IF(T522="","",D522-T522)</f>
        <v/>
      </c>
      <c r="Y522" s="22">
        <f>IF(U522="","",F522-U522)</f>
        <v/>
      </c>
      <c r="Z522" s="22">
        <f>IF(V522="","",F522-V522)</f>
        <v/>
      </c>
      <c r="AA522" s="6" t="n">
        <v>34118258.47409313</v>
      </c>
      <c r="AB522" s="6" t="n">
        <v>31744658.65107681</v>
      </c>
      <c r="AC522" s="6" t="n">
        <v>7656637.564414424</v>
      </c>
      <c r="AD522" s="6" t="n">
        <v>10961205.1674476</v>
      </c>
      <c r="AE522" s="6" t="n">
        <v>10961205.1674476</v>
      </c>
      <c r="AF522" s="6" t="n">
        <v>34533574.61425397</v>
      </c>
      <c r="AG522" s="6" t="n">
        <v>4831612.062918376</v>
      </c>
      <c r="AH522" s="6" t="n">
        <v>5091303.830830012</v>
      </c>
      <c r="AI522" s="6" t="n">
        <v>11897952.07209166</v>
      </c>
      <c r="AJ522" s="6" t="n">
        <v>11348021.78445583</v>
      </c>
      <c r="AK522" s="6" t="n">
        <v>11348021.78445583</v>
      </c>
      <c r="AL522" s="6" t="n">
        <v>4881919.88469829</v>
      </c>
      <c r="AM522" s="6" t="n">
        <v>2753631.049287679</v>
      </c>
      <c r="AN522" s="6" t="n">
        <v>2950159.455567131</v>
      </c>
      <c r="AO522" s="6" t="n">
        <v>8201369.920512673</v>
      </c>
      <c r="AP522" s="6" t="n">
        <v>7780675.079615477</v>
      </c>
      <c r="AQ522" s="6" t="n">
        <v>7780675.079615477</v>
      </c>
      <c r="AR522" s="6" t="n">
        <v>2794000.609046618</v>
      </c>
    </row>
    <row r="523">
      <c r="A523" t="inlineStr">
        <is>
          <t>Vida</t>
        </is>
      </c>
      <c r="B523" s="8" t="n">
        <v>202507</v>
      </c>
      <c r="C523" s="8" t="n">
        <v>2025</v>
      </c>
      <c r="D523" s="9" t="n">
        <v>7449161.96767074</v>
      </c>
      <c r="E523" s="10" t="n">
        <v>0.3097440498373716</v>
      </c>
      <c r="F523" s="22">
        <f>D523*(1-E523)</f>
        <v/>
      </c>
      <c r="G523" s="10" t="n">
        <v>0.9942839999999999</v>
      </c>
      <c r="H523" s="10" t="n">
        <v>0.02842085617594616</v>
      </c>
      <c r="I523" s="10" t="n">
        <v>0.07052779420748471</v>
      </c>
      <c r="J523" s="10" t="n">
        <v>0.3049514605539569</v>
      </c>
      <c r="K523" s="9" t="n">
        <v>32325091.54282383</v>
      </c>
      <c r="L523" s="18" t="n">
        <v>32510923.9843182</v>
      </c>
      <c r="M523" s="18" t="n">
        <v>32651096.99821969</v>
      </c>
      <c r="N523" s="23">
        <f>IF(L523=0,"",M523/L523)</f>
        <v/>
      </c>
      <c r="O523" s="9" t="n">
        <v>35523615.72450711</v>
      </c>
      <c r="P523" s="22">
        <f>M523*G523*(1+H523+I523)</f>
        <v/>
      </c>
      <c r="Q523" s="9" t="n">
        <v>25666031.84598262</v>
      </c>
      <c r="R523" s="22">
        <f>P523-M523*G523*J523</f>
        <v/>
      </c>
      <c r="S523" s="22">
        <f>IF(A523=A522,O523-O522,"")</f>
        <v/>
      </c>
      <c r="T523" s="22">
        <f>IF(A523=A522,P523-P522,"")</f>
        <v/>
      </c>
      <c r="U523" s="22">
        <f>IF(A523=A522,Q523-Q522,"")</f>
        <v/>
      </c>
      <c r="V523" s="22">
        <f>IF(A523=A522,R523-R522,"")</f>
        <v/>
      </c>
      <c r="W523" s="22">
        <f>IF(S523="","",D523-S523)</f>
        <v/>
      </c>
      <c r="X523" s="22">
        <f>IF(T523="","",D523-T523)</f>
        <v/>
      </c>
      <c r="Y523" s="22">
        <f>IF(U523="","",F523-U523)</f>
        <v/>
      </c>
      <c r="Z523" s="22">
        <f>IF(V523="","",F523-V523)</f>
        <v/>
      </c>
      <c r="AA523" s="9" t="n">
        <v>36686006.48574819</v>
      </c>
      <c r="AB523" s="9" t="n">
        <v>34239021.15536141</v>
      </c>
      <c r="AC523" s="9" t="n">
        <v>11058256.28795615</v>
      </c>
      <c r="AD523" s="9" t="n">
        <v>13407581.32225691</v>
      </c>
      <c r="AE523" s="9" t="n">
        <v>13407581.32225691</v>
      </c>
      <c r="AF523" s="9" t="n">
        <v>36871954.48049445</v>
      </c>
      <c r="AG523" s="9" t="n">
        <v>1844787.596101121</v>
      </c>
      <c r="AH523" s="9" t="n">
        <v>2119677.13048133</v>
      </c>
      <c r="AI523" s="9" t="n">
        <v>3104260.244618993</v>
      </c>
      <c r="AJ523" s="9" t="n">
        <v>3876952.531480384</v>
      </c>
      <c r="AK523" s="9" t="n">
        <v>3876952.531480384</v>
      </c>
      <c r="AL523" s="9" t="n">
        <v>2061342.717627079</v>
      </c>
      <c r="AM523" s="9" t="n">
        <v>3012215.510900224</v>
      </c>
      <c r="AN523" s="9" t="n">
        <v>3077279.978232784</v>
      </c>
      <c r="AO523" s="9" t="n">
        <v>2433392.440235126</v>
      </c>
      <c r="AP523" s="9" t="n">
        <v>3177590.987861494</v>
      </c>
      <c r="AQ523" s="9" t="n">
        <v>3177590.987861494</v>
      </c>
      <c r="AR523" s="9" t="n">
        <v>3192044.693968436</v>
      </c>
    </row>
    <row r="524">
      <c r="A524" s="4" t="inlineStr">
        <is>
          <t>Vida</t>
        </is>
      </c>
      <c r="B524" s="5" t="n">
        <v>202508</v>
      </c>
      <c r="C524" s="5" t="n">
        <v>2025</v>
      </c>
      <c r="D524" s="6" t="n">
        <v>9114087.146541184</v>
      </c>
      <c r="E524" s="11" t="n">
        <v>0.3097440498373716</v>
      </c>
      <c r="F524" s="22">
        <f>D524*(1-E524)</f>
        <v/>
      </c>
      <c r="G524" s="11" t="n">
        <v>0.96155</v>
      </c>
      <c r="H524" s="11" t="n">
        <v>0.0293883604029974</v>
      </c>
      <c r="I524" s="11" t="n">
        <v>0.07893430321778074</v>
      </c>
      <c r="J524" s="11" t="n">
        <v>0.318210472639362</v>
      </c>
      <c r="K524" s="6" t="n">
        <v>34492225.88591485</v>
      </c>
      <c r="L524" s="18" t="n">
        <v>35871484.46353789</v>
      </c>
      <c r="M524" s="18" t="n">
        <v>35793055.51836192</v>
      </c>
      <c r="N524" s="23">
        <f>IF(L524=0,"",M524/L524)</f>
        <v/>
      </c>
      <c r="O524" s="6" t="n">
        <v>38228515.66808671</v>
      </c>
      <c r="P524" s="22">
        <f>M524*G524*(1+H524+I524)</f>
        <v/>
      </c>
      <c r="Q524" s="6" t="n">
        <v>27252728.1665461</v>
      </c>
      <c r="R524" s="22">
        <f>P524-M524*G524*J524</f>
        <v/>
      </c>
      <c r="S524" s="22">
        <f>IF(A524=A523,O524-O523,"")</f>
        <v/>
      </c>
      <c r="T524" s="22">
        <f>IF(A524=A523,P524-P523,"")</f>
        <v/>
      </c>
      <c r="U524" s="22">
        <f>IF(A524=A523,Q524-Q523,"")</f>
        <v/>
      </c>
      <c r="V524" s="22">
        <f>IF(A524=A523,R524-R523,"")</f>
        <v/>
      </c>
      <c r="W524" s="22">
        <f>IF(S524="","",D524-S524)</f>
        <v/>
      </c>
      <c r="X524" s="22">
        <f>IF(T524="","",D524-T524)</f>
        <v/>
      </c>
      <c r="Y524" s="22">
        <f>IF(U524="","",F524-U524)</f>
        <v/>
      </c>
      <c r="Z524" s="22">
        <f>IF(V524="","",F524-V524)</f>
        <v/>
      </c>
      <c r="AA524" s="6" t="n">
        <v>40301959.68573735</v>
      </c>
      <c r="AB524" s="6" t="n">
        <v>37470136.7778531</v>
      </c>
      <c r="AC524" s="6" t="n">
        <v>17344276.41480675</v>
      </c>
      <c r="AD524" s="6" t="n">
        <v>16504938.06832347</v>
      </c>
      <c r="AE524" s="6" t="n">
        <v>16504938.06832347</v>
      </c>
      <c r="AF524" s="6" t="n">
        <v>40329088.63599999</v>
      </c>
      <c r="AG524" s="6" t="n">
        <v>6249570.955276964</v>
      </c>
      <c r="AH524" s="6" t="n">
        <v>6593726.04548963</v>
      </c>
      <c r="AI524" s="6" t="n">
        <v>2713151.348367028</v>
      </c>
      <c r="AJ524" s="6" t="n">
        <v>6174670.729173476</v>
      </c>
      <c r="AK524" s="6" t="n">
        <v>6174670.729173476</v>
      </c>
      <c r="AL524" s="6" t="n">
        <v>6423838.673963441</v>
      </c>
      <c r="AM524" s="6" t="n">
        <v>4634436.301653471</v>
      </c>
      <c r="AN524" s="6" t="n">
        <v>4854069.988901</v>
      </c>
      <c r="AO524" s="6" t="n">
        <v>1844081.185386969</v>
      </c>
      <c r="AP524" s="6" t="n">
        <v>4336448.794570291</v>
      </c>
      <c r="AQ524" s="6" t="n">
        <v>4336448.794570291</v>
      </c>
      <c r="AR524" s="6" t="n">
        <v>4760623.822330341</v>
      </c>
    </row>
    <row r="525">
      <c r="A525" t="inlineStr">
        <is>
          <t>Vida</t>
        </is>
      </c>
      <c r="B525" s="8" t="n">
        <v>202509</v>
      </c>
      <c r="C525" s="8" t="n">
        <v>2025</v>
      </c>
      <c r="D525" s="9" t="n">
        <v>8681852.909431873</v>
      </c>
      <c r="E525" s="10" t="n">
        <v>0.3097440498373716</v>
      </c>
      <c r="F525" s="22">
        <f>D525*(1-E525)</f>
        <v/>
      </c>
      <c r="G525" s="10" t="n">
        <v>0.9045985649999999</v>
      </c>
      <c r="H525" s="10" t="n">
        <v>0.03123859635481465</v>
      </c>
      <c r="I525" s="10" t="n">
        <v>0.06549399576991537</v>
      </c>
      <c r="J525" s="10" t="n">
        <v>0.3619437426776231</v>
      </c>
      <c r="K525" s="9" t="n">
        <v>34899500.63227899</v>
      </c>
      <c r="L525" s="18" t="n">
        <v>38580097.2747276</v>
      </c>
      <c r="M525" s="18" t="n">
        <v>37887123.10212962</v>
      </c>
      <c r="N525" s="23">
        <f>IF(L525=0,"",M525/L525)</f>
        <v/>
      </c>
      <c r="O525" s="9" t="n">
        <v>38275419.792298</v>
      </c>
      <c r="P525" s="22">
        <f>M525*G525*(1+H525+I525)</f>
        <v/>
      </c>
      <c r="Q525" s="9" t="n">
        <v>25643763.91587086</v>
      </c>
      <c r="R525" s="22">
        <f>P525-M525*G525*J525</f>
        <v/>
      </c>
      <c r="S525" s="22">
        <f>IF(A525=A524,O525-O524,"")</f>
        <v/>
      </c>
      <c r="T525" s="22">
        <f>IF(A525=A524,P525-P524,"")</f>
        <v/>
      </c>
      <c r="U525" s="22">
        <f>IF(A525=A524,Q525-Q524,"")</f>
        <v/>
      </c>
      <c r="V525" s="22">
        <f>IF(A525=A524,R525-R524,"")</f>
        <v/>
      </c>
      <c r="W525" s="22">
        <f>IF(S525="","",D525-S525)</f>
        <v/>
      </c>
      <c r="X525" s="22">
        <f>IF(T525="","",D525-T525)</f>
        <v/>
      </c>
      <c r="Y525" s="22">
        <f>IF(U525="","",F525-U525)</f>
        <v/>
      </c>
      <c r="Z525" s="22">
        <f>IF(V525="","",F525-V525)</f>
        <v/>
      </c>
      <c r="AA525" s="9" t="n">
        <v>42802239.5292678</v>
      </c>
      <c r="AB525" s="9" t="n">
        <v>39894455.2462646</v>
      </c>
      <c r="AC525" s="9" t="n">
        <v>20090066.94308159</v>
      </c>
      <c r="AD525" s="9" t="n">
        <v>17554058.76321581</v>
      </c>
      <c r="AE525" s="9" t="n">
        <v>17554058.76321581</v>
      </c>
      <c r="AF525" s="9" t="n">
        <v>42915071.28928386</v>
      </c>
      <c r="AG525" s="9" t="n">
        <v>9167741.301513528</v>
      </c>
      <c r="AH525" s="9" t="n">
        <v>9034666.667316785</v>
      </c>
      <c r="AI525" s="9" t="n">
        <v>7234370.852842478</v>
      </c>
      <c r="AJ525" s="9" t="n">
        <v>8855862.186083792</v>
      </c>
      <c r="AK525" s="9" t="n">
        <v>8855862.186083792</v>
      </c>
      <c r="AL525" s="9" t="n">
        <v>9084712.134507751</v>
      </c>
      <c r="AM525" s="9" t="n">
        <v>8161229.098122085</v>
      </c>
      <c r="AN525" s="9" t="n">
        <v>7942573.597691042</v>
      </c>
      <c r="AO525" s="9" t="n">
        <v>5816063.704695469</v>
      </c>
      <c r="AP525" s="9" t="n">
        <v>6864047.773246866</v>
      </c>
      <c r="AQ525" s="9" t="n">
        <v>6864047.773246866</v>
      </c>
      <c r="AR525" s="9" t="n">
        <v>8106841.817170454</v>
      </c>
    </row>
    <row r="526">
      <c r="A526" s="4" t="inlineStr">
        <is>
          <t>Vida</t>
        </is>
      </c>
      <c r="B526" s="5" t="n">
        <v>202510</v>
      </c>
      <c r="C526" s="5" t="n">
        <v>2025</v>
      </c>
      <c r="D526" s="6" t="n">
        <v>8318708.965550916</v>
      </c>
      <c r="E526" s="11" t="n">
        <v>0.3097440498373716</v>
      </c>
      <c r="F526" s="22">
        <f>D526*(1-E526)</f>
        <v/>
      </c>
      <c r="G526" s="11" t="n">
        <v>0.920148</v>
      </c>
      <c r="H526" s="11" t="n">
        <v>0.0307106997325863</v>
      </c>
      <c r="I526" s="11" t="n">
        <v>0.06106340990908929</v>
      </c>
      <c r="J526" s="11" t="n">
        <v>0.3854303655751891</v>
      </c>
      <c r="K526" s="6" t="n">
        <v>36571967.76572155</v>
      </c>
      <c r="L526" s="18" t="n">
        <v>39745744.9950677</v>
      </c>
      <c r="M526" s="18" t="n">
        <v>39526164.76277028</v>
      </c>
      <c r="N526" s="23">
        <f>IF(L526=0,"",M526/L526)</f>
        <v/>
      </c>
      <c r="O526" s="6" t="n">
        <v>39928327.54526471</v>
      </c>
      <c r="P526" s="22">
        <f>M526*G526*(1+H526+I526)</f>
        <v/>
      </c>
      <c r="Q526" s="6" t="n">
        <v>25832380.63951862</v>
      </c>
      <c r="R526" s="22">
        <f>P526-M526*G526*J526</f>
        <v/>
      </c>
      <c r="S526" s="22">
        <f>IF(A526=A525,O526-O525,"")</f>
        <v/>
      </c>
      <c r="T526" s="22">
        <f>IF(A526=A525,P526-P525,"")</f>
        <v/>
      </c>
      <c r="U526" s="22">
        <f>IF(A526=A525,Q526-Q525,"")</f>
        <v/>
      </c>
      <c r="V526" s="22">
        <f>IF(A526=A525,R526-R525,"")</f>
        <v/>
      </c>
      <c r="W526" s="22">
        <f>IF(S526="","",D526-S526)</f>
        <v/>
      </c>
      <c r="X526" s="22">
        <f>IF(T526="","",D526-T526)</f>
        <v/>
      </c>
      <c r="Y526" s="22">
        <f>IF(U526="","",F526-U526)</f>
        <v/>
      </c>
      <c r="Z526" s="22">
        <f>IF(V526="","",F526-V526)</f>
        <v/>
      </c>
      <c r="AA526" s="6" t="n">
        <v>44818397.30522163</v>
      </c>
      <c r="AB526" s="6" t="n">
        <v>41631665.84340139</v>
      </c>
      <c r="AC526" s="6" t="n">
        <v>23914151.01913367</v>
      </c>
      <c r="AD526" s="6" t="n">
        <v>18881611.97368729</v>
      </c>
      <c r="AE526" s="6" t="n">
        <v>18881611.97368729</v>
      </c>
      <c r="AF526" s="6" t="n">
        <v>44653941.91695918</v>
      </c>
      <c r="AG526" s="6" t="n">
        <v>5758645.19077141</v>
      </c>
      <c r="AH526" s="6" t="n">
        <v>6075195.020486714</v>
      </c>
      <c r="AI526" s="6" t="n">
        <v>4226112.234322531</v>
      </c>
      <c r="AJ526" s="6" t="n">
        <v>6765788.937565094</v>
      </c>
      <c r="AK526" s="6" t="n">
        <v>6765788.937565094</v>
      </c>
      <c r="AL526" s="6" t="n">
        <v>6035796.745216334</v>
      </c>
      <c r="AM526" s="6" t="n">
        <v>5062909.27562183</v>
      </c>
      <c r="AN526" s="6" t="n">
        <v>5201323.96915803</v>
      </c>
      <c r="AO526" s="6" t="n">
        <v>3552901.589629293</v>
      </c>
      <c r="AP526" s="6" t="n">
        <v>5138097.373562443</v>
      </c>
      <c r="AQ526" s="6" t="n">
        <v>5138097.373562443</v>
      </c>
      <c r="AR526" s="6" t="n">
        <v>5244793.562332637</v>
      </c>
    </row>
    <row r="527">
      <c r="A527" t="inlineStr">
        <is>
          <t>Vida</t>
        </is>
      </c>
      <c r="B527" s="8" t="n">
        <v>202511</v>
      </c>
      <c r="C527" s="8" t="n">
        <v>2025</v>
      </c>
      <c r="D527" s="9" t="n">
        <v>9531828.401526719</v>
      </c>
      <c r="E527" s="10" t="n">
        <v>0.3097440498373716</v>
      </c>
      <c r="F527" s="22">
        <f>D527*(1-E527)</f>
        <v/>
      </c>
      <c r="G527" s="10" t="n">
        <v>0.9180450999999999</v>
      </c>
      <c r="H527" s="10" t="n">
        <v>0.03078104622521072</v>
      </c>
      <c r="I527" s="10" t="n">
        <v>0.04860558525907389</v>
      </c>
      <c r="J527" s="10" t="n">
        <v>0.376402640142204</v>
      </c>
      <c r="K527" s="9" t="n">
        <v>39040809.88559903</v>
      </c>
      <c r="L527" s="18" t="n">
        <v>42526026.10220242</v>
      </c>
      <c r="M527" s="18" t="n">
        <v>42013569.69348893</v>
      </c>
      <c r="N527" s="23">
        <f>IF(L527=0,"",M527/L527)</f>
        <v/>
      </c>
      <c r="O527" s="9" t="n">
        <v>42140128.27283509</v>
      </c>
      <c r="P527" s="22">
        <f>M527*G527*(1+H527+I527)</f>
        <v/>
      </c>
      <c r="Q527" s="9" t="n">
        <v>27445064.35860576</v>
      </c>
      <c r="R527" s="22">
        <f>P527-M527*G527*J527</f>
        <v/>
      </c>
      <c r="S527" s="22">
        <f>IF(A527=A526,O527-O526,"")</f>
        <v/>
      </c>
      <c r="T527" s="22">
        <f>IF(A527=A526,P527-P526,"")</f>
        <v/>
      </c>
      <c r="U527" s="22">
        <f>IF(A527=A526,Q527-Q526,"")</f>
        <v/>
      </c>
      <c r="V527" s="22">
        <f>IF(A527=A526,R527-R526,"")</f>
        <v/>
      </c>
      <c r="W527" s="22">
        <f>IF(S527="","",D527-S527)</f>
        <v/>
      </c>
      <c r="X527" s="22">
        <f>IF(T527="","",D527-T527)</f>
        <v/>
      </c>
      <c r="Y527" s="22">
        <f>IF(U527="","",F527-U527)</f>
        <v/>
      </c>
      <c r="Z527" s="22">
        <f>IF(V527="","",F527-V527)</f>
        <v/>
      </c>
      <c r="AA527" s="9" t="n">
        <v>47558437.93240548</v>
      </c>
      <c r="AB527" s="9" t="n">
        <v>44089171.3976507</v>
      </c>
      <c r="AC527" s="9" t="n">
        <v>29429268.24321355</v>
      </c>
      <c r="AD527" s="9" t="n">
        <v>19339828.08806501</v>
      </c>
      <c r="AE527" s="9" t="n">
        <v>19339828.08806501</v>
      </c>
      <c r="AF527" s="9" t="n">
        <v>47196313.60094942</v>
      </c>
      <c r="AG527" s="9" t="n">
        <v>7429236.796079315</v>
      </c>
      <c r="AH527" s="9" t="n">
        <v>7665651.294184722</v>
      </c>
      <c r="AI527" s="9" t="n">
        <v>4393619.845208056</v>
      </c>
      <c r="AJ527" s="9" t="n">
        <v>9335847.126411788</v>
      </c>
      <c r="AK527" s="9" t="n">
        <v>9335847.126411788</v>
      </c>
      <c r="AL527" s="9" t="n">
        <v>7622864.212001026</v>
      </c>
      <c r="AM527" s="9" t="n">
        <v>5015868.468750752</v>
      </c>
      <c r="AN527" s="9" t="n">
        <v>5183645.768662277</v>
      </c>
      <c r="AO527" s="9" t="n">
        <v>3129386.788803519</v>
      </c>
      <c r="AP527" s="9" t="n">
        <v>6369966.588478698</v>
      </c>
      <c r="AQ527" s="9" t="n">
        <v>6369966.588478698</v>
      </c>
      <c r="AR527" s="9" t="n">
        <v>5142686.74990785</v>
      </c>
    </row>
    <row r="528">
      <c r="A528" s="4" t="inlineStr">
        <is>
          <t>Vida</t>
        </is>
      </c>
      <c r="B528" s="5" t="n">
        <v>202512</v>
      </c>
      <c r="C528" s="5" t="n">
        <v>2025</v>
      </c>
      <c r="D528" s="6" t="n">
        <v>7639564.294373679</v>
      </c>
      <c r="E528" s="11" t="n">
        <v>0.3097440498373716</v>
      </c>
      <c r="F528" s="22">
        <f>D528*(1-E528)</f>
        <v/>
      </c>
      <c r="G528" s="11" t="n">
        <v>0.902348</v>
      </c>
      <c r="H528" s="11" t="n">
        <v>0.03131652067757872</v>
      </c>
      <c r="I528" s="11" t="n">
        <v>0.05101236347538178</v>
      </c>
      <c r="J528" s="11" t="n">
        <v>0.4011006813375763</v>
      </c>
      <c r="K528" s="6" t="n">
        <v>39068329.1303865</v>
      </c>
      <c r="L528" s="18" t="n">
        <v>43296299.35500106</v>
      </c>
      <c r="M528" s="18" t="n">
        <v>42522262.33590709</v>
      </c>
      <c r="N528" s="23">
        <f>IF(L528=0,"",M528/L528)</f>
        <v/>
      </c>
      <c r="O528" s="6" t="n">
        <v>42284781.07341182</v>
      </c>
      <c r="P528" s="22">
        <f>M528*G528*(1+H528+I528)</f>
        <v/>
      </c>
      <c r="Q528" s="6" t="n">
        <v>26614447.64049312</v>
      </c>
      <c r="R528" s="22">
        <f>P528-M528*G528*J528</f>
        <v/>
      </c>
      <c r="S528" s="22">
        <f>IF(A528=A527,O528-O527,"")</f>
        <v/>
      </c>
      <c r="T528" s="22">
        <f>IF(A528=A527,P528-P527,"")</f>
        <v/>
      </c>
      <c r="U528" s="22">
        <f>IF(A528=A527,Q528-Q527,"")</f>
        <v/>
      </c>
      <c r="V528" s="22">
        <f>IF(A528=A527,R528-R527,"")</f>
        <v/>
      </c>
      <c r="W528" s="22">
        <f>IF(S528="","",D528-S528)</f>
        <v/>
      </c>
      <c r="X528" s="22">
        <f>IF(T528="","",D528-T528)</f>
        <v/>
      </c>
      <c r="Y528" s="22">
        <f>IF(U528="","",F528-U528)</f>
        <v/>
      </c>
      <c r="Z528" s="22">
        <f>IF(V528="","",F528-V528)</f>
        <v/>
      </c>
      <c r="AA528" s="6" t="n">
        <v>48211992.55147117</v>
      </c>
      <c r="AB528" s="6" t="n">
        <v>44883049.6772249</v>
      </c>
      <c r="AC528" s="6" t="n">
        <v>30982074.31933702</v>
      </c>
      <c r="AD528" s="6" t="n">
        <v>18100743.26126122</v>
      </c>
      <c r="AE528" s="6" t="n">
        <v>18100743.26126122</v>
      </c>
      <c r="AF528" s="6" t="n">
        <v>47796288.35632641</v>
      </c>
      <c r="AG528" s="6" t="n">
        <v>7680807.896063301</v>
      </c>
      <c r="AH528" s="6" t="n">
        <v>7494192.639392721</v>
      </c>
      <c r="AI528" s="6" t="n">
        <v>6543530.28818909</v>
      </c>
      <c r="AJ528" s="6" t="n">
        <v>9126034.103613995</v>
      </c>
      <c r="AK528" s="6" t="n">
        <v>9126034.103613995</v>
      </c>
      <c r="AL528" s="6" t="n">
        <v>7727961.847119327</v>
      </c>
      <c r="AM528" s="6" t="n">
        <v>6329943.401652492</v>
      </c>
      <c r="AN528" s="6" t="n">
        <v>6137296.876682914</v>
      </c>
      <c r="AO528" s="6" t="n">
        <v>5221218.147085632</v>
      </c>
      <c r="AP528" s="6" t="n">
        <v>6628003.379415079</v>
      </c>
      <c r="AQ528" s="6" t="n">
        <v>6628003.379415079</v>
      </c>
      <c r="AR528" s="6" t="n">
        <v>6351774.264958675</v>
      </c>
    </row>
    <row r="529">
      <c r="A529" t="inlineStr">
        <is>
          <t>Vida</t>
        </is>
      </c>
      <c r="B529" s="8" t="n">
        <v>202601</v>
      </c>
      <c r="C529" s="8" t="n">
        <v>2026</v>
      </c>
      <c r="D529" s="9" t="n">
        <v>6306697.623513654</v>
      </c>
      <c r="E529" s="10" t="n">
        <v>0.3097440498373716</v>
      </c>
      <c r="F529" s="22">
        <f>D529*(1-E529)</f>
        <v/>
      </c>
      <c r="G529" s="10" t="n">
        <v>0.9177809999999998</v>
      </c>
      <c r="H529" s="10" t="n">
        <v>0.03078990772143665</v>
      </c>
      <c r="I529" s="10" t="n">
        <v>0.05527375002143111</v>
      </c>
      <c r="J529" s="10" t="n">
        <v>0.3590712323775552</v>
      </c>
      <c r="K529" s="9" t="n">
        <v>39695964.10009127</v>
      </c>
      <c r="L529" s="18" t="n">
        <v>43252109.27235503</v>
      </c>
      <c r="M529" s="18" t="n">
        <v>41528812.52976398</v>
      </c>
      <c r="N529" s="23">
        <f>IF(L529=0,"",M529/L529)</f>
        <v/>
      </c>
      <c r="O529" s="9" t="n">
        <v>43112343.96817469</v>
      </c>
      <c r="P529" s="22">
        <f>M529*G529*(1+H529+I529)</f>
        <v/>
      </c>
      <c r="Q529" s="9" t="n">
        <v>28858665.21833973</v>
      </c>
      <c r="R529" s="22">
        <f>P529-M529*G529*J529</f>
        <v/>
      </c>
      <c r="S529" s="22">
        <f>IF(A529=A528,O529-O528,"")</f>
        <v/>
      </c>
      <c r="T529" s="22">
        <f>IF(A529=A528,P529-P528,"")</f>
        <v/>
      </c>
      <c r="U529" s="22">
        <f>IF(A529=A528,Q529-Q528,"")</f>
        <v/>
      </c>
      <c r="V529" s="22">
        <f>IF(A529=A528,R529-R528,"")</f>
        <v/>
      </c>
      <c r="W529" s="22">
        <f>IF(S529="","",D529-S529)</f>
        <v/>
      </c>
      <c r="X529" s="22">
        <f>IF(T529="","",D529-T529)</f>
        <v/>
      </c>
      <c r="Y529" s="22">
        <f>IF(U529="","",F529-U529)</f>
        <v/>
      </c>
      <c r="Z529" s="22">
        <f>IF(V529="","",F529-V529)</f>
        <v/>
      </c>
      <c r="AA529" s="9" t="n">
        <v>47384848.96093193</v>
      </c>
      <c r="AB529" s="9" t="n">
        <v>43846889.52616672</v>
      </c>
      <c r="AC529" s="9" t="n">
        <v>28238286.32641833</v>
      </c>
      <c r="AD529" s="9" t="n">
        <v>17930489.03123967</v>
      </c>
      <c r="AE529" s="9" t="n">
        <v>17930489.03123967</v>
      </c>
      <c r="AF529" s="9" t="n">
        <v>46809783.32899124</v>
      </c>
      <c r="AG529" s="9" t="n">
        <v>6160598.967564553</v>
      </c>
      <c r="AH529" s="9" t="n">
        <v>6435956.010628872</v>
      </c>
      <c r="AI529" s="9" t="n">
        <v>8417910.315924734</v>
      </c>
      <c r="AJ529" s="9" t="n">
        <v>6112010.454528715</v>
      </c>
      <c r="AK529" s="9" t="n">
        <v>6112010.454528715</v>
      </c>
      <c r="AL529" s="9" t="n">
        <v>6327814.102204934</v>
      </c>
      <c r="AM529" s="9" t="n">
        <v>2373272.814955452</v>
      </c>
      <c r="AN529" s="9" t="n">
        <v>2687552.007994818</v>
      </c>
      <c r="AO529" s="9" t="n">
        <v>4556923.906161686</v>
      </c>
      <c r="AP529" s="9" t="n">
        <v>3516273.316380551</v>
      </c>
      <c r="AQ529" s="9" t="n">
        <v>3516273.316380551</v>
      </c>
      <c r="AR529" s="9" t="n">
        <v>2501432.602748567</v>
      </c>
    </row>
    <row r="530">
      <c r="A530" s="4" t="inlineStr">
        <is>
          <t>Vida</t>
        </is>
      </c>
      <c r="B530" s="5" t="n">
        <v>202602</v>
      </c>
      <c r="C530" s="5" t="n">
        <v>2026</v>
      </c>
      <c r="D530" s="6" t="n">
        <v>12422926.79742981</v>
      </c>
      <c r="E530" s="11" t="n">
        <v>0.3097440498373716</v>
      </c>
      <c r="F530" s="22">
        <f>D530*(1-E530)</f>
        <v/>
      </c>
      <c r="G530" s="11" t="n">
        <v>0.9263219999999999</v>
      </c>
      <c r="H530" s="11" t="n">
        <v>0.03078990772143665</v>
      </c>
      <c r="I530" s="11" t="n">
        <v>0.05527375002143111</v>
      </c>
      <c r="J530" s="11" t="n">
        <v>0.3590712323775552</v>
      </c>
      <c r="K530" s="6" t="n">
        <v>40129740.60864216</v>
      </c>
      <c r="L530" s="18" t="n">
        <v>43321588.61458776</v>
      </c>
      <c r="M530" s="18" t="n">
        <v>45844646.07488638</v>
      </c>
      <c r="N530" s="23">
        <f>IF(L530=0,"",M530/L530)</f>
        <v/>
      </c>
      <c r="O530" s="6" t="n">
        <v>43583452.8696944</v>
      </c>
      <c r="P530" s="22">
        <f>M530*G530*(1+H530+I530)</f>
        <v/>
      </c>
      <c r="Q530" s="6" t="n">
        <v>29174017.45435764</v>
      </c>
      <c r="R530" s="22">
        <f>P530-M530*G530*J530</f>
        <v/>
      </c>
      <c r="S530" s="22">
        <f>IF(A530=A529,O530-O529,"")</f>
        <v/>
      </c>
      <c r="T530" s="22">
        <f>IF(A530=A529,P530-P529,"")</f>
        <v/>
      </c>
      <c r="U530" s="22">
        <f>IF(A530=A529,Q530-Q529,"")</f>
        <v/>
      </c>
      <c r="V530" s="22">
        <f>IF(A530=A529,R530-R529,"")</f>
        <v/>
      </c>
      <c r="W530" s="22">
        <f>IF(S530="","",D530-S530)</f>
        <v/>
      </c>
      <c r="X530" s="22">
        <f>IF(T530="","",D530-T530)</f>
        <v/>
      </c>
      <c r="Y530" s="22">
        <f>IF(U530="","",F530-U530)</f>
        <v/>
      </c>
      <c r="Z530" s="22">
        <f>IF(V530="","",F530-V530)</f>
        <v/>
      </c>
      <c r="AA530" s="6" t="n">
        <v>52211165.27359582</v>
      </c>
      <c r="AB530" s="6" t="n">
        <v>48683958.78232452</v>
      </c>
      <c r="AC530" s="6" t="n">
        <v>24583934.37529724</v>
      </c>
      <c r="AD530" s="6" t="n">
        <v>18181511.18771563</v>
      </c>
      <c r="AE530" s="6" t="n">
        <v>18181511.18771563</v>
      </c>
      <c r="AF530" s="6" t="n">
        <v>51448702.16325171</v>
      </c>
      <c r="AG530" s="6" t="n">
        <v>7127891.883967256</v>
      </c>
      <c r="AH530" s="6" t="n">
        <v>7149892.300906001</v>
      </c>
      <c r="AI530" s="6" t="n">
        <v>15837427.74984145</v>
      </c>
      <c r="AJ530" s="6" t="n">
        <v>12004062.83145111</v>
      </c>
      <c r="AK530" s="6" t="n">
        <v>12004062.83145111</v>
      </c>
      <c r="AL530" s="6" t="n">
        <v>7321756.465215875</v>
      </c>
      <c r="AM530" s="6" t="n">
        <v>5030593.389658799</v>
      </c>
      <c r="AN530" s="6" t="n">
        <v>5045320.092237717</v>
      </c>
      <c r="AO530" s="6" t="n">
        <v>10860607.64139904</v>
      </c>
      <c r="AP530" s="6" t="n">
        <v>8294618.77006284</v>
      </c>
      <c r="AQ530" s="6" t="n">
        <v>8294618.77006284</v>
      </c>
      <c r="AR530" s="6" t="n">
        <v>5160363.022506362</v>
      </c>
    </row>
    <row r="531">
      <c r="A531" t="inlineStr">
        <is>
          <t>Vida</t>
        </is>
      </c>
      <c r="B531" s="8" t="n">
        <v>202603</v>
      </c>
      <c r="C531" s="8" t="n">
        <v>2026</v>
      </c>
      <c r="D531" s="9" t="n">
        <v>14227731.29943174</v>
      </c>
      <c r="E531" s="10" t="n">
        <v>0.3097440498373716</v>
      </c>
      <c r="F531" s="22">
        <f>D531*(1-E531)</f>
        <v/>
      </c>
      <c r="G531" s="10" t="n">
        <v>0.865928</v>
      </c>
      <c r="H531" s="10" t="n">
        <v>0.0303025967406286</v>
      </c>
      <c r="I531" s="10" t="n">
        <v>0.05278991020829278</v>
      </c>
      <c r="J531" s="10" t="n">
        <v>0.4369771927382324</v>
      </c>
      <c r="K531" s="9" t="n">
        <v>46726219.01736103</v>
      </c>
      <c r="L531" s="18" t="n">
        <v>53960859.35246467</v>
      </c>
      <c r="M531" s="18" t="n">
        <v>51021981.46450371</v>
      </c>
      <c r="N531" s="23">
        <f>IF(L531=0,"",M531/L531)</f>
        <v/>
      </c>
      <c r="O531" s="9" t="n">
        <v>50608817.69575792</v>
      </c>
      <c r="P531" s="22">
        <f>M531*G531*(1+H531+I531)</f>
        <v/>
      </c>
      <c r="Q531" s="9" t="n">
        <v>30190525.68227969</v>
      </c>
      <c r="R531" s="22">
        <f>P531-M531*G531*J531</f>
        <v/>
      </c>
      <c r="S531" s="22">
        <f>IF(A531=A530,O531-O530,"")</f>
        <v/>
      </c>
      <c r="T531" s="22">
        <f>IF(A531=A530,P531-P530,"")</f>
        <v/>
      </c>
      <c r="U531" s="22">
        <f>IF(A531=A530,Q531-Q530,"")</f>
        <v/>
      </c>
      <c r="V531" s="22">
        <f>IF(A531=A530,R531-R530,"")</f>
        <v/>
      </c>
      <c r="W531" s="22">
        <f>IF(S531="","",D531-S531)</f>
        <v/>
      </c>
      <c r="X531" s="22">
        <f>IF(T531="","",D531-T531)</f>
        <v/>
      </c>
      <c r="Y531" s="22">
        <f>IF(U531="","",F531-U531)</f>
        <v/>
      </c>
      <c r="Z531" s="22">
        <f>IF(V531="","",F531-V531)</f>
        <v/>
      </c>
      <c r="AA531" s="9" t="n">
        <v>58140072.49439526</v>
      </c>
      <c r="AB531" s="9" t="n">
        <v>54212622.8939435</v>
      </c>
      <c r="AC531" s="9" t="n">
        <v>20951513.36538198</v>
      </c>
      <c r="AD531" s="9" t="n">
        <v>17399548.37188731</v>
      </c>
      <c r="AE531" s="9" t="n">
        <v>17399548.37188731</v>
      </c>
      <c r="AF531" s="9" t="n">
        <v>57104917.47649876</v>
      </c>
      <c r="AG531" s="9" t="n">
        <v>12226076.63899464</v>
      </c>
      <c r="AH531" s="9" t="n">
        <v>12361026.32064704</v>
      </c>
      <c r="AI531" s="9" t="n">
        <v>19310259.14445864</v>
      </c>
      <c r="AJ531" s="9" t="n">
        <v>16200452.87231912</v>
      </c>
      <c r="AK531" s="9" t="n">
        <v>16200452.87231912</v>
      </c>
      <c r="AL531" s="9" t="n">
        <v>12429856.01977</v>
      </c>
      <c r="AM531" s="9" t="n">
        <v>12452542.15717927</v>
      </c>
      <c r="AN531" s="9" t="n">
        <v>12274584.93571392</v>
      </c>
      <c r="AO531" s="9" t="n">
        <v>14654164.01058529</v>
      </c>
      <c r="AP531" s="9" t="n">
        <v>12329872.62625314</v>
      </c>
      <c r="AQ531" s="9" t="n">
        <v>12329872.62625314</v>
      </c>
      <c r="AR531" s="9" t="n">
        <v>12518235.52781898</v>
      </c>
    </row>
    <row r="532">
      <c r="A532" s="4" t="inlineStr">
        <is>
          <t>Vida</t>
        </is>
      </c>
      <c r="B532" s="5" t="n">
        <v>202604</v>
      </c>
      <c r="C532" s="5" t="n">
        <v>2026</v>
      </c>
      <c r="D532" s="6" t="n">
        <v>20704856.03343187</v>
      </c>
      <c r="E532" s="11" t="n">
        <v>0.3097440498373716</v>
      </c>
      <c r="F532" s="22">
        <f>D532*(1-E532)</f>
        <v/>
      </c>
      <c r="G532" s="11" t="n">
        <v>0.89789</v>
      </c>
      <c r="H532" s="11" t="n">
        <v>0.02922393156283958</v>
      </c>
      <c r="I532" s="11" t="n">
        <v>0.03982579695753775</v>
      </c>
      <c r="J532" s="11" t="n">
        <v>0.5523135626875598</v>
      </c>
      <c r="K532" s="6" t="n">
        <v>58662206.61007052</v>
      </c>
      <c r="L532" s="18" t="n">
        <v>65333400.0936312</v>
      </c>
      <c r="M532" s="18" t="n">
        <v>60006208.92450727</v>
      </c>
      <c r="N532" s="23">
        <f>IF(L532=0,"",M532/L532)</f>
        <v/>
      </c>
      <c r="O532" s="6" t="n">
        <v>62712816.05090217</v>
      </c>
      <c r="P532" s="22">
        <f>M532*G532*(1+H532+I532)</f>
        <v/>
      </c>
      <c r="Q532" s="6" t="n">
        <v>30312883.7229804</v>
      </c>
      <c r="R532" s="22">
        <f>P532-M532*G532*J532</f>
        <v/>
      </c>
      <c r="S532" s="22">
        <f>IF(A532=A531,O532-O531,"")</f>
        <v/>
      </c>
      <c r="T532" s="22">
        <f>IF(A532=A531,P532-P531,"")</f>
        <v/>
      </c>
      <c r="U532" s="22">
        <f>IF(A532=A531,Q532-Q531,"")</f>
        <v/>
      </c>
      <c r="V532" s="22">
        <f>IF(A532=A531,R532-R531,"")</f>
        <v/>
      </c>
      <c r="W532" s="22">
        <f>IF(S532="","",D532-S532)</f>
        <v/>
      </c>
      <c r="X532" s="22">
        <f>IF(T532="","",D532-T532)</f>
        <v/>
      </c>
      <c r="Y532" s="22">
        <f>IF(U532="","",F532-U532)</f>
        <v/>
      </c>
      <c r="Z532" s="22">
        <f>IF(V532="","",F532-V532)</f>
        <v/>
      </c>
      <c r="AA532" s="6" t="n">
        <v>68179070.6050908</v>
      </c>
      <c r="AB532" s="6" t="n">
        <v>64253894.79200737</v>
      </c>
      <c r="AC532" s="6" t="n">
        <v>31124342.73923204</v>
      </c>
      <c r="AD532" s="6" t="n">
        <v>28912019.78188713</v>
      </c>
      <c r="AE532" s="6" t="n">
        <v>28912019.78188713</v>
      </c>
      <c r="AF532" s="6" t="n">
        <v>67896509.35132328</v>
      </c>
      <c r="AG532" s="6" t="n">
        <v>9788930.641850069</v>
      </c>
      <c r="AH532" s="6" t="n">
        <v>9873187.030926257</v>
      </c>
      <c r="AI532" s="6" t="n">
        <v>10478947.95968784</v>
      </c>
      <c r="AJ532" s="6" t="n">
        <v>9271215.18125047</v>
      </c>
      <c r="AK532" s="6" t="n">
        <v>9271215.18125047</v>
      </c>
      <c r="AL532" s="6" t="n">
        <v>9089306.777276389</v>
      </c>
      <c r="AM532" s="6" t="n">
        <v>15187205.13372353</v>
      </c>
      <c r="AN532" s="6" t="n">
        <v>14811011.54025151</v>
      </c>
      <c r="AO532" s="6" t="n">
        <v>11572967.60405589</v>
      </c>
      <c r="AP532" s="6" t="n">
        <v>10612137.4768752</v>
      </c>
      <c r="AQ532" s="6" t="n">
        <v>10612137.4768752</v>
      </c>
      <c r="AR532" s="6" t="n">
        <v>14739147.51079611</v>
      </c>
    </row>
    <row r="533">
      <c r="A533" t="inlineStr">
        <is>
          <t>Vida</t>
        </is>
      </c>
      <c r="B533" s="8" t="n">
        <v>202605</v>
      </c>
      <c r="C533" s="8" t="n">
        <v>2026</v>
      </c>
      <c r="D533" s="9" t="n">
        <v>20487350.93311256</v>
      </c>
      <c r="E533" s="10" t="n">
        <v>0.3097440498373716</v>
      </c>
      <c r="F533" s="22">
        <f>D533*(1-E533)</f>
        <v/>
      </c>
      <c r="G533" s="10" t="n">
        <v>0.9012949999999998</v>
      </c>
      <c r="H533" s="10" t="n">
        <v>0.02911354000551717</v>
      </c>
      <c r="I533" s="10" t="n">
        <v>0.03978018967703835</v>
      </c>
      <c r="J533" s="10" t="n">
        <v>0.5665512357538156</v>
      </c>
      <c r="K533" s="9" t="n">
        <v>67933429.43062611</v>
      </c>
      <c r="L533" s="18" t="n">
        <v>75373134.69022475</v>
      </c>
      <c r="M533" s="18" t="n">
        <v>68152210.96576576</v>
      </c>
      <c r="N533" s="23">
        <f>IF(L533=0,"",M533/L533)</f>
        <v/>
      </c>
      <c r="O533" s="9" t="n">
        <v>72613616.75422864</v>
      </c>
      <c r="P533" s="22">
        <f>M533*G533*(1+H533+I533)</f>
        <v/>
      </c>
      <c r="Q533" s="9" t="n">
        <v>34125848.36131279</v>
      </c>
      <c r="R533" s="22">
        <f>P533-M533*G533*J533</f>
        <v/>
      </c>
      <c r="S533" s="22">
        <f>IF(A533=A532,O533-O532,"")</f>
        <v/>
      </c>
      <c r="T533" s="22">
        <f>IF(A533=A532,P533-P532,"")</f>
        <v/>
      </c>
      <c r="U533" s="22">
        <f>IF(A533=A532,Q533-Q532,"")</f>
        <v/>
      </c>
      <c r="V533" s="22">
        <f>IF(A533=A532,R533-R532,"")</f>
        <v/>
      </c>
      <c r="W533" s="22">
        <f>IF(S533="","",D533-S533)</f>
        <v/>
      </c>
      <c r="X533" s="22">
        <f>IF(T533="","",D533-T533)</f>
        <v/>
      </c>
      <c r="Y533" s="22">
        <f>IF(U533="","",F533-U533)</f>
        <v/>
      </c>
      <c r="Z533" s="22">
        <f>IF(V533="","",F533-V533)</f>
        <v/>
      </c>
      <c r="AA533" s="9" t="n">
        <v>77083762.67385715</v>
      </c>
      <c r="AB533" s="9" t="n">
        <v>73399882.66597706</v>
      </c>
      <c r="AC533" s="9" t="n">
        <v>40637063.15428898</v>
      </c>
      <c r="AD533" s="9" t="n">
        <v>38432767.27917847</v>
      </c>
      <c r="AE533" s="9" t="n">
        <v>38432767.27917847</v>
      </c>
      <c r="AF533" s="9" t="n">
        <v>77258336.45111753</v>
      </c>
      <c r="AG533" s="9" t="n">
        <v>11670078.77025254</v>
      </c>
      <c r="AH533" s="9" t="n">
        <v>11451353.35371384</v>
      </c>
      <c r="AI533" s="9" t="n">
        <v>11213984.72367201</v>
      </c>
      <c r="AJ533" s="9" t="n">
        <v>11213993.57809462</v>
      </c>
      <c r="AK533" s="9" t="n">
        <v>11213993.57809462</v>
      </c>
      <c r="AL533" s="9" t="n">
        <v>11230668.93142267</v>
      </c>
      <c r="AM533" s="9" t="n">
        <v>10874361.52067374</v>
      </c>
      <c r="AN533" s="9" t="n">
        <v>10721097.933129</v>
      </c>
      <c r="AO533" s="9" t="n">
        <v>10183559.71961708</v>
      </c>
      <c r="AP533" s="9" t="n">
        <v>10155117.59738705</v>
      </c>
      <c r="AQ533" s="9" t="n">
        <v>10155117.59738705</v>
      </c>
      <c r="AR533" s="9" t="n">
        <v>10664221.13389863</v>
      </c>
    </row>
  </sheetData>
  <mergeCells count="2">
    <mergeCell ref="A1:AR1"/>
    <mergeCell ref="A2:AR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PARÁMETROS REALES USADOS (por ramo × mes contable)</t>
        </is>
      </c>
    </row>
    <row r="2" ht="30" customHeight="1">
      <c r="A2" s="2" t="inlineStr">
        <is>
          <t>IS_eff = BEL/PND implícita · g = gastos/BEL · mr = MR/BEL · c = IRR/BEL</t>
        </is>
      </c>
    </row>
    <row r="3" ht="32" customHeight="1">
      <c r="A3" s="3" t="inlineStr">
        <is>
          <t>Grupo</t>
        </is>
      </c>
      <c r="B3" s="3" t="inlineStr">
        <is>
          <t>Mes contable
(AAAAMM)</t>
        </is>
      </c>
      <c r="C3" s="3" t="inlineStr">
        <is>
          <t>BEL</t>
        </is>
      </c>
      <c r="D3" s="3" t="inlineStr">
        <is>
          <t>GTO</t>
        </is>
      </c>
      <c r="E3" s="3" t="inlineStr">
        <is>
          <t>MR</t>
        </is>
      </c>
      <c r="F3" s="3" t="inlineStr">
        <is>
          <t>IRR</t>
        </is>
      </c>
      <c r="G3" s="3" t="inlineStr">
        <is>
          <t>BRUTO</t>
        </is>
      </c>
      <c r="H3" s="3" t="inlineStr">
        <is>
          <t>NETO</t>
        </is>
      </c>
      <c r="I3" s="3" t="inlineStr">
        <is>
          <t>PND_real</t>
        </is>
      </c>
      <c r="J3" s="3" t="inlineStr">
        <is>
          <t>IS_eff</t>
        </is>
      </c>
      <c r="K3" s="3" t="inlineStr">
        <is>
          <t>g</t>
        </is>
      </c>
      <c r="L3" s="3" t="inlineStr">
        <is>
          <t>mr</t>
        </is>
      </c>
      <c r="M3" s="3" t="inlineStr">
        <is>
          <t>c</t>
        </is>
      </c>
    </row>
    <row r="4">
      <c r="A4" s="4" t="inlineStr">
        <is>
          <t>Agro</t>
        </is>
      </c>
      <c r="B4" s="5" t="n">
        <v>202201</v>
      </c>
      <c r="C4" s="6" t="n">
        <v>10780787.32377968</v>
      </c>
      <c r="D4" s="6" t="n">
        <v>1800784.864699661</v>
      </c>
      <c r="E4" s="6" t="n">
        <v>619302.2917131574</v>
      </c>
      <c r="F4" s="6" t="n">
        <v>1014070.830624739</v>
      </c>
      <c r="G4" s="6" t="n">
        <v>13200874.4801925</v>
      </c>
      <c r="H4" s="6" t="n">
        <v>12186803.64956776</v>
      </c>
      <c r="I4" s="6" t="n">
        <v>13289925.20189803</v>
      </c>
      <c r="J4" s="11" t="n">
        <v>0.8112</v>
      </c>
      <c r="K4" s="11" t="n">
        <v>0.1670364891372625</v>
      </c>
      <c r="L4" s="11" t="n">
        <v>0.05744499665132378</v>
      </c>
      <c r="M4" s="11" t="n">
        <v>0.09406278040454026</v>
      </c>
    </row>
    <row r="5">
      <c r="A5" t="inlineStr">
        <is>
          <t>Agro</t>
        </is>
      </c>
      <c r="B5" s="8" t="n">
        <v>202202</v>
      </c>
      <c r="C5" s="9" t="n">
        <v>9792269.01253338</v>
      </c>
      <c r="D5" s="9" t="n">
        <v>1635666.23686724</v>
      </c>
      <c r="E5" s="9" t="n">
        <v>526494.6085024268</v>
      </c>
      <c r="F5" s="9" t="n">
        <v>900802.6928249812</v>
      </c>
      <c r="G5" s="9" t="n">
        <v>11954429.85790305</v>
      </c>
      <c r="H5" s="9" t="n">
        <v>11053627.16507807</v>
      </c>
      <c r="I5" s="9" t="n">
        <v>12071337.54010525</v>
      </c>
      <c r="J5" s="10" t="n">
        <v>0.8112000000000001</v>
      </c>
      <c r="K5" s="10" t="n">
        <v>0.1670364891705597</v>
      </c>
      <c r="L5" s="10" t="n">
        <v>0.05376635464452137</v>
      </c>
      <c r="M5" s="10" t="n">
        <v>0.09199121180923649</v>
      </c>
    </row>
    <row r="6">
      <c r="A6" s="4" t="inlineStr">
        <is>
          <t>Agro</t>
        </is>
      </c>
      <c r="B6" s="5" t="n">
        <v>202203</v>
      </c>
      <c r="C6" s="6" t="n">
        <v>11503944.27306685</v>
      </c>
      <c r="D6" s="6" t="n">
        <v>1921578.462729562</v>
      </c>
      <c r="E6" s="6" t="n">
        <v>789792.0331203402</v>
      </c>
      <c r="F6" s="6" t="n">
        <v>906238.899306725</v>
      </c>
      <c r="G6" s="6" t="n">
        <v>14215314.76891675</v>
      </c>
      <c r="H6" s="6" t="n">
        <v>13309075.86961002</v>
      </c>
      <c r="I6" s="6" t="n">
        <v>14181390.86916525</v>
      </c>
      <c r="J6" s="11" t="n">
        <v>0.8112</v>
      </c>
      <c r="K6" s="11" t="n">
        <v>0.1670364891481943</v>
      </c>
      <c r="L6" s="11" t="n">
        <v>0.06865402112294731</v>
      </c>
      <c r="M6" s="11" t="n">
        <v>0.078776363810143</v>
      </c>
    </row>
    <row r="7">
      <c r="A7" t="inlineStr">
        <is>
          <t>Agro</t>
        </is>
      </c>
      <c r="B7" s="8" t="n">
        <v>202204</v>
      </c>
      <c r="C7" s="9" t="n">
        <v>14395712.10205796</v>
      </c>
      <c r="D7" s="9" t="n">
        <v>2404609.208514988</v>
      </c>
      <c r="E7" s="9" t="n">
        <v>899541.8804343016</v>
      </c>
      <c r="F7" s="9" t="n">
        <v>763885.0009584522</v>
      </c>
      <c r="G7" s="9" t="n">
        <v>17699863.19100725</v>
      </c>
      <c r="H7" s="9" t="n">
        <v>16935978.1900488</v>
      </c>
      <c r="I7" s="9" t="n">
        <v>17746193.4196967</v>
      </c>
      <c r="J7" s="10" t="n">
        <v>0.8112</v>
      </c>
      <c r="K7" s="10" t="n">
        <v>0.1670364891620216</v>
      </c>
      <c r="L7" s="10" t="n">
        <v>0.06248679287672793</v>
      </c>
      <c r="M7" s="10" t="n">
        <v>0.05306337022739221</v>
      </c>
    </row>
    <row r="8">
      <c r="A8" s="4" t="inlineStr">
        <is>
          <t>Agro</t>
        </is>
      </c>
      <c r="B8" s="5" t="n">
        <v>202205</v>
      </c>
      <c r="C8" s="6" t="n">
        <v>13740406.88781082</v>
      </c>
      <c r="D8" s="6" t="n">
        <v>2295149.290086612</v>
      </c>
      <c r="E8" s="6" t="n">
        <v>869175.4570623047</v>
      </c>
      <c r="F8" s="6" t="n">
        <v>698789.5831957532</v>
      </c>
      <c r="G8" s="6" t="n">
        <v>16904731.63495974</v>
      </c>
      <c r="H8" s="6" t="n">
        <v>16205942.05176398</v>
      </c>
      <c r="I8" s="6" t="n">
        <v>16938371.4100232</v>
      </c>
      <c r="J8" s="11" t="n">
        <v>0.8112</v>
      </c>
      <c r="K8" s="11" t="n">
        <v>0.1670364865339359</v>
      </c>
      <c r="L8" s="11" t="n">
        <v>0.06325689363925271</v>
      </c>
      <c r="M8" s="11" t="n">
        <v>0.05085654223352385</v>
      </c>
    </row>
    <row r="9">
      <c r="A9" t="inlineStr">
        <is>
          <t>Agro</t>
        </is>
      </c>
      <c r="B9" s="8" t="n">
        <v>202206</v>
      </c>
      <c r="C9" s="9" t="n">
        <v>9686676.470675878</v>
      </c>
      <c r="D9" s="9" t="n">
        <v>418478.0738305365</v>
      </c>
      <c r="E9" s="9" t="n">
        <v>1288413.821994209</v>
      </c>
      <c r="F9" s="9" t="n">
        <v>723278.2104065993</v>
      </c>
      <c r="G9" s="9" t="n">
        <v>11393568.36650062</v>
      </c>
      <c r="H9" s="9" t="n">
        <v>10670290.15609402</v>
      </c>
      <c r="I9" s="9" t="n">
        <v>11844632.58811639</v>
      </c>
      <c r="J9" s="10" t="n">
        <v>0.8178114769380375</v>
      </c>
      <c r="K9" s="10" t="n">
        <v>0.04320140918274497</v>
      </c>
      <c r="L9" s="10" t="n">
        <v>0.1330088628328382</v>
      </c>
      <c r="M9" s="10" t="n">
        <v>0.0746673239883827</v>
      </c>
    </row>
    <row r="10">
      <c r="A10" s="4" t="inlineStr">
        <is>
          <t>Agro</t>
        </is>
      </c>
      <c r="B10" s="5" t="n">
        <v>202207</v>
      </c>
      <c r="C10" s="6" t="n">
        <v>11346896.04863819</v>
      </c>
      <c r="D10" s="6" t="n">
        <v>476481.3506133794</v>
      </c>
      <c r="E10" s="6" t="n">
        <v>685087.4210562502</v>
      </c>
      <c r="F10" s="6" t="n">
        <v>768236.1540274817</v>
      </c>
      <c r="G10" s="6" t="n">
        <v>12508464.82030782</v>
      </c>
      <c r="H10" s="6" t="n">
        <v>11740228.66628034</v>
      </c>
      <c r="I10" s="6" t="n">
        <v>13486360.6969988</v>
      </c>
      <c r="J10" s="11" t="n">
        <v>0.8413608610633763</v>
      </c>
      <c r="K10" s="11" t="n">
        <v>0.04199221959652701</v>
      </c>
      <c r="L10" s="11" t="n">
        <v>0.06037663675772122</v>
      </c>
      <c r="M10" s="11" t="n">
        <v>0.06770452031414198</v>
      </c>
    </row>
    <row r="11">
      <c r="A11" t="inlineStr">
        <is>
          <t>Agro</t>
        </is>
      </c>
      <c r="B11" s="8" t="n">
        <v>202208</v>
      </c>
      <c r="C11" s="9" t="n">
        <v>11675382.6819969</v>
      </c>
      <c r="D11" s="9" t="n">
        <v>441571.2061638667</v>
      </c>
      <c r="E11" s="9" t="n">
        <v>661914.5756384288</v>
      </c>
      <c r="F11" s="9" t="n">
        <v>769562.7477262798</v>
      </c>
      <c r="G11" s="9" t="n">
        <v>12778868.4637992</v>
      </c>
      <c r="H11" s="9" t="n">
        <v>12009305.71607292</v>
      </c>
      <c r="I11" s="9" t="n">
        <v>12498261.62484097</v>
      </c>
      <c r="J11" s="10" t="n">
        <v>0.934160528276304</v>
      </c>
      <c r="K11" s="10" t="n">
        <v>0.03782070517009747</v>
      </c>
      <c r="L11" s="10" t="n">
        <v>0.05669318031511564</v>
      </c>
      <c r="M11" s="10" t="n">
        <v>0.06591327827848614</v>
      </c>
    </row>
    <row r="12">
      <c r="A12" s="4" t="inlineStr">
        <is>
          <t>Agro</t>
        </is>
      </c>
      <c r="B12" s="5" t="n">
        <v>202209</v>
      </c>
      <c r="C12" s="6" t="n">
        <v>11481063.55262308</v>
      </c>
      <c r="D12" s="6" t="n">
        <v>464238.6255347269</v>
      </c>
      <c r="E12" s="6" t="n">
        <v>610128.5157822041</v>
      </c>
      <c r="F12" s="6" t="n">
        <v>691912.0375016768</v>
      </c>
      <c r="G12" s="6" t="n">
        <v>12555430.69394001</v>
      </c>
      <c r="H12" s="6" t="n">
        <v>11863518.65643833</v>
      </c>
      <c r="I12" s="6" t="n">
        <v>13139841.78127506</v>
      </c>
      <c r="J12" s="11" t="n">
        <v>0.8737596497534832</v>
      </c>
      <c r="K12" s="11" t="n">
        <v>0.04043515859022157</v>
      </c>
      <c r="L12" s="11" t="n">
        <v>0.05314215995632286</v>
      </c>
      <c r="M12" s="11" t="n">
        <v>0.06026550017168014</v>
      </c>
    </row>
    <row r="13">
      <c r="A13" t="inlineStr">
        <is>
          <t>Agro</t>
        </is>
      </c>
      <c r="B13" s="8" t="n">
        <v>202210</v>
      </c>
      <c r="C13" s="9" t="n">
        <v>10832193.4473481</v>
      </c>
      <c r="D13" s="9" t="n">
        <v>451208.2356148065</v>
      </c>
      <c r="E13" s="9" t="n">
        <v>526807.2951949239</v>
      </c>
      <c r="F13" s="9" t="n">
        <v>768276.0695193914</v>
      </c>
      <c r="G13" s="9" t="n">
        <v>11810208.97815783</v>
      </c>
      <c r="H13" s="9" t="n">
        <v>11041932.90863843</v>
      </c>
      <c r="I13" s="9" t="n">
        <v>12771028.68161044</v>
      </c>
      <c r="J13" s="10" t="n">
        <v>0.8481848813749701</v>
      </c>
      <c r="K13" s="10" t="n">
        <v>0.04165437386324281</v>
      </c>
      <c r="L13" s="10" t="n">
        <v>0.04863348293728038</v>
      </c>
      <c r="M13" s="10" t="n">
        <v>0.07092525380512646</v>
      </c>
    </row>
    <row r="14">
      <c r="A14" s="4" t="inlineStr">
        <is>
          <t>Agro</t>
        </is>
      </c>
      <c r="B14" s="5" t="n">
        <v>202211</v>
      </c>
      <c r="C14" s="6" t="n">
        <v>18784364.20828564</v>
      </c>
      <c r="D14" s="6" t="n">
        <v>688096.7132964921</v>
      </c>
      <c r="E14" s="6" t="n">
        <v>1010487.905594025</v>
      </c>
      <c r="F14" s="6" t="n">
        <v>752091.7293778259</v>
      </c>
      <c r="G14" s="6" t="n">
        <v>20482948.82717616</v>
      </c>
      <c r="H14" s="6" t="n">
        <v>19730857.09779833</v>
      </c>
      <c r="I14" s="6" t="n">
        <v>19475936.50203381</v>
      </c>
      <c r="J14" s="11" t="n">
        <v>0.9644909350738563</v>
      </c>
      <c r="K14" s="11" t="n">
        <v>0.03663135497516481</v>
      </c>
      <c r="L14" s="11" t="n">
        <v>0.0537940967492691</v>
      </c>
      <c r="M14" s="11" t="n">
        <v>0.04003817861698422</v>
      </c>
    </row>
    <row r="15">
      <c r="A15" t="inlineStr">
        <is>
          <t>Agro</t>
        </is>
      </c>
      <c r="B15" s="8" t="n">
        <v>202212</v>
      </c>
      <c r="C15" s="9" t="n">
        <v>15351190.54482826</v>
      </c>
      <c r="D15" s="9" t="n">
        <v>658485.0555387541</v>
      </c>
      <c r="E15" s="9" t="n">
        <v>912414.1535401792</v>
      </c>
      <c r="F15" s="9" t="n">
        <v>730197.8189441742</v>
      </c>
      <c r="G15" s="9" t="n">
        <v>16922089.75390719</v>
      </c>
      <c r="H15" s="9" t="n">
        <v>16191891.93496302</v>
      </c>
      <c r="I15" s="9" t="n">
        <v>18637816.2099479</v>
      </c>
      <c r="J15" s="10" t="n">
        <v>0.8236582211082535</v>
      </c>
      <c r="K15" s="10" t="n">
        <v>0.04289472230937779</v>
      </c>
      <c r="L15" s="10" t="n">
        <v>0.05943605161278954</v>
      </c>
      <c r="M15" s="10" t="n">
        <v>0.04756620125402419</v>
      </c>
    </row>
    <row r="16">
      <c r="A16" s="4" t="inlineStr">
        <is>
          <t>Agro</t>
        </is>
      </c>
      <c r="B16" s="5" t="n">
        <v>202301</v>
      </c>
      <c r="C16" s="6" t="n">
        <v>13924641.55050693</v>
      </c>
      <c r="D16" s="6" t="n">
        <v>483946.928711715</v>
      </c>
      <c r="E16" s="6" t="n">
        <v>1216995.193481607</v>
      </c>
      <c r="F16" s="6" t="n">
        <v>640745.8447900631</v>
      </c>
      <c r="G16" s="6" t="n">
        <v>15625583.67270025</v>
      </c>
      <c r="H16" s="6" t="n">
        <v>14984837.82791019</v>
      </c>
      <c r="I16" s="6" t="n">
        <v>16687829.90135952</v>
      </c>
      <c r="J16" s="11" t="n">
        <v>0.8344189527826212</v>
      </c>
      <c r="K16" s="11" t="n">
        <v>0.03475471357423179</v>
      </c>
      <c r="L16" s="11" t="n">
        <v>0.0873986729976042</v>
      </c>
      <c r="M16" s="11" t="n">
        <v>0.04601524875638445</v>
      </c>
    </row>
    <row r="17">
      <c r="A17" t="inlineStr">
        <is>
          <t>Agro</t>
        </is>
      </c>
      <c r="B17" s="8" t="n">
        <v>202302</v>
      </c>
      <c r="C17" s="9" t="n">
        <v>13962406.04246588</v>
      </c>
      <c r="D17" s="9" t="n">
        <v>439413.7465689512</v>
      </c>
      <c r="E17" s="9" t="n">
        <v>1305273.771234305</v>
      </c>
      <c r="F17" s="9" t="n">
        <v>591538.996905917</v>
      </c>
      <c r="G17" s="9" t="n">
        <v>15707093.56026914</v>
      </c>
      <c r="H17" s="9" t="n">
        <v>15115554.56336322</v>
      </c>
      <c r="I17" s="9" t="n">
        <v>15152198.13887577</v>
      </c>
      <c r="J17" s="10" t="n">
        <v>0.9214772612194624</v>
      </c>
      <c r="K17" s="10" t="n">
        <v>0.03147120526594763</v>
      </c>
      <c r="L17" s="10" t="n">
        <v>0.09348487411584988</v>
      </c>
      <c r="M17" s="10" t="n">
        <v>0.04236655166070834</v>
      </c>
    </row>
    <row r="18">
      <c r="A18" s="4" t="inlineStr">
        <is>
          <t>Agro</t>
        </is>
      </c>
      <c r="B18" s="5" t="n">
        <v>202303</v>
      </c>
      <c r="C18" s="6" t="n">
        <v>13159951.00249166</v>
      </c>
      <c r="D18" s="6" t="n">
        <v>406523.0159655052</v>
      </c>
      <c r="E18" s="6" t="n">
        <v>965559.676139422</v>
      </c>
      <c r="F18" s="6" t="n">
        <v>482258.6023384998</v>
      </c>
      <c r="G18" s="6" t="n">
        <v>14532033.69459659</v>
      </c>
      <c r="H18" s="6" t="n">
        <v>14049775.09225809</v>
      </c>
      <c r="I18" s="6" t="n">
        <v>14018034.99045584</v>
      </c>
      <c r="J18" s="11" t="n">
        <v>0.938787141810646</v>
      </c>
      <c r="K18" s="11" t="n">
        <v>0.03089092169784944</v>
      </c>
      <c r="L18" s="11" t="n">
        <v>0.07337106923548621</v>
      </c>
      <c r="M18" s="11" t="n">
        <v>0.03664592689191552</v>
      </c>
    </row>
    <row r="19">
      <c r="A19" t="inlineStr">
        <is>
          <t>Agro</t>
        </is>
      </c>
      <c r="B19" s="8" t="n">
        <v>202304</v>
      </c>
      <c r="C19" s="9" t="n">
        <v>12567143.80038025</v>
      </c>
      <c r="D19" s="9" t="n">
        <v>367276.321699781</v>
      </c>
      <c r="E19" s="9" t="n">
        <v>920454.0459857018</v>
      </c>
      <c r="F19" s="9" t="n">
        <v>384011.3335408768</v>
      </c>
      <c r="G19" s="9" t="n">
        <v>13854874.16806573</v>
      </c>
      <c r="H19" s="9" t="n">
        <v>13470862.83452486</v>
      </c>
      <c r="I19" s="9" t="n">
        <v>12664700.9490637</v>
      </c>
      <c r="J19" s="10" t="n">
        <v>0.9922969244141007</v>
      </c>
      <c r="K19" s="10" t="n">
        <v>0.02922512287069303</v>
      </c>
      <c r="L19" s="10" t="n">
        <v>0.07324289915086762</v>
      </c>
      <c r="M19" s="10" t="n">
        <v>0.03055677086540998</v>
      </c>
    </row>
    <row r="20">
      <c r="A20" s="4" t="inlineStr">
        <is>
          <t>Agro</t>
        </is>
      </c>
      <c r="B20" s="5" t="n">
        <v>202305</v>
      </c>
      <c r="C20" s="6" t="n">
        <v>10252487.93799396</v>
      </c>
      <c r="D20" s="6" t="n">
        <v>343303.3258708999</v>
      </c>
      <c r="E20" s="6" t="n">
        <v>1215912.890788417</v>
      </c>
      <c r="F20" s="6" t="n">
        <v>222579.8175095824</v>
      </c>
      <c r="G20" s="6" t="n">
        <v>11811704.15465328</v>
      </c>
      <c r="H20" s="6" t="n">
        <v>11589124.3371437</v>
      </c>
      <c r="I20" s="6" t="n">
        <v>11838045.65735146</v>
      </c>
      <c r="J20" s="11" t="n">
        <v>0.866062544</v>
      </c>
      <c r="K20" s="11" t="n">
        <v>0.03348487976256736</v>
      </c>
      <c r="L20" s="11" t="n">
        <v>0.1185968613805877</v>
      </c>
      <c r="M20" s="11" t="n">
        <v>0.02170983461338587</v>
      </c>
    </row>
    <row r="21">
      <c r="A21" t="inlineStr">
        <is>
          <t>Agro</t>
        </is>
      </c>
      <c r="B21" s="8" t="n">
        <v>202306</v>
      </c>
      <c r="C21" s="9" t="n">
        <v>9489368.478464091</v>
      </c>
      <c r="D21" s="9" t="n">
        <v>305888.533267896</v>
      </c>
      <c r="E21" s="9" t="n">
        <v>1019027.077636776</v>
      </c>
      <c r="F21" s="9" t="n">
        <v>449685.3893524036</v>
      </c>
      <c r="G21" s="9" t="n">
        <v>10814284.08936876</v>
      </c>
      <c r="H21" s="9" t="n">
        <v>10364598.70001636</v>
      </c>
      <c r="I21" s="9" t="n">
        <v>10547880.45835682</v>
      </c>
      <c r="J21" s="10" t="n">
        <v>0.8996469495391282</v>
      </c>
      <c r="K21" s="10" t="n">
        <v>0.03223486725824834</v>
      </c>
      <c r="L21" s="10" t="n">
        <v>0.1073861848603977</v>
      </c>
      <c r="M21" s="10" t="n">
        <v>0.0473883367868952</v>
      </c>
    </row>
    <row r="22">
      <c r="A22" s="4" t="inlineStr">
        <is>
          <t>Agro</t>
        </is>
      </c>
      <c r="B22" s="5" t="n">
        <v>202307</v>
      </c>
      <c r="C22" s="6" t="n">
        <v>9820475.547950933</v>
      </c>
      <c r="D22" s="6" t="n">
        <v>299492.5472700995</v>
      </c>
      <c r="E22" s="6" t="n">
        <v>1113814.133849333</v>
      </c>
      <c r="F22" s="6" t="n">
        <v>378250.0226944256</v>
      </c>
      <c r="G22" s="6" t="n">
        <v>11233782.22907036</v>
      </c>
      <c r="H22" s="6" t="n">
        <v>10855532.20637594</v>
      </c>
      <c r="I22" s="6" t="n">
        <v>10915920.96450156</v>
      </c>
      <c r="J22" s="11" t="n">
        <v>0.899647</v>
      </c>
      <c r="K22" s="11" t="n">
        <v>0.03049674588646467</v>
      </c>
      <c r="L22" s="11" t="n">
        <v>0.1134175354758389</v>
      </c>
      <c r="M22" s="11" t="n">
        <v>0.03851646703334529</v>
      </c>
    </row>
    <row r="23">
      <c r="A23" t="inlineStr">
        <is>
          <t>Agro</t>
        </is>
      </c>
      <c r="B23" s="8" t="n">
        <v>202308</v>
      </c>
      <c r="C23" s="9" t="n">
        <v>9316986.421150148</v>
      </c>
      <c r="D23" s="9" t="n">
        <v>280505.8058539332</v>
      </c>
      <c r="E23" s="9" t="n">
        <v>955225.7100473756</v>
      </c>
      <c r="F23" s="9" t="n">
        <v>293287.1722407243</v>
      </c>
      <c r="G23" s="9" t="n">
        <v>10552717.93705146</v>
      </c>
      <c r="H23" s="9" t="n">
        <v>10259430.76481073</v>
      </c>
      <c r="I23" s="9" t="n">
        <v>9482753.472643498</v>
      </c>
      <c r="J23" s="10" t="n">
        <v>0.9825191014433132</v>
      </c>
      <c r="K23" s="10" t="n">
        <v>0.03010692440392177</v>
      </c>
      <c r="L23" s="10" t="n">
        <v>0.1025251800173233</v>
      </c>
      <c r="M23" s="10" t="n">
        <v>0.03147875922357726</v>
      </c>
    </row>
    <row r="24">
      <c r="A24" s="4" t="inlineStr">
        <is>
          <t>Agro</t>
        </is>
      </c>
      <c r="B24" s="5" t="n">
        <v>202309</v>
      </c>
      <c r="C24" s="6" t="n">
        <v>7455670.509355688</v>
      </c>
      <c r="D24" s="6" t="n">
        <v>236432.0239386272</v>
      </c>
      <c r="E24" s="6" t="n">
        <v>771234.1343477985</v>
      </c>
      <c r="F24" s="6" t="n">
        <v>251462.5715089024</v>
      </c>
      <c r="G24" s="6" t="n">
        <v>8463336.667642113</v>
      </c>
      <c r="H24" s="6" t="n">
        <v>8211874.096133211</v>
      </c>
      <c r="I24" s="6" t="n">
        <v>8152828.427085781</v>
      </c>
      <c r="J24" s="11" t="n">
        <v>0.9144888275320554</v>
      </c>
      <c r="K24" s="11" t="n">
        <v>0.03171170502263242</v>
      </c>
      <c r="L24" s="11" t="n">
        <v>0.1034426257678664</v>
      </c>
      <c r="M24" s="11" t="n">
        <v>0.03372769373235534</v>
      </c>
    </row>
    <row r="25">
      <c r="A25" t="inlineStr">
        <is>
          <t>Agro</t>
        </is>
      </c>
      <c r="B25" s="8" t="n">
        <v>202310</v>
      </c>
      <c r="C25" s="9" t="n">
        <v>6630067.783972705</v>
      </c>
      <c r="D25" s="9" t="n">
        <v>216762.5852264847</v>
      </c>
      <c r="E25" s="9" t="n">
        <v>687492.0612465673</v>
      </c>
      <c r="F25" s="9" t="n">
        <v>411437.0059082966</v>
      </c>
      <c r="G25" s="9" t="n">
        <v>7534322.430445757</v>
      </c>
      <c r="H25" s="9" t="n">
        <v>7122885.42453746</v>
      </c>
      <c r="I25" s="9" t="n">
        <v>7474571.882219509</v>
      </c>
      <c r="J25" s="10" t="n">
        <v>0.8870163921687999</v>
      </c>
      <c r="K25" s="10" t="n">
        <v>0.03269387166002722</v>
      </c>
      <c r="L25" s="10" t="n">
        <v>0.103693066744881</v>
      </c>
      <c r="M25" s="10" t="n">
        <v>0.06205622918409523</v>
      </c>
    </row>
    <row r="26">
      <c r="A26" s="4" t="inlineStr">
        <is>
          <t>Agro</t>
        </is>
      </c>
      <c r="B26" s="5" t="n">
        <v>202311</v>
      </c>
      <c r="C26" s="6" t="n">
        <v>8195771.694857741</v>
      </c>
      <c r="D26" s="6" t="n">
        <v>278588.1752773576</v>
      </c>
      <c r="E26" s="6" t="n">
        <v>719694.2716810545</v>
      </c>
      <c r="F26" s="6" t="n">
        <v>341871.3888872913</v>
      </c>
      <c r="G26" s="6" t="n">
        <v>9194054.141816154</v>
      </c>
      <c r="H26" s="6" t="n">
        <v>8852182.752928862</v>
      </c>
      <c r="I26" s="6" t="n">
        <v>9606488.762407325</v>
      </c>
      <c r="J26" s="11" t="n">
        <v>0.8531495635460393</v>
      </c>
      <c r="K26" s="11" t="n">
        <v>0.03399169543145665</v>
      </c>
      <c r="L26" s="11" t="n">
        <v>0.08781287455000863</v>
      </c>
      <c r="M26" s="11" t="n">
        <v>0.04171314204637875</v>
      </c>
    </row>
    <row r="27">
      <c r="A27" t="inlineStr">
        <is>
          <t>Agro</t>
        </is>
      </c>
      <c r="B27" s="8" t="n">
        <v>202312</v>
      </c>
      <c r="C27" s="9" t="n">
        <v>10625419.88377164</v>
      </c>
      <c r="D27" s="9" t="n">
        <v>294868.3236476372</v>
      </c>
      <c r="E27" s="9" t="n">
        <v>1491577.2623861</v>
      </c>
      <c r="F27" s="9" t="n">
        <v>511313.3921940755</v>
      </c>
      <c r="G27" s="9" t="n">
        <v>12411865.46980538</v>
      </c>
      <c r="H27" s="9" t="n">
        <v>11900552.07761131</v>
      </c>
      <c r="I27" s="9" t="n">
        <v>8425888.651027746</v>
      </c>
      <c r="J27" s="10" t="n">
        <v>1.261044422</v>
      </c>
      <c r="K27" s="10" t="n">
        <v>0.02775121612822038</v>
      </c>
      <c r="L27" s="10" t="n">
        <v>0.1403781948103723</v>
      </c>
      <c r="M27" s="10" t="n">
        <v>0.04812171168642584</v>
      </c>
    </row>
    <row r="28">
      <c r="A28" s="4" t="inlineStr">
        <is>
          <t>Agro</t>
        </is>
      </c>
      <c r="B28" s="5" t="n">
        <v>202401</v>
      </c>
      <c r="C28" s="6" t="n">
        <v>9147698.648853714</v>
      </c>
      <c r="D28" s="6" t="n">
        <v>246506.1691646822</v>
      </c>
      <c r="E28" s="6" t="n">
        <v>1430257.284516972</v>
      </c>
      <c r="F28" s="6" t="n">
        <v>422568.1958257458</v>
      </c>
      <c r="G28" s="6" t="n">
        <v>10824462.10253537</v>
      </c>
      <c r="H28" s="6" t="n">
        <v>10401893.90670962</v>
      </c>
      <c r="I28" s="6" t="n">
        <v>8726555.09974025</v>
      </c>
      <c r="J28" s="11" t="n">
        <v>1.04826</v>
      </c>
      <c r="K28" s="11" t="n">
        <v>0.02694734256419472</v>
      </c>
      <c r="L28" s="11" t="n">
        <v>0.1563515961138703</v>
      </c>
      <c r="M28" s="11" t="n">
        <v>0.04619393489516593</v>
      </c>
    </row>
    <row r="29">
      <c r="A29" t="inlineStr">
        <is>
          <t>Agro</t>
        </is>
      </c>
      <c r="B29" s="8" t="n">
        <v>202402</v>
      </c>
      <c r="C29" s="9" t="n">
        <v>10078926.12420328</v>
      </c>
      <c r="D29" s="9" t="n">
        <v>251359.7925449887</v>
      </c>
      <c r="E29" s="9" t="n">
        <v>1681977.739924828</v>
      </c>
      <c r="F29" s="9" t="n">
        <v>371801.2249110194</v>
      </c>
      <c r="G29" s="9" t="n">
        <v>12012263.65667309</v>
      </c>
      <c r="H29" s="9" t="n">
        <v>11640462.43176208</v>
      </c>
      <c r="I29" s="9" t="n">
        <v>8898362.565864857</v>
      </c>
      <c r="J29" s="10" t="n">
        <v>1.132672</v>
      </c>
      <c r="K29" s="10" t="n">
        <v>0.02493914425480108</v>
      </c>
      <c r="L29" s="10" t="n">
        <v>0.1668806497039173</v>
      </c>
      <c r="M29" s="10" t="n">
        <v>0.03688897213148386</v>
      </c>
    </row>
    <row r="30">
      <c r="A30" s="4" t="inlineStr">
        <is>
          <t>Agro</t>
        </is>
      </c>
      <c r="B30" s="5" t="n">
        <v>202403</v>
      </c>
      <c r="C30" s="6" t="n">
        <v>10043126.92166038</v>
      </c>
      <c r="D30" s="6" t="n">
        <v>250447.3853584906</v>
      </c>
      <c r="E30" s="6" t="n">
        <v>1614865.081962264</v>
      </c>
      <c r="F30" s="6" t="n">
        <v>296549.152</v>
      </c>
      <c r="G30" s="6" t="n">
        <v>11908439.38898113</v>
      </c>
      <c r="H30" s="6" t="n">
        <v>11611890.23698113</v>
      </c>
      <c r="I30" s="6" t="n">
        <v>8866067.765158001</v>
      </c>
      <c r="J30" s="11" t="n">
        <v>1.13276</v>
      </c>
      <c r="K30" s="11" t="n">
        <v>0.02493719210282423</v>
      </c>
      <c r="L30" s="11" t="n">
        <v>0.1607930572379231</v>
      </c>
      <c r="M30" s="11" t="n">
        <v>0.02952757187210506</v>
      </c>
    </row>
    <row r="31">
      <c r="A31" t="inlineStr">
        <is>
          <t>Agro</t>
        </is>
      </c>
      <c r="B31" s="8" t="n">
        <v>202404</v>
      </c>
      <c r="C31" s="9" t="n">
        <v>8999042.640189646</v>
      </c>
      <c r="D31" s="9" t="n">
        <v>223266.3177009132</v>
      </c>
      <c r="E31" s="9" t="n">
        <v>1318773.550225378</v>
      </c>
      <c r="F31" s="9" t="n">
        <v>675141.8122474719</v>
      </c>
      <c r="G31" s="9" t="n">
        <v>10541082.50811594</v>
      </c>
      <c r="H31" s="9" t="n">
        <v>9865940.695868464</v>
      </c>
      <c r="I31" s="9" t="n">
        <v>7903811.482991511</v>
      </c>
      <c r="J31" s="10" t="n">
        <v>1.13857</v>
      </c>
      <c r="K31" s="10" t="n">
        <v>0.02481000775613706</v>
      </c>
      <c r="L31" s="10" t="n">
        <v>0.1465459830511022</v>
      </c>
      <c r="M31" s="10" t="n">
        <v>0.07502373743983548</v>
      </c>
    </row>
    <row r="32">
      <c r="A32" s="4" t="inlineStr">
        <is>
          <t>Agro</t>
        </is>
      </c>
      <c r="B32" s="5" t="n">
        <v>202405</v>
      </c>
      <c r="C32" s="6" t="n">
        <v>7872444.690067302</v>
      </c>
      <c r="D32" s="6" t="n">
        <v>213065.224950201</v>
      </c>
      <c r="E32" s="6" t="n">
        <v>1005716.70006247</v>
      </c>
      <c r="F32" s="6" t="n">
        <v>628692.0227248619</v>
      </c>
      <c r="G32" s="6" t="n">
        <v>9091226.615079973</v>
      </c>
      <c r="H32" s="6" t="n">
        <v>8462534.592355112</v>
      </c>
      <c r="I32" s="6" t="n">
        <v>7542751.042020584</v>
      </c>
      <c r="J32" s="11" t="n">
        <v>1.04371</v>
      </c>
      <c r="K32" s="11" t="n">
        <v>0.02706468363239519</v>
      </c>
      <c r="L32" s="11" t="n">
        <v>0.1277515104464801</v>
      </c>
      <c r="M32" s="11" t="n">
        <v>0.07985982086582143</v>
      </c>
    </row>
    <row r="33">
      <c r="A33" t="inlineStr">
        <is>
          <t>Agro</t>
        </is>
      </c>
      <c r="B33" s="8" t="n">
        <v>202406</v>
      </c>
      <c r="C33" s="9" t="n">
        <v>6751552.163926896</v>
      </c>
      <c r="D33" s="9" t="n">
        <v>183926.0857914712</v>
      </c>
      <c r="E33" s="9" t="n">
        <v>654383.1162297252</v>
      </c>
      <c r="F33" s="9" t="n">
        <v>539124.20404458</v>
      </c>
      <c r="G33" s="9" t="n">
        <v>7589861.365948092</v>
      </c>
      <c r="H33" s="9" t="n">
        <v>7050737.161903512</v>
      </c>
      <c r="I33" s="9" t="n">
        <v>6511160.131858673</v>
      </c>
      <c r="J33" s="10" t="n">
        <v>1.03692</v>
      </c>
      <c r="K33" s="10" t="n">
        <v>0.02724204469220815</v>
      </c>
      <c r="L33" s="10" t="n">
        <v>0.09692335930188789</v>
      </c>
      <c r="M33" s="10" t="n">
        <v>0.07985189049195021</v>
      </c>
    </row>
    <row r="34">
      <c r="A34" s="4" t="inlineStr">
        <is>
          <t>Agro</t>
        </is>
      </c>
      <c r="B34" s="5" t="n">
        <v>202407</v>
      </c>
      <c r="C34" s="6" t="n">
        <v>6775873.354443967</v>
      </c>
      <c r="D34" s="6" t="n">
        <v>175230.7884285101</v>
      </c>
      <c r="E34" s="6" t="n">
        <v>702357.6620867325</v>
      </c>
      <c r="F34" s="6" t="n">
        <v>491888.1918205238</v>
      </c>
      <c r="G34" s="6" t="n">
        <v>7653461.80495921</v>
      </c>
      <c r="H34" s="6" t="n">
        <v>7161573.613138686</v>
      </c>
      <c r="I34" s="6" t="n">
        <v>6203308.023843236</v>
      </c>
      <c r="J34" s="11" t="n">
        <v>1.0923</v>
      </c>
      <c r="K34" s="11" t="n">
        <v>0.02586098931639339</v>
      </c>
      <c r="L34" s="11" t="n">
        <v>0.103655665527764</v>
      </c>
      <c r="M34" s="11" t="n">
        <v>0.07259406516178732</v>
      </c>
    </row>
    <row r="35">
      <c r="A35" t="inlineStr">
        <is>
          <t>Agro</t>
        </is>
      </c>
      <c r="B35" s="8" t="n">
        <v>202408</v>
      </c>
      <c r="C35" s="9" t="n">
        <v>5647411.826805463</v>
      </c>
      <c r="D35" s="9" t="n">
        <v>144229.3335431185</v>
      </c>
      <c r="E35" s="9" t="n">
        <v>506335.4991955417</v>
      </c>
      <c r="F35" s="9" t="n">
        <v>360987.4362397032</v>
      </c>
      <c r="G35" s="9" t="n">
        <v>6297976.659544123</v>
      </c>
      <c r="H35" s="9" t="n">
        <v>5936989.22330442</v>
      </c>
      <c r="I35" s="9" t="n">
        <v>5105835.821245909</v>
      </c>
      <c r="J35" s="10" t="n">
        <v>1.10607</v>
      </c>
      <c r="K35" s="10" t="n">
        <v>0.02553901467899567</v>
      </c>
      <c r="L35" s="10" t="n">
        <v>0.08965797337325715</v>
      </c>
      <c r="M35" s="10" t="n">
        <v>0.06392086274393428</v>
      </c>
    </row>
    <row r="36">
      <c r="A36" s="4" t="inlineStr">
        <is>
          <t>Agro</t>
        </is>
      </c>
      <c r="B36" s="5" t="n">
        <v>202409</v>
      </c>
      <c r="C36" s="6" t="n">
        <v>6120502.302953977</v>
      </c>
      <c r="D36" s="6" t="n">
        <v>154688.2688997111</v>
      </c>
      <c r="E36" s="6" t="n">
        <v>582547.0051441948</v>
      </c>
      <c r="F36" s="6" t="n">
        <v>412322.8010217296</v>
      </c>
      <c r="G36" s="6" t="n">
        <v>6857737.576997883</v>
      </c>
      <c r="H36" s="6" t="n">
        <v>6445414.775976153</v>
      </c>
      <c r="I36" s="6" t="n">
        <v>5476126.497941232</v>
      </c>
      <c r="J36" s="11" t="n">
        <v>1.11767</v>
      </c>
      <c r="K36" s="11" t="n">
        <v>0.02527378656896393</v>
      </c>
      <c r="L36" s="11" t="n">
        <v>0.09517960721345313</v>
      </c>
      <c r="M36" s="11" t="n">
        <v>0.06736747747365893</v>
      </c>
    </row>
    <row r="37">
      <c r="A37" t="inlineStr">
        <is>
          <t>Agro</t>
        </is>
      </c>
      <c r="B37" s="8" t="n">
        <v>202410</v>
      </c>
      <c r="C37" s="9" t="n">
        <v>6113264.459869372</v>
      </c>
      <c r="D37" s="9" t="n">
        <v>154504.395104668</v>
      </c>
      <c r="E37" s="9" t="n">
        <v>605861.5194718878</v>
      </c>
      <c r="F37" s="9" t="n">
        <v>314201.663093614</v>
      </c>
      <c r="G37" s="9" t="n">
        <v>6873630.374445927</v>
      </c>
      <c r="H37" s="9" t="n">
        <v>6559428.711352313</v>
      </c>
      <c r="I37" s="9" t="n">
        <v>5469601.728463757</v>
      </c>
      <c r="J37" s="10" t="n">
        <v>1.11768</v>
      </c>
      <c r="K37" s="10" t="n">
        <v>0.02527363180816316</v>
      </c>
      <c r="L37" s="10" t="n">
        <v>0.09910605429375353</v>
      </c>
      <c r="M37" s="10" t="n">
        <v>0.05139670713678365</v>
      </c>
    </row>
    <row r="38">
      <c r="A38" s="4" t="inlineStr">
        <is>
          <t>Agro</t>
        </is>
      </c>
      <c r="B38" s="5" t="n">
        <v>202411</v>
      </c>
      <c r="C38" s="6" t="n">
        <v>6078840.44624308</v>
      </c>
      <c r="D38" s="6" t="n">
        <v>154234.9558717358</v>
      </c>
      <c r="E38" s="6" t="n">
        <v>519685.6201285786</v>
      </c>
      <c r="F38" s="6" t="n">
        <v>233480.5835637564</v>
      </c>
      <c r="G38" s="6" t="n">
        <v>6752761.022243395</v>
      </c>
      <c r="H38" s="6" t="n">
        <v>6519280.438679638</v>
      </c>
      <c r="I38" s="6" t="n">
        <v>5460042.17374602</v>
      </c>
      <c r="J38" s="11" t="n">
        <v>1.113332141548738</v>
      </c>
      <c r="K38" s="11" t="n">
        <v>0.02537243035669047</v>
      </c>
      <c r="L38" s="11" t="n">
        <v>0.08549091306546153</v>
      </c>
      <c r="M38" s="11" t="n">
        <v>0.03840873693404059</v>
      </c>
    </row>
    <row r="39">
      <c r="A39" t="inlineStr">
        <is>
          <t>Agro</t>
        </is>
      </c>
      <c r="B39" s="8" t="n">
        <v>202412</v>
      </c>
      <c r="C39" s="9" t="n">
        <v>5306155.656063095</v>
      </c>
      <c r="D39" s="9" t="n">
        <v>160966.7167874194</v>
      </c>
      <c r="E39" s="9" t="n">
        <v>502576.1034147557</v>
      </c>
      <c r="F39" s="9" t="n">
        <v>405661.5565845741</v>
      </c>
      <c r="G39" s="9" t="n">
        <v>5969698.476265269</v>
      </c>
      <c r="H39" s="9" t="n">
        <v>5564036.919680695</v>
      </c>
      <c r="I39" s="9" t="n">
        <v>5292078.726650205</v>
      </c>
      <c r="J39" s="10" t="n">
        <v>1.00266</v>
      </c>
      <c r="K39" s="10" t="n">
        <v>0.03033584523731231</v>
      </c>
      <c r="L39" s="10" t="n">
        <v>0.09471567288842829</v>
      </c>
      <c r="M39" s="10" t="n">
        <v>0.07645112259777824</v>
      </c>
    </row>
    <row r="40">
      <c r="A40" s="4" t="inlineStr">
        <is>
          <t>Agro</t>
        </is>
      </c>
      <c r="B40" s="5" t="n">
        <v>202501</v>
      </c>
      <c r="C40" s="6" t="n">
        <v>4751260.394158679</v>
      </c>
      <c r="D40" s="6" t="n">
        <v>132503.6907058022</v>
      </c>
      <c r="E40" s="6" t="n">
        <v>526984.4709988349</v>
      </c>
      <c r="F40" s="6" t="n">
        <v>450938.7308999328</v>
      </c>
      <c r="G40" s="6" t="n">
        <v>5410748.555863316</v>
      </c>
      <c r="H40" s="6" t="n">
        <v>4959809.824963383</v>
      </c>
      <c r="I40" s="6" t="n">
        <v>4738655.57034157</v>
      </c>
      <c r="J40" s="11" t="n">
        <v>1.00266</v>
      </c>
      <c r="K40" s="11" t="n">
        <v>0.02788811382948104</v>
      </c>
      <c r="L40" s="11" t="n">
        <v>0.1109146683786734</v>
      </c>
      <c r="M40" s="11" t="n">
        <v>0.09490928585061943</v>
      </c>
    </row>
    <row r="41">
      <c r="A41" t="inlineStr">
        <is>
          <t>Agro</t>
        </is>
      </c>
      <c r="B41" s="8" t="n">
        <v>202502</v>
      </c>
      <c r="C41" s="9" t="n">
        <v>6146560.801236261</v>
      </c>
      <c r="D41" s="9" t="n">
        <v>173835.4724903053</v>
      </c>
      <c r="E41" s="9" t="n">
        <v>728175.7928293049</v>
      </c>
      <c r="F41" s="9" t="n">
        <v>448376.6413000165</v>
      </c>
      <c r="G41" s="9" t="n">
        <v>7048572.066555871</v>
      </c>
      <c r="H41" s="9" t="n">
        <v>6600195.425255855</v>
      </c>
      <c r="I41" s="9" t="n">
        <v>6151666.684584466</v>
      </c>
      <c r="J41" s="10" t="n">
        <v>0.99917</v>
      </c>
      <c r="K41" s="10" t="n">
        <v>0.02828174618484888</v>
      </c>
      <c r="L41" s="10" t="n">
        <v>0.118468817990517</v>
      </c>
      <c r="M41" s="10" t="n">
        <v>0.07294756462993651</v>
      </c>
    </row>
    <row r="42">
      <c r="A42" s="4" t="inlineStr">
        <is>
          <t>Agro</t>
        </is>
      </c>
      <c r="B42" s="5" t="n">
        <v>202503</v>
      </c>
      <c r="C42" s="6" t="n">
        <v>5643379.096694102</v>
      </c>
      <c r="D42" s="6" t="n">
        <v>154060.2265840355</v>
      </c>
      <c r="E42" s="6" t="n">
        <v>672930.1861156186</v>
      </c>
      <c r="F42" s="6" t="n">
        <v>437156.4519755234</v>
      </c>
      <c r="G42" s="6" t="n">
        <v>6470369.509393756</v>
      </c>
      <c r="H42" s="6" t="n">
        <v>6033213.057418233</v>
      </c>
      <c r="I42" s="6" t="n">
        <v>5451855.415932395</v>
      </c>
      <c r="J42" s="11" t="n">
        <v>1.03513</v>
      </c>
      <c r="K42" s="11" t="n">
        <v>0.02729928717251765</v>
      </c>
      <c r="L42" s="11" t="n">
        <v>0.1192424210008897</v>
      </c>
      <c r="M42" s="11" t="n">
        <v>0.07746359840181748</v>
      </c>
    </row>
    <row r="43">
      <c r="A43" t="inlineStr">
        <is>
          <t>Agro</t>
        </is>
      </c>
      <c r="B43" s="8" t="n">
        <v>202504</v>
      </c>
      <c r="C43" s="9" t="n">
        <v>6830504.339845821</v>
      </c>
      <c r="D43" s="9" t="n">
        <v>176642.5495574499</v>
      </c>
      <c r="E43" s="9" t="n">
        <v>764749.8893624831</v>
      </c>
      <c r="F43" s="9" t="n">
        <v>967906.5903250804</v>
      </c>
      <c r="G43" s="9" t="n">
        <v>7771896.778765755</v>
      </c>
      <c r="H43" s="9" t="n">
        <v>6803990.188440674</v>
      </c>
      <c r="I43" s="9" t="n">
        <v>6250976.324775851</v>
      </c>
      <c r="J43" s="10" t="n">
        <v>1.09271</v>
      </c>
      <c r="K43" s="10" t="n">
        <v>0.02586083556480649</v>
      </c>
      <c r="L43" s="10" t="n">
        <v>0.111960969690233</v>
      </c>
      <c r="M43" s="10" t="n">
        <v>0.1417035320040406</v>
      </c>
    </row>
    <row r="44">
      <c r="A44" s="4" t="inlineStr">
        <is>
          <t>Agro</t>
        </is>
      </c>
      <c r="B44" s="5" t="n">
        <v>202505</v>
      </c>
      <c r="C44" s="6" t="n">
        <v>7056784.003670916</v>
      </c>
      <c r="D44" s="6" t="n">
        <v>178804.971720536</v>
      </c>
      <c r="E44" s="6" t="n">
        <v>948069.8237238148</v>
      </c>
      <c r="F44" s="6" t="n">
        <v>854324.0243971602</v>
      </c>
      <c r="G44" s="6" t="n">
        <v>8183658.799115267</v>
      </c>
      <c r="H44" s="6" t="n">
        <v>7329334.774718107</v>
      </c>
      <c r="I44" s="6" t="n">
        <v>6327535.533441753</v>
      </c>
      <c r="J44" s="11" t="n">
        <v>1.11525</v>
      </c>
      <c r="K44" s="11" t="n">
        <v>0.02533802531401304</v>
      </c>
      <c r="L44" s="11" t="n">
        <v>0.1343487094447884</v>
      </c>
      <c r="M44" s="11" t="n">
        <v>0.1210642162141768</v>
      </c>
    </row>
    <row r="45">
      <c r="A45" t="inlineStr">
        <is>
          <t>Agro</t>
        </is>
      </c>
      <c r="B45" s="8" t="n">
        <v>202506</v>
      </c>
      <c r="C45" s="9" t="n">
        <v>7945746.138105235</v>
      </c>
      <c r="D45" s="9" t="n">
        <v>184423.995225255</v>
      </c>
      <c r="E45" s="9" t="n">
        <v>1131798.602214715</v>
      </c>
      <c r="F45" s="9" t="n">
        <v>910196.2372238268</v>
      </c>
      <c r="G45" s="9" t="n">
        <v>9261968.735545203</v>
      </c>
      <c r="H45" s="9" t="n">
        <v>8351772.498321378</v>
      </c>
      <c r="I45" s="9" t="n">
        <v>7124632.269092342</v>
      </c>
      <c r="J45" s="10" t="n">
        <v>1.11525</v>
      </c>
      <c r="K45" s="10" t="n">
        <v>0.02321040617454628</v>
      </c>
      <c r="L45" s="10" t="n">
        <v>0.1424408208546928</v>
      </c>
      <c r="M45" s="10" t="n">
        <v>0.1145513865411354</v>
      </c>
    </row>
    <row r="46">
      <c r="A46" s="4" t="inlineStr">
        <is>
          <t>Agro</t>
        </is>
      </c>
      <c r="B46" s="5" t="n">
        <v>202507</v>
      </c>
      <c r="C46" s="6" t="n">
        <v>8581336.652003393</v>
      </c>
      <c r="D46" s="6" t="n">
        <v>192840.2549289803</v>
      </c>
      <c r="E46" s="6" t="n">
        <v>1370764.08257367</v>
      </c>
      <c r="F46" s="6" t="n">
        <v>1234717.248251007</v>
      </c>
      <c r="G46" s="6" t="n">
        <v>10144940.98950604</v>
      </c>
      <c r="H46" s="6" t="n">
        <v>8910223.741255037</v>
      </c>
      <c r="I46" s="6" t="n">
        <v>6824184.26881141</v>
      </c>
      <c r="J46" s="11" t="n">
        <v>1.257489</v>
      </c>
      <c r="K46" s="11" t="n">
        <v>0.02247205333494986</v>
      </c>
      <c r="L46" s="11" t="n">
        <v>0.1597378285180844</v>
      </c>
      <c r="M46" s="11" t="n">
        <v>0.1438840239373141</v>
      </c>
    </row>
    <row r="47">
      <c r="A47" t="inlineStr">
        <is>
          <t>Agro</t>
        </is>
      </c>
      <c r="B47" s="8" t="n">
        <v>202508</v>
      </c>
      <c r="C47" s="9" t="n">
        <v>8159991.569809501</v>
      </c>
      <c r="D47" s="9" t="n">
        <v>174526.5980762532</v>
      </c>
      <c r="E47" s="9" t="n">
        <v>1386292.181764596</v>
      </c>
      <c r="F47" s="9" t="n">
        <v>1128002.485330761</v>
      </c>
      <c r="G47" s="9" t="n">
        <v>9720810.349650349</v>
      </c>
      <c r="H47" s="9" t="n">
        <v>8592807.864319589</v>
      </c>
      <c r="I47" s="9" t="n">
        <v>6176103.578366586</v>
      </c>
      <c r="J47" s="10" t="n">
        <v>1.32122</v>
      </c>
      <c r="K47" s="10" t="n">
        <v>0.02138808558601582</v>
      </c>
      <c r="L47" s="10" t="n">
        <v>0.1698889232794832</v>
      </c>
      <c r="M47" s="10" t="n">
        <v>0.1382357415054407</v>
      </c>
    </row>
    <row r="48">
      <c r="A48" s="4" t="inlineStr">
        <is>
          <t>Agro</t>
        </is>
      </c>
      <c r="B48" s="5" t="n">
        <v>202509</v>
      </c>
      <c r="C48" s="6" t="n">
        <v>7072119.416097452</v>
      </c>
      <c r="D48" s="6" t="n">
        <v>159844.1006404691</v>
      </c>
      <c r="E48" s="6" t="n">
        <v>1117125.179773624</v>
      </c>
      <c r="F48" s="6" t="n">
        <v>953832.08515564</v>
      </c>
      <c r="G48" s="6" t="n">
        <v>8349088.696511546</v>
      </c>
      <c r="H48" s="6" t="n">
        <v>7395256.611355906</v>
      </c>
      <c r="I48" s="6" t="n">
        <v>5656520.958563523</v>
      </c>
      <c r="J48" s="11" t="n">
        <v>1.250259562</v>
      </c>
      <c r="K48" s="11" t="n">
        <v>0.02260200814435265</v>
      </c>
      <c r="L48" s="11" t="n">
        <v>0.1579618660328106</v>
      </c>
      <c r="M48" s="11" t="n">
        <v>0.1348721690112503</v>
      </c>
    </row>
    <row r="49">
      <c r="A49" t="inlineStr">
        <is>
          <t>Agro</t>
        </is>
      </c>
      <c r="B49" s="8" t="n">
        <v>202510</v>
      </c>
      <c r="C49" s="9" t="n">
        <v>6105718.29210532</v>
      </c>
      <c r="D49" s="9" t="n">
        <v>139375.566212405</v>
      </c>
      <c r="E49" s="9" t="n">
        <v>867665.1806282159</v>
      </c>
      <c r="F49" s="9" t="n">
        <v>786888.7672501024</v>
      </c>
      <c r="G49" s="9" t="n">
        <v>7112759.038945941</v>
      </c>
      <c r="H49" s="9" t="n">
        <v>6325870.271695839</v>
      </c>
      <c r="I49" s="9" t="n">
        <v>4932184.019588539</v>
      </c>
      <c r="J49" s="10" t="n">
        <v>1.237934</v>
      </c>
      <c r="K49" s="10" t="n">
        <v>0.02282705482704915</v>
      </c>
      <c r="L49" s="10" t="n">
        <v>0.1421069789200896</v>
      </c>
      <c r="M49" s="10" t="n">
        <v>0.12887734572811</v>
      </c>
    </row>
    <row r="50">
      <c r="A50" s="4" t="inlineStr">
        <is>
          <t>Agro</t>
        </is>
      </c>
      <c r="B50" s="5" t="n">
        <v>202511</v>
      </c>
      <c r="C50" s="6" t="n">
        <v>5502030.12085071</v>
      </c>
      <c r="D50" s="6" t="n">
        <v>142307.0679354807</v>
      </c>
      <c r="E50" s="6" t="n">
        <v>629198.3525823572</v>
      </c>
      <c r="F50" s="6" t="n">
        <v>577675.8724918421</v>
      </c>
      <c r="G50" s="6" t="n">
        <v>6273535.541368548</v>
      </c>
      <c r="H50" s="6" t="n">
        <v>5695859.668876706</v>
      </c>
      <c r="I50" s="6" t="n">
        <v>5035936.104966118</v>
      </c>
      <c r="J50" s="11" t="n">
        <v>1.0925536</v>
      </c>
      <c r="K50" s="11" t="n">
        <v>0.02586446544452533</v>
      </c>
      <c r="L50" s="11" t="n">
        <v>0.1143574896469437</v>
      </c>
      <c r="M50" s="11" t="n">
        <v>0.1049932224657693</v>
      </c>
    </row>
    <row r="51">
      <c r="A51" t="inlineStr">
        <is>
          <t>Agro</t>
        </is>
      </c>
      <c r="B51" s="8" t="n">
        <v>202512</v>
      </c>
      <c r="C51" s="9" t="n">
        <v>4266782.937583297</v>
      </c>
      <c r="D51" s="9" t="n">
        <v>125292.5166592626</v>
      </c>
      <c r="E51" s="9" t="n">
        <v>691108.0919591293</v>
      </c>
      <c r="F51" s="9" t="n">
        <v>515746.8275211017</v>
      </c>
      <c r="G51" s="9" t="n">
        <v>5083183.546201688</v>
      </c>
      <c r="H51" s="9" t="n">
        <v>4567436.718680587</v>
      </c>
      <c r="I51" s="9" t="n">
        <v>4433827.384286283</v>
      </c>
      <c r="J51" s="10" t="n">
        <v>0.9623249999999999</v>
      </c>
      <c r="K51" s="10" t="n">
        <v>0.02936463337650548</v>
      </c>
      <c r="L51" s="10" t="n">
        <v>0.161974045098852</v>
      </c>
      <c r="M51" s="10" t="n">
        <v>0.1208748687396834</v>
      </c>
    </row>
    <row r="52">
      <c r="A52" s="4" t="inlineStr">
        <is>
          <t>Agro</t>
        </is>
      </c>
      <c r="B52" s="5" t="n">
        <v>202601</v>
      </c>
      <c r="C52" s="6" t="n">
        <v>3588357.717234688</v>
      </c>
      <c r="D52" s="6" t="n">
        <v>104845.2035292564</v>
      </c>
      <c r="E52" s="6" t="n">
        <v>606928.1645914776</v>
      </c>
      <c r="F52" s="6" t="n">
        <v>413287.5913456294</v>
      </c>
      <c r="G52" s="6" t="n">
        <v>4300131.085355422</v>
      </c>
      <c r="H52" s="6" t="n">
        <v>3886843.494009793</v>
      </c>
      <c r="I52" s="6" t="n">
        <v>3710239.070707427</v>
      </c>
      <c r="J52" s="11" t="n">
        <v>0.96715</v>
      </c>
      <c r="K52" s="11" t="n">
        <v>0.02921815821920167</v>
      </c>
      <c r="L52" s="11" t="n">
        <v>0.1691381440809077</v>
      </c>
      <c r="M52" s="11" t="n">
        <v>0.1151745795466911</v>
      </c>
    </row>
    <row r="53">
      <c r="A53" t="inlineStr">
        <is>
          <t>Agro</t>
        </is>
      </c>
      <c r="B53" s="8" t="n">
        <v>202602</v>
      </c>
      <c r="C53" s="9" t="n">
        <v>3627569.39321487</v>
      </c>
      <c r="D53" s="9" t="n">
        <v>105990.8964820854</v>
      </c>
      <c r="E53" s="9" t="n">
        <v>613560.3546930675</v>
      </c>
      <c r="F53" s="9" t="n">
        <v>417803.7796399679</v>
      </c>
      <c r="G53" s="9" t="n">
        <v>4347120.644390023</v>
      </c>
      <c r="H53" s="9" t="n">
        <v>3929316.864750056</v>
      </c>
      <c r="I53" s="9" t="n">
        <v>3735779.996596278</v>
      </c>
      <c r="J53" s="10" t="n">
        <v>0.971034</v>
      </c>
      <c r="K53" s="10" t="n">
        <v>0.02921815821920166</v>
      </c>
      <c r="L53" s="10" t="n">
        <v>0.1691381440809077</v>
      </c>
      <c r="M53" s="10" t="n">
        <v>0.1151745795466911</v>
      </c>
    </row>
    <row r="54">
      <c r="A54" s="4" t="inlineStr">
        <is>
          <t>Agro</t>
        </is>
      </c>
      <c r="B54" s="5" t="n">
        <v>202603</v>
      </c>
      <c r="C54" s="6" t="n">
        <v>4864165.670118046</v>
      </c>
      <c r="D54" s="6" t="n">
        <v>125668.9035547721</v>
      </c>
      <c r="E54" s="6" t="n">
        <v>671058.2364492447</v>
      </c>
      <c r="F54" s="6" t="n">
        <v>821542.5166804276</v>
      </c>
      <c r="G54" s="6" t="n">
        <v>5660892.810122062</v>
      </c>
      <c r="H54" s="6" t="n">
        <v>4839350.293441635</v>
      </c>
      <c r="I54" s="6" t="n">
        <v>4789190.886785421</v>
      </c>
      <c r="J54" s="11" t="n">
        <v>1.015655</v>
      </c>
      <c r="K54" s="11" t="n">
        <v>0.02583565447344689</v>
      </c>
      <c r="L54" s="11" t="n">
        <v>0.1379595766179895</v>
      </c>
      <c r="M54" s="11" t="n">
        <v>0.1688969028599081</v>
      </c>
    </row>
    <row r="55">
      <c r="A55" t="inlineStr">
        <is>
          <t>Agro</t>
        </is>
      </c>
      <c r="B55" s="8" t="n">
        <v>202604</v>
      </c>
      <c r="C55" s="9" t="n">
        <v>5196154.117054406</v>
      </c>
      <c r="D55" s="9" t="n">
        <v>131036.8474079502</v>
      </c>
      <c r="E55" s="9" t="n">
        <v>788918.2611284117</v>
      </c>
      <c r="F55" s="9" t="n">
        <v>737361.6688038103</v>
      </c>
      <c r="G55" s="9" t="n">
        <v>6116109.225590767</v>
      </c>
      <c r="H55" s="9" t="n">
        <v>5378747.556786957</v>
      </c>
      <c r="I55" s="9" t="n">
        <v>4993785.935792356</v>
      </c>
      <c r="J55" s="10" t="n">
        <v>1.040524</v>
      </c>
      <c r="K55" s="10" t="n">
        <v>0.02521804481854597</v>
      </c>
      <c r="L55" s="10" t="n">
        <v>0.1518273406362384</v>
      </c>
      <c r="M55" s="10" t="n">
        <v>0.141905273052564</v>
      </c>
    </row>
    <row r="56">
      <c r="A56" s="4" t="inlineStr">
        <is>
          <t>Agro</t>
        </is>
      </c>
      <c r="B56" s="5" t="n">
        <v>202605</v>
      </c>
      <c r="C56" s="6" t="n">
        <v>5927554.624252455</v>
      </c>
      <c r="D56" s="6" t="n">
        <v>145849.838236227</v>
      </c>
      <c r="E56" s="6" t="n">
        <v>920300.9555884916</v>
      </c>
      <c r="F56" s="6" t="n">
        <v>639472.3663646692</v>
      </c>
      <c r="G56" s="6" t="n">
        <v>6993705.418077174</v>
      </c>
      <c r="H56" s="6" t="n">
        <v>6354233.051712505</v>
      </c>
      <c r="I56" s="6" t="n">
        <v>5558326.135709542</v>
      </c>
      <c r="J56" s="11" t="n">
        <v>1.066428</v>
      </c>
      <c r="K56" s="11" t="n">
        <v>0.02460539758494771</v>
      </c>
      <c r="L56" s="11" t="n">
        <v>0.155258114673984</v>
      </c>
      <c r="M56" s="11" t="n">
        <v>0.1078813114177442</v>
      </c>
    </row>
    <row r="57">
      <c r="A57" t="inlineStr">
        <is>
          <t>Autos</t>
        </is>
      </c>
      <c r="B57" s="8" t="n">
        <v>202201</v>
      </c>
      <c r="C57" s="9" t="n">
        <v>5713933.638798065</v>
      </c>
      <c r="D57" s="9" t="n">
        <v>222861.8025168094</v>
      </c>
      <c r="E57" s="9" t="n">
        <v>939731.0370923768</v>
      </c>
      <c r="F57" s="9" t="n">
        <v>358573.4439733378</v>
      </c>
      <c r="G57" s="9" t="n">
        <v>6876526.478407251</v>
      </c>
      <c r="H57" s="9" t="n">
        <v>6517953.034433912</v>
      </c>
      <c r="I57" s="9" t="n">
        <v>5850042.283769959</v>
      </c>
      <c r="J57" s="10" t="n">
        <v>0.9767337331305268</v>
      </c>
      <c r="K57" s="10" t="n">
        <v>0.0390032185539503</v>
      </c>
      <c r="L57" s="10" t="n">
        <v>0.1644630645885574</v>
      </c>
      <c r="M57" s="10" t="n">
        <v>0.06275421918424035</v>
      </c>
    </row>
    <row r="58">
      <c r="A58" s="4" t="inlineStr">
        <is>
          <t>Autos</t>
        </is>
      </c>
      <c r="B58" s="5" t="n">
        <v>202202</v>
      </c>
      <c r="C58" s="6" t="n">
        <v>5324491.85525213</v>
      </c>
      <c r="D58" s="6" t="n">
        <v>205461.1396994328</v>
      </c>
      <c r="E58" s="6" t="n">
        <v>897591.5258366958</v>
      </c>
      <c r="F58" s="6" t="n">
        <v>414774.914235035</v>
      </c>
      <c r="G58" s="6" t="n">
        <v>6427544.520788259</v>
      </c>
      <c r="H58" s="6" t="n">
        <v>6012769.606553224</v>
      </c>
      <c r="I58" s="6" t="n">
        <v>5393287.175647874</v>
      </c>
      <c r="J58" s="11" t="n">
        <v>0.9872442690041847</v>
      </c>
      <c r="K58" s="11" t="n">
        <v>0.03858793388833227</v>
      </c>
      <c r="L58" s="11" t="n">
        <v>0.1685778756429692</v>
      </c>
      <c r="M58" s="11" t="n">
        <v>0.07789943632384319</v>
      </c>
    </row>
    <row r="59">
      <c r="A59" t="inlineStr">
        <is>
          <t>Autos</t>
        </is>
      </c>
      <c r="B59" s="8" t="n">
        <v>202203</v>
      </c>
      <c r="C59" s="9" t="n">
        <v>4513500.129203513</v>
      </c>
      <c r="D59" s="9" t="n">
        <v>176618.1674216106</v>
      </c>
      <c r="E59" s="9" t="n">
        <v>841442.5195187796</v>
      </c>
      <c r="F59" s="9" t="n">
        <v>365421.757469421</v>
      </c>
      <c r="G59" s="9" t="n">
        <v>5531560.816143904</v>
      </c>
      <c r="H59" s="9" t="n">
        <v>5166139.058674483</v>
      </c>
      <c r="I59" s="9" t="n">
        <v>4636175.490372217</v>
      </c>
      <c r="J59" s="10" t="n">
        <v>0.9735395345962508</v>
      </c>
      <c r="K59" s="10" t="n">
        <v>0.03913108726392749</v>
      </c>
      <c r="L59" s="10" t="n">
        <v>0.1864279373948455</v>
      </c>
      <c r="M59" s="10" t="n">
        <v>0.08096194682814956</v>
      </c>
    </row>
    <row r="60">
      <c r="A60" s="4" t="inlineStr">
        <is>
          <t>Autos</t>
        </is>
      </c>
      <c r="B60" s="5" t="n">
        <v>202204</v>
      </c>
      <c r="C60" s="6" t="n">
        <v>5501105.776272652</v>
      </c>
      <c r="D60" s="6" t="n">
        <v>190149.9786191405</v>
      </c>
      <c r="E60" s="6" t="n">
        <v>605486.8736268326</v>
      </c>
      <c r="F60" s="6" t="n">
        <v>377084.8987235381</v>
      </c>
      <c r="G60" s="6" t="n">
        <v>6296742.628518625</v>
      </c>
      <c r="H60" s="6" t="n">
        <v>5919657.729795087</v>
      </c>
      <c r="I60" s="6" t="n">
        <v>4991368.171253335</v>
      </c>
      <c r="J60" s="11" t="n">
        <v>1.102123824075939</v>
      </c>
      <c r="K60" s="11" t="n">
        <v>0.03456577392845174</v>
      </c>
      <c r="L60" s="11" t="n">
        <v>0.1100663936037035</v>
      </c>
      <c r="M60" s="11" t="n">
        <v>0.06854710926482803</v>
      </c>
    </row>
    <row r="61">
      <c r="A61" t="inlineStr">
        <is>
          <t>Autos</t>
        </is>
      </c>
      <c r="B61" s="8" t="n">
        <v>202205</v>
      </c>
      <c r="C61" s="9" t="n">
        <v>4689024.764420512</v>
      </c>
      <c r="D61" s="9" t="n">
        <v>166804.6150720073</v>
      </c>
      <c r="E61" s="9" t="n">
        <v>506608.1862284423</v>
      </c>
      <c r="F61" s="9" t="n">
        <v>321770.4930024637</v>
      </c>
      <c r="G61" s="9" t="n">
        <v>5362437.565720961</v>
      </c>
      <c r="H61" s="9" t="n">
        <v>5040667.072718497</v>
      </c>
      <c r="I61" s="9" t="n">
        <v>4378555.639204475</v>
      </c>
      <c r="J61" s="10" t="n">
        <v>1.07090674432367</v>
      </c>
      <c r="K61" s="10" t="n">
        <v>0.03557341311943821</v>
      </c>
      <c r="L61" s="10" t="n">
        <v>0.1080412690656904</v>
      </c>
      <c r="M61" s="10" t="n">
        <v>0.06862205024891339</v>
      </c>
    </row>
    <row r="62">
      <c r="A62" s="4" t="inlineStr">
        <is>
          <t>Autos</t>
        </is>
      </c>
      <c r="B62" s="5" t="n">
        <v>202206</v>
      </c>
      <c r="C62" s="6" t="n">
        <v>5265362.138632153</v>
      </c>
      <c r="D62" s="6" t="n">
        <v>194571.70143976</v>
      </c>
      <c r="E62" s="6" t="n">
        <v>400703.7754590197</v>
      </c>
      <c r="F62" s="6" t="n">
        <v>309850.2391322702</v>
      </c>
      <c r="G62" s="6" t="n">
        <v>5860637.615530932</v>
      </c>
      <c r="H62" s="6" t="n">
        <v>5550787.376398662</v>
      </c>
      <c r="I62" s="6" t="n">
        <v>5107430.748258281</v>
      </c>
      <c r="J62" s="11" t="n">
        <v>1.030921885808776</v>
      </c>
      <c r="K62" s="11" t="n">
        <v>0.03695314706127815</v>
      </c>
      <c r="L62" s="11" t="n">
        <v>0.07610184540186544</v>
      </c>
      <c r="M62" s="11" t="n">
        <v>0.0588468999803238</v>
      </c>
    </row>
    <row r="63">
      <c r="A63" t="inlineStr">
        <is>
          <t>Autos</t>
        </is>
      </c>
      <c r="B63" s="8" t="n">
        <v>202207</v>
      </c>
      <c r="C63" s="9" t="n">
        <v>7050880.811880603</v>
      </c>
      <c r="D63" s="9" t="n">
        <v>235026.8737783977</v>
      </c>
      <c r="E63" s="9" t="n">
        <v>994192.6315892864</v>
      </c>
      <c r="F63" s="9" t="n">
        <v>536960.6838026578</v>
      </c>
      <c r="G63" s="9" t="n">
        <v>8280100.317248287</v>
      </c>
      <c r="H63" s="9" t="n">
        <v>7743139.633445629</v>
      </c>
      <c r="I63" s="9" t="n">
        <v>6652226.352432995</v>
      </c>
      <c r="J63" s="10" t="n">
        <v>1.059927975737296</v>
      </c>
      <c r="K63" s="10" t="n">
        <v>0.03333298066567538</v>
      </c>
      <c r="L63" s="10" t="n">
        <v>0.1410026148667965</v>
      </c>
      <c r="M63" s="10" t="n">
        <v>0.07615512134283832</v>
      </c>
    </row>
    <row r="64">
      <c r="A64" s="4" t="inlineStr">
        <is>
          <t>Autos</t>
        </is>
      </c>
      <c r="B64" s="5" t="n">
        <v>202208</v>
      </c>
      <c r="C64" s="6" t="n">
        <v>7494821.805373525</v>
      </c>
      <c r="D64" s="6" t="n">
        <v>225594.3310893999</v>
      </c>
      <c r="E64" s="6" t="n">
        <v>1044375.516303269</v>
      </c>
      <c r="F64" s="6" t="n">
        <v>523554.6482187536</v>
      </c>
      <c r="G64" s="6" t="n">
        <v>8764791.652766194</v>
      </c>
      <c r="H64" s="6" t="n">
        <v>8241237.00454744</v>
      </c>
      <c r="I64" s="6" t="n">
        <v>6385269.352489383</v>
      </c>
      <c r="J64" s="11" t="n">
        <v>1.173767525163456</v>
      </c>
      <c r="K64" s="11" t="n">
        <v>0.03010002598429446</v>
      </c>
      <c r="L64" s="11" t="n">
        <v>0.1393462771262271</v>
      </c>
      <c r="M64" s="11" t="n">
        <v>0.06985551649051658</v>
      </c>
    </row>
    <row r="65">
      <c r="A65" t="inlineStr">
        <is>
          <t>Autos</t>
        </is>
      </c>
      <c r="B65" s="8" t="n">
        <v>202209</v>
      </c>
      <c r="C65" s="9" t="n">
        <v>6630663.742416941</v>
      </c>
      <c r="D65" s="9" t="n">
        <v>193292.0768516081</v>
      </c>
      <c r="E65" s="9" t="n">
        <v>1457232.158135052</v>
      </c>
      <c r="F65" s="9" t="n">
        <v>460357.1508066239</v>
      </c>
      <c r="G65" s="9" t="n">
        <v>8281187.977403601</v>
      </c>
      <c r="H65" s="9" t="n">
        <v>7820830.826596977</v>
      </c>
      <c r="I65" s="9" t="n">
        <v>5470952.146167784</v>
      </c>
      <c r="J65" s="10" t="n">
        <v>1.211976190846688</v>
      </c>
      <c r="K65" s="10" t="n">
        <v>0.02915124101605419</v>
      </c>
      <c r="L65" s="10" t="n">
        <v>0.2197716872314017</v>
      </c>
      <c r="M65" s="10" t="n">
        <v>0.06942851706710425</v>
      </c>
    </row>
    <row r="66">
      <c r="A66" s="4" t="inlineStr">
        <is>
          <t>Autos</t>
        </is>
      </c>
      <c r="B66" s="5" t="n">
        <v>202210</v>
      </c>
      <c r="C66" s="6" t="n">
        <v>6433652.622120815</v>
      </c>
      <c r="D66" s="6" t="n">
        <v>182942.565736006</v>
      </c>
      <c r="E66" s="6" t="n">
        <v>995891.499371539</v>
      </c>
      <c r="F66" s="6" t="n">
        <v>415516.1350408625</v>
      </c>
      <c r="G66" s="6" t="n">
        <v>7612486.68722836</v>
      </c>
      <c r="H66" s="6" t="n">
        <v>7196970.552187498</v>
      </c>
      <c r="I66" s="6" t="n">
        <v>5178018.874183217</v>
      </c>
      <c r="J66" s="11" t="n">
        <v>1.242493080548236</v>
      </c>
      <c r="K66" s="11" t="n">
        <v>0.02843525699646806</v>
      </c>
      <c r="L66" s="11" t="n">
        <v>0.1547941049765987</v>
      </c>
      <c r="M66" s="11" t="n">
        <v>0.06458479489741088</v>
      </c>
    </row>
    <row r="67">
      <c r="A67" t="inlineStr">
        <is>
          <t>Autos</t>
        </is>
      </c>
      <c r="B67" s="8" t="n">
        <v>202211</v>
      </c>
      <c r="C67" s="9" t="n">
        <v>5791665.397941796</v>
      </c>
      <c r="D67" s="9" t="n">
        <v>158921.3091914792</v>
      </c>
      <c r="E67" s="9" t="n">
        <v>1422913.389717269</v>
      </c>
      <c r="F67" s="9" t="n">
        <v>450345.1168162585</v>
      </c>
      <c r="G67" s="9" t="n">
        <v>7373500.096850544</v>
      </c>
      <c r="H67" s="9" t="n">
        <v>6923154.980034286</v>
      </c>
      <c r="I67" s="9" t="n">
        <v>4498127.597857358</v>
      </c>
      <c r="J67" s="10" t="n">
        <v>1.287572500322268</v>
      </c>
      <c r="K67" s="10" t="n">
        <v>0.0274396565188237</v>
      </c>
      <c r="L67" s="10" t="n">
        <v>0.2456829412526032</v>
      </c>
      <c r="M67" s="10" t="n">
        <v>0.07775744727523437</v>
      </c>
    </row>
    <row r="68">
      <c r="A68" s="4" t="inlineStr">
        <is>
          <t>Autos</t>
        </is>
      </c>
      <c r="B68" s="5" t="n">
        <v>202212</v>
      </c>
      <c r="C68" s="6" t="n">
        <v>4095427.225010124</v>
      </c>
      <c r="D68" s="6" t="n">
        <v>141830.7244385895</v>
      </c>
      <c r="E68" s="6" t="n">
        <v>657357.6413841888</v>
      </c>
      <c r="F68" s="6" t="n">
        <v>285950.6481657089</v>
      </c>
      <c r="G68" s="6" t="n">
        <v>4894615.590832902</v>
      </c>
      <c r="H68" s="6" t="n">
        <v>4608664.942667193</v>
      </c>
      <c r="I68" s="6" t="n">
        <v>4014401.771274536</v>
      </c>
      <c r="J68" s="11" t="n">
        <v>1.020183693200659</v>
      </c>
      <c r="K68" s="11" t="n">
        <v>0.03463148449384031</v>
      </c>
      <c r="L68" s="11" t="n">
        <v>0.1605101507773865</v>
      </c>
      <c r="M68" s="11" t="n">
        <v>0.06982193369703989</v>
      </c>
    </row>
    <row r="69">
      <c r="A69" t="inlineStr">
        <is>
          <t>Autos</t>
        </is>
      </c>
      <c r="B69" s="8" t="n">
        <v>202301</v>
      </c>
      <c r="C69" s="9" t="n">
        <v>4823537.314082489</v>
      </c>
      <c r="D69" s="9" t="n">
        <v>142436.8750995276</v>
      </c>
      <c r="E69" s="9" t="n">
        <v>749046.2333457191</v>
      </c>
      <c r="F69" s="9" t="n">
        <v>400250.4979032857</v>
      </c>
      <c r="G69" s="9" t="n">
        <v>5715020.422527736</v>
      </c>
      <c r="H69" s="9" t="n">
        <v>5314769.924624451</v>
      </c>
      <c r="I69" s="9" t="n">
        <v>4911635.047548861</v>
      </c>
      <c r="J69" s="10" t="n">
        <v>0.9820634610239747</v>
      </c>
      <c r="K69" s="10" t="n">
        <v>0.02952954767939248</v>
      </c>
      <c r="L69" s="10" t="n">
        <v>0.1552898183577541</v>
      </c>
      <c r="M69" s="10" t="n">
        <v>0.08297862581776658</v>
      </c>
    </row>
    <row r="70">
      <c r="A70" s="4" t="inlineStr">
        <is>
          <t>Autos</t>
        </is>
      </c>
      <c r="B70" s="5" t="n">
        <v>202302</v>
      </c>
      <c r="C70" s="6" t="n">
        <v>4395388.213562671</v>
      </c>
      <c r="D70" s="6" t="n">
        <v>121527.4985948388</v>
      </c>
      <c r="E70" s="6" t="n">
        <v>692700.9069428605</v>
      </c>
      <c r="F70" s="6" t="n">
        <v>390649.1424424158</v>
      </c>
      <c r="G70" s="6" t="n">
        <v>5209616.61910037</v>
      </c>
      <c r="H70" s="6" t="n">
        <v>4818967.476657955</v>
      </c>
      <c r="I70" s="6" t="n">
        <v>4190625.605826145</v>
      </c>
      <c r="J70" s="11" t="n">
        <v>1.048862061896402</v>
      </c>
      <c r="K70" s="11" t="n">
        <v>0.02764886574065207</v>
      </c>
      <c r="L70" s="11" t="n">
        <v>0.15759720718307</v>
      </c>
      <c r="M70" s="11" t="n">
        <v>0.08887705100473391</v>
      </c>
    </row>
    <row r="71">
      <c r="A71" t="inlineStr">
        <is>
          <t>Autos</t>
        </is>
      </c>
      <c r="B71" s="8" t="n">
        <v>202303</v>
      </c>
      <c r="C71" s="9" t="n">
        <v>3784260.036847742</v>
      </c>
      <c r="D71" s="9" t="n">
        <v>105958.5035599136</v>
      </c>
      <c r="E71" s="9" t="n">
        <v>549494.5965893641</v>
      </c>
      <c r="F71" s="9" t="n">
        <v>290487.7053956416</v>
      </c>
      <c r="G71" s="9" t="n">
        <v>4439713.13699702</v>
      </c>
      <c r="H71" s="9" t="n">
        <v>4149225.431601378</v>
      </c>
      <c r="I71" s="9" t="n">
        <v>3653769.292330595</v>
      </c>
      <c r="J71" s="10" t="n">
        <v>1.035714007666289</v>
      </c>
      <c r="K71" s="10" t="n">
        <v>0.02799979455116309</v>
      </c>
      <c r="L71" s="10" t="n">
        <v>0.1452052954180941</v>
      </c>
      <c r="M71" s="10" t="n">
        <v>0.07676208890698102</v>
      </c>
    </row>
    <row r="72">
      <c r="A72" s="4" t="inlineStr">
        <is>
          <t>Autos</t>
        </is>
      </c>
      <c r="B72" s="5" t="n">
        <v>202304</v>
      </c>
      <c r="C72" s="6" t="n">
        <v>4181207.912409246</v>
      </c>
      <c r="D72" s="6" t="n">
        <v>115422.8699925507</v>
      </c>
      <c r="E72" s="6" t="n">
        <v>641766.737639119</v>
      </c>
      <c r="F72" s="6" t="n">
        <v>232664.2882556343</v>
      </c>
      <c r="G72" s="6" t="n">
        <v>4938397.520040915</v>
      </c>
      <c r="H72" s="6" t="n">
        <v>4705733.231785281</v>
      </c>
      <c r="I72" s="6" t="n">
        <v>3980099.273410941</v>
      </c>
      <c r="J72" s="11" t="n">
        <v>1.05052854845652</v>
      </c>
      <c r="K72" s="11" t="n">
        <v>0.02760514961477797</v>
      </c>
      <c r="L72" s="11" t="n">
        <v>0.1534883581690459</v>
      </c>
      <c r="M72" s="11" t="n">
        <v>0.05564523293977295</v>
      </c>
    </row>
    <row r="73">
      <c r="A73" t="inlineStr">
        <is>
          <t>Autos</t>
        </is>
      </c>
      <c r="B73" s="8" t="n">
        <v>202305</v>
      </c>
      <c r="C73" s="9" t="n">
        <v>3659710.426489377</v>
      </c>
      <c r="D73" s="9" t="n">
        <v>104437.1080809109</v>
      </c>
      <c r="E73" s="9" t="n">
        <v>535989.4355686713</v>
      </c>
      <c r="F73" s="9" t="n">
        <v>138681.1754463326</v>
      </c>
      <c r="G73" s="9" t="n">
        <v>4300136.97013896</v>
      </c>
      <c r="H73" s="9" t="n">
        <v>4161455.794692627</v>
      </c>
      <c r="I73" s="9" t="n">
        <v>3601319.322840827</v>
      </c>
      <c r="J73" s="10" t="n">
        <v>1.016213809</v>
      </c>
      <c r="K73" s="10" t="n">
        <v>0.02853698678588991</v>
      </c>
      <c r="L73" s="10" t="n">
        <v>0.1464567884084823</v>
      </c>
      <c r="M73" s="10" t="n">
        <v>0.03789402965943518</v>
      </c>
    </row>
    <row r="74">
      <c r="A74" s="4" t="inlineStr">
        <is>
          <t>Autos</t>
        </is>
      </c>
      <c r="B74" s="5" t="n">
        <v>202306</v>
      </c>
      <c r="C74" s="6" t="n">
        <v>3200811.748346538</v>
      </c>
      <c r="D74" s="6" t="n">
        <v>93869.27773493189</v>
      </c>
      <c r="E74" s="6" t="n">
        <v>388585.4395989624</v>
      </c>
      <c r="F74" s="6" t="n">
        <v>87467.74872046553</v>
      </c>
      <c r="G74" s="6" t="n">
        <v>3683266.465680432</v>
      </c>
      <c r="H74" s="6" t="n">
        <v>3595798.716959966</v>
      </c>
      <c r="I74" s="6" t="n">
        <v>3236919.491583474</v>
      </c>
      <c r="J74" s="11" t="n">
        <v>0.9888450289447044</v>
      </c>
      <c r="K74" s="11" t="n">
        <v>0.02932670994581999</v>
      </c>
      <c r="L74" s="11" t="n">
        <v>0.1214021536254659</v>
      </c>
      <c r="M74" s="11" t="n">
        <v>0.02732673946402792</v>
      </c>
    </row>
    <row r="75">
      <c r="A75" t="inlineStr">
        <is>
          <t>Autos</t>
        </is>
      </c>
      <c r="B75" s="8" t="n">
        <v>202307</v>
      </c>
      <c r="C75" s="9" t="n">
        <v>6046780.66554389</v>
      </c>
      <c r="D75" s="9" t="n">
        <v>179412.6169061526</v>
      </c>
      <c r="E75" s="9" t="n">
        <v>658066.4349446376</v>
      </c>
      <c r="F75" s="9" t="n">
        <v>708470.3455524899</v>
      </c>
      <c r="G75" s="9" t="n">
        <v>6884259.71739468</v>
      </c>
      <c r="H75" s="9" t="n">
        <v>6175789.37184219</v>
      </c>
      <c r="I75" s="9" t="n">
        <v>6169529.627002737</v>
      </c>
      <c r="J75" s="10" t="n">
        <v>0.980104</v>
      </c>
      <c r="K75" s="10" t="n">
        <v>0.02967076645073167</v>
      </c>
      <c r="L75" s="10" t="n">
        <v>0.1088292219187756</v>
      </c>
      <c r="M75" s="10" t="n">
        <v>0.1171648823959394</v>
      </c>
    </row>
    <row r="76">
      <c r="A76" s="4" t="inlineStr">
        <is>
          <t>Autos</t>
        </is>
      </c>
      <c r="B76" s="5" t="n">
        <v>202308</v>
      </c>
      <c r="C76" s="6" t="n">
        <v>6313354.541137015</v>
      </c>
      <c r="D76" s="6" t="n">
        <v>169602.3517754116</v>
      </c>
      <c r="E76" s="6" t="n">
        <v>1142137.143510484</v>
      </c>
      <c r="F76" s="6" t="n">
        <v>706193.6945916788</v>
      </c>
      <c r="G76" s="6" t="n">
        <v>7625094.03642291</v>
      </c>
      <c r="H76" s="6" t="n">
        <v>6918900.341831232</v>
      </c>
      <c r="I76" s="6" t="n">
        <v>5866651.054165908</v>
      </c>
      <c r="J76" s="11" t="n">
        <v>1.076142842457607</v>
      </c>
      <c r="K76" s="11" t="n">
        <v>0.02686406262634298</v>
      </c>
      <c r="L76" s="11" t="n">
        <v>0.1809081267444214</v>
      </c>
      <c r="M76" s="11" t="n">
        <v>0.1118571260318442</v>
      </c>
    </row>
    <row r="77">
      <c r="A77" t="inlineStr">
        <is>
          <t>Autos</t>
        </is>
      </c>
      <c r="B77" s="8" t="n">
        <v>202309</v>
      </c>
      <c r="C77" s="9" t="n">
        <v>5815968.402963066</v>
      </c>
      <c r="D77" s="9" t="n">
        <v>153554.4064402481</v>
      </c>
      <c r="E77" s="9" t="n">
        <v>1145591.725910752</v>
      </c>
      <c r="F77" s="9" t="n">
        <v>714992.3639681201</v>
      </c>
      <c r="G77" s="9" t="n">
        <v>7115114.535314065</v>
      </c>
      <c r="H77" s="9" t="n">
        <v>6400122.171345945</v>
      </c>
      <c r="I77" s="9" t="n">
        <v>5294979.554374571</v>
      </c>
      <c r="J77" s="10" t="n">
        <v>1.098392985891337</v>
      </c>
      <c r="K77" s="10" t="n">
        <v>0.02640220781839472</v>
      </c>
      <c r="L77" s="10" t="n">
        <v>0.1969735126702385</v>
      </c>
      <c r="M77" s="10" t="n">
        <v>0.1229360812214613</v>
      </c>
    </row>
    <row r="78">
      <c r="A78" s="4" t="inlineStr">
        <is>
          <t>Autos</t>
        </is>
      </c>
      <c r="B78" s="5" t="n">
        <v>202310</v>
      </c>
      <c r="C78" s="6" t="n">
        <v>4625266.923525007</v>
      </c>
      <c r="D78" s="6" t="n">
        <v>136699.1256830601</v>
      </c>
      <c r="E78" s="6" t="n">
        <v>724301.4307508806</v>
      </c>
      <c r="F78" s="6" t="n">
        <v>646721.1811045462</v>
      </c>
      <c r="G78" s="6" t="n">
        <v>5486267.479958947</v>
      </c>
      <c r="H78" s="6" t="n">
        <v>4839546.2988544</v>
      </c>
      <c r="I78" s="6" t="n">
        <v>4713786.493362901</v>
      </c>
      <c r="J78" s="11" t="n">
        <v>0.9812211329548908</v>
      </c>
      <c r="K78" s="11" t="n">
        <v>0.0295548620097538</v>
      </c>
      <c r="L78" s="11" t="n">
        <v>0.1565966770624507</v>
      </c>
      <c r="M78" s="11" t="n">
        <v>0.1398235370623037</v>
      </c>
    </row>
    <row r="79">
      <c r="A79" t="inlineStr">
        <is>
          <t>Autos</t>
        </is>
      </c>
      <c r="B79" s="8" t="n">
        <v>202311</v>
      </c>
      <c r="C79" s="9" t="n">
        <v>5061851.489305412</v>
      </c>
      <c r="D79" s="9" t="n">
        <v>123267.7730297401</v>
      </c>
      <c r="E79" s="9" t="n">
        <v>1173553.767404945</v>
      </c>
      <c r="F79" s="9" t="n">
        <v>696495.4173448436</v>
      </c>
      <c r="G79" s="9" t="n">
        <v>6358673.029740097</v>
      </c>
      <c r="H79" s="9" t="n">
        <v>5662177.612395253</v>
      </c>
      <c r="I79" s="9" t="n">
        <v>4250652.731567003</v>
      </c>
      <c r="J79" s="10" t="n">
        <v>1.190840985835924</v>
      </c>
      <c r="K79" s="10" t="n">
        <v>0.02435230928646919</v>
      </c>
      <c r="L79" s="10" t="n">
        <v>0.2318427891225983</v>
      </c>
      <c r="M79" s="10" t="n">
        <v>0.1375969679901488</v>
      </c>
    </row>
    <row r="80">
      <c r="A80" s="4" t="inlineStr">
        <is>
          <t>Autos</t>
        </is>
      </c>
      <c r="B80" s="5" t="n">
        <v>202312</v>
      </c>
      <c r="C80" s="6" t="n">
        <v>5698912.647790365</v>
      </c>
      <c r="D80" s="6" t="n">
        <v>167653.9141607629</v>
      </c>
      <c r="E80" s="6" t="n">
        <v>931623.9942003702</v>
      </c>
      <c r="F80" s="6" t="n">
        <v>550157.5978687539</v>
      </c>
      <c r="G80" s="6" t="n">
        <v>6798190.556151498</v>
      </c>
      <c r="H80" s="6" t="n">
        <v>6248032.958282745</v>
      </c>
      <c r="I80" s="6" t="n">
        <v>5762139.247652128</v>
      </c>
      <c r="J80" s="11" t="n">
        <v>0.989027235</v>
      </c>
      <c r="K80" s="11" t="n">
        <v>0.02941857938913439</v>
      </c>
      <c r="L80" s="11" t="n">
        <v>0.1634739908781701</v>
      </c>
      <c r="M80" s="11" t="n">
        <v>0.09653729261529673</v>
      </c>
    </row>
    <row r="81">
      <c r="A81" t="inlineStr">
        <is>
          <t>Autos</t>
        </is>
      </c>
      <c r="B81" s="8" t="n">
        <v>202401</v>
      </c>
      <c r="C81" s="9" t="n">
        <v>6174899.37958164</v>
      </c>
      <c r="D81" s="9" t="n">
        <v>178412.7632254751</v>
      </c>
      <c r="E81" s="9" t="n">
        <v>1096714.679343513</v>
      </c>
      <c r="F81" s="9" t="n">
        <v>492967.5217117243</v>
      </c>
      <c r="G81" s="9" t="n">
        <v>7450026.822150627</v>
      </c>
      <c r="H81" s="9" t="n">
        <v>6957059.300438903</v>
      </c>
      <c r="I81" s="9" t="n">
        <v>6315998.792608513</v>
      </c>
      <c r="J81" s="10" t="n">
        <v>0.9776600000000001</v>
      </c>
      <c r="K81" s="10" t="n">
        <v>0.02889322598768611</v>
      </c>
      <c r="L81" s="10" t="n">
        <v>0.1776085101839857</v>
      </c>
      <c r="M81" s="10" t="n">
        <v>0.07983409791936136</v>
      </c>
    </row>
    <row r="82">
      <c r="A82" s="4" t="inlineStr">
        <is>
          <t>Autos</t>
        </is>
      </c>
      <c r="B82" s="5" t="n">
        <v>202402</v>
      </c>
      <c r="C82" s="6" t="n">
        <v>5752083.065854359</v>
      </c>
      <c r="D82" s="6" t="n">
        <v>157508.4963909395</v>
      </c>
      <c r="E82" s="6" t="n">
        <v>1146679.493148356</v>
      </c>
      <c r="F82" s="6" t="n">
        <v>436830.4908439514</v>
      </c>
      <c r="G82" s="6" t="n">
        <v>7056271.055393655</v>
      </c>
      <c r="H82" s="6" t="n">
        <v>6619440.564549703</v>
      </c>
      <c r="I82" s="6" t="n">
        <v>5575998.605879297</v>
      </c>
      <c r="J82" s="11" t="n">
        <v>1.031579</v>
      </c>
      <c r="K82" s="11" t="n">
        <v>0.02738286192804566</v>
      </c>
      <c r="L82" s="11" t="n">
        <v>0.199350301450843</v>
      </c>
      <c r="M82" s="11" t="n">
        <v>0.07594300809685348</v>
      </c>
    </row>
    <row r="83">
      <c r="A83" t="inlineStr">
        <is>
          <t>Autos</t>
        </is>
      </c>
      <c r="B83" s="8" t="n">
        <v>202403</v>
      </c>
      <c r="C83" s="9" t="n">
        <v>5028291.876830189</v>
      </c>
      <c r="D83" s="9" t="n">
        <v>143486.4</v>
      </c>
      <c r="E83" s="9" t="n">
        <v>834924.1968301885</v>
      </c>
      <c r="F83" s="9" t="n">
        <v>379043.6063396227</v>
      </c>
      <c r="G83" s="9" t="n">
        <v>6006702.473660379</v>
      </c>
      <c r="H83" s="9" t="n">
        <v>5627658.867320756</v>
      </c>
      <c r="I83" s="9" t="n">
        <v>5079595.794353156</v>
      </c>
      <c r="J83" s="10" t="n">
        <v>0.9899</v>
      </c>
      <c r="K83" s="10" t="n">
        <v>0.0285358136549649</v>
      </c>
      <c r="L83" s="10" t="n">
        <v>0.1660452927717714</v>
      </c>
      <c r="M83" s="10" t="n">
        <v>0.07538218059421203</v>
      </c>
    </row>
    <row r="84">
      <c r="A84" s="4" t="inlineStr">
        <is>
          <t>Autos</t>
        </is>
      </c>
      <c r="B84" s="5" t="n">
        <v>202404</v>
      </c>
      <c r="C84" s="6" t="n">
        <v>10027128.91491697</v>
      </c>
      <c r="D84" s="6" t="n">
        <v>290514.7569890464</v>
      </c>
      <c r="E84" s="6" t="n">
        <v>1762481.965107317</v>
      </c>
      <c r="F84" s="6" t="n">
        <v>592908.8241819838</v>
      </c>
      <c r="G84" s="6" t="n">
        <v>12080125.63701334</v>
      </c>
      <c r="H84" s="6" t="n">
        <v>11487216.81283135</v>
      </c>
      <c r="I84" s="6" t="n">
        <v>10284551.23226045</v>
      </c>
      <c r="J84" s="11" t="n">
        <v>0.97497</v>
      </c>
      <c r="K84" s="11" t="n">
        <v>0.0289728754316561</v>
      </c>
      <c r="L84" s="11" t="n">
        <v>0.175771347916485</v>
      </c>
      <c r="M84" s="11" t="n">
        <v>0.05913046787500022</v>
      </c>
    </row>
    <row r="85">
      <c r="A85" t="inlineStr">
        <is>
          <t>Autos</t>
        </is>
      </c>
      <c r="B85" s="8" t="n">
        <v>202405</v>
      </c>
      <c r="C85" s="9" t="n">
        <v>8475910.437170707</v>
      </c>
      <c r="D85" s="9" t="n">
        <v>256132.5514786483</v>
      </c>
      <c r="E85" s="9" t="n">
        <v>1293480.561874565</v>
      </c>
      <c r="F85" s="9" t="n">
        <v>465536.7345976592</v>
      </c>
      <c r="G85" s="9" t="n">
        <v>10025523.55052392</v>
      </c>
      <c r="H85" s="9" t="n">
        <v>9559986.815926259</v>
      </c>
      <c r="I85" s="9" t="n">
        <v>9067375.32994288</v>
      </c>
      <c r="J85" s="10" t="n">
        <v>0.9347700000000001</v>
      </c>
      <c r="K85" s="10" t="n">
        <v>0.03021888366769321</v>
      </c>
      <c r="L85" s="10" t="n">
        <v>0.152606681189323</v>
      </c>
      <c r="M85" s="10" t="n">
        <v>0.05492468780180472</v>
      </c>
    </row>
    <row r="86">
      <c r="A86" s="4" t="inlineStr">
        <is>
          <t>Autos</t>
        </is>
      </c>
      <c r="B86" s="5" t="n">
        <v>202406</v>
      </c>
      <c r="C86" s="6" t="n">
        <v>9525537.755793989</v>
      </c>
      <c r="D86" s="6" t="n">
        <v>290823.825617132</v>
      </c>
      <c r="E86" s="6" t="n">
        <v>1126558.546882348</v>
      </c>
      <c r="F86" s="6" t="n">
        <v>419267.9660071529</v>
      </c>
      <c r="G86" s="6" t="n">
        <v>10942920.12829347</v>
      </c>
      <c r="H86" s="6" t="n">
        <v>10523652.16228632</v>
      </c>
      <c r="I86" s="6" t="n">
        <v>10295541.28878199</v>
      </c>
      <c r="J86" s="11" t="n">
        <v>0.9252099999999999</v>
      </c>
      <c r="K86" s="11" t="n">
        <v>0.03053096140847649</v>
      </c>
      <c r="L86" s="11" t="n">
        <v>0.118267186143597</v>
      </c>
      <c r="M86" s="11" t="n">
        <v>0.04401514924993391</v>
      </c>
    </row>
    <row r="87">
      <c r="A87" t="inlineStr">
        <is>
          <t>Autos</t>
        </is>
      </c>
      <c r="B87" s="8" t="n">
        <v>202407</v>
      </c>
      <c r="C87" s="9" t="n">
        <v>12226037.08243882</v>
      </c>
      <c r="D87" s="9" t="n">
        <v>381277.3357664233</v>
      </c>
      <c r="E87" s="9" t="n">
        <v>1457086.230141692</v>
      </c>
      <c r="F87" s="9" t="n">
        <v>1045820.089630743</v>
      </c>
      <c r="G87" s="9" t="n">
        <v>14064400.64834693</v>
      </c>
      <c r="H87" s="9" t="n">
        <v>13018580.55871619</v>
      </c>
      <c r="I87" s="9" t="n">
        <v>13497650.76059442</v>
      </c>
      <c r="J87" s="10" t="n">
        <v>0.9057899999999999</v>
      </c>
      <c r="K87" s="10" t="n">
        <v>0.03118568455138099</v>
      </c>
      <c r="L87" s="10" t="n">
        <v>0.1191789473822728</v>
      </c>
      <c r="M87" s="10" t="n">
        <v>0.08554039895175301</v>
      </c>
    </row>
    <row r="88">
      <c r="A88" s="4" t="inlineStr">
        <is>
          <t>Autos</t>
        </is>
      </c>
      <c r="B88" s="5" t="n">
        <v>202408</v>
      </c>
      <c r="C88" s="6" t="n">
        <v>12009420.59768458</v>
      </c>
      <c r="D88" s="6" t="n">
        <v>343210.8685611617</v>
      </c>
      <c r="E88" s="6" t="n">
        <v>2114864.553589102</v>
      </c>
      <c r="F88" s="6" t="n">
        <v>1026364.359199501</v>
      </c>
      <c r="G88" s="6" t="n">
        <v>14467496.01983484</v>
      </c>
      <c r="H88" s="6" t="n">
        <v>13441131.66063534</v>
      </c>
      <c r="I88" s="6" t="n">
        <v>12149996.05200629</v>
      </c>
      <c r="J88" s="11" t="n">
        <v>0.98843</v>
      </c>
      <c r="K88" s="11" t="n">
        <v>0.02857847019092102</v>
      </c>
      <c r="L88" s="11" t="n">
        <v>0.1761004651628946</v>
      </c>
      <c r="M88" s="11" t="n">
        <v>0.08546327034273277</v>
      </c>
    </row>
    <row r="89">
      <c r="A89" t="inlineStr">
        <is>
          <t>Autos</t>
        </is>
      </c>
      <c r="B89" s="8" t="n">
        <v>202409</v>
      </c>
      <c r="C89" s="9" t="n">
        <v>13444187.65393229</v>
      </c>
      <c r="D89" s="9" t="n">
        <v>361513.0945912321</v>
      </c>
      <c r="E89" s="9" t="n">
        <v>2548300.732273348</v>
      </c>
      <c r="F89" s="9" t="n">
        <v>1030184.538469742</v>
      </c>
      <c r="G89" s="9" t="n">
        <v>16354001.48079687</v>
      </c>
      <c r="H89" s="9" t="n">
        <v>15323816.94232712</v>
      </c>
      <c r="I89" s="9" t="n">
        <v>12797894.00659904</v>
      </c>
      <c r="J89" s="10" t="n">
        <v>1.0505</v>
      </c>
      <c r="K89" s="10" t="n">
        <v>0.02688991733059403</v>
      </c>
      <c r="L89" s="10" t="n">
        <v>0.1895466500371256</v>
      </c>
      <c r="M89" s="10" t="n">
        <v>0.07662675983018008</v>
      </c>
    </row>
    <row r="90">
      <c r="A90" s="4" t="inlineStr">
        <is>
          <t>Autos</t>
        </is>
      </c>
      <c r="B90" s="5" t="n">
        <v>202410</v>
      </c>
      <c r="C90" s="6" t="n">
        <v>15121809.61825805</v>
      </c>
      <c r="D90" s="6" t="n">
        <v>455888.0010394336</v>
      </c>
      <c r="E90" s="6" t="n">
        <v>2496672.287603256</v>
      </c>
      <c r="F90" s="6" t="n">
        <v>955620.3254226446</v>
      </c>
      <c r="G90" s="6" t="n">
        <v>18074369.90690074</v>
      </c>
      <c r="H90" s="6" t="n">
        <v>17118749.58147809</v>
      </c>
      <c r="I90" s="6" t="n">
        <v>16138881.95933536</v>
      </c>
      <c r="J90" s="11" t="n">
        <v>0.93698</v>
      </c>
      <c r="K90" s="11" t="n">
        <v>0.03014771462861133</v>
      </c>
      <c r="L90" s="11" t="n">
        <v>0.165104068271616</v>
      </c>
      <c r="M90" s="11" t="n">
        <v>0.06319483907989625</v>
      </c>
    </row>
    <row r="91">
      <c r="A91" t="inlineStr">
        <is>
          <t>Autos</t>
        </is>
      </c>
      <c r="B91" s="8" t="n">
        <v>202411</v>
      </c>
      <c r="C91" s="9" t="n">
        <v>12310132.34943102</v>
      </c>
      <c r="D91" s="9" t="n">
        <v>413226.9425522197</v>
      </c>
      <c r="E91" s="9" t="n">
        <v>1493130.529784737</v>
      </c>
      <c r="F91" s="9" t="n">
        <v>818226.168036108</v>
      </c>
      <c r="G91" s="9" t="n">
        <v>14216489.82176798</v>
      </c>
      <c r="H91" s="9" t="n">
        <v>13398263.65373187</v>
      </c>
      <c r="I91" s="9" t="n">
        <v>14628678.9133843</v>
      </c>
      <c r="J91" s="10" t="n">
        <v>0.8415067705237586</v>
      </c>
      <c r="K91" s="10" t="n">
        <v>0.03356803410576809</v>
      </c>
      <c r="L91" s="10" t="n">
        <v>0.1212928088343217</v>
      </c>
      <c r="M91" s="10" t="n">
        <v>0.0664676987062553</v>
      </c>
    </row>
    <row r="92">
      <c r="A92" s="4" t="inlineStr">
        <is>
          <t>Autos</t>
        </is>
      </c>
      <c r="B92" s="5" t="n">
        <v>202412</v>
      </c>
      <c r="C92" s="6" t="n">
        <v>12344076.66751265</v>
      </c>
      <c r="D92" s="6" t="n">
        <v>452210.0484128162</v>
      </c>
      <c r="E92" s="6" t="n">
        <v>1362271.463254625</v>
      </c>
      <c r="F92" s="6" t="n">
        <v>740029.5476203017</v>
      </c>
      <c r="G92" s="6" t="n">
        <v>14158558.1791801</v>
      </c>
      <c r="H92" s="6" t="n">
        <v>13418528.63155979</v>
      </c>
      <c r="I92" s="6" t="n">
        <v>14867240.68606717</v>
      </c>
      <c r="J92" s="11" t="n">
        <v>0.830287</v>
      </c>
      <c r="K92" s="11" t="n">
        <v>0.03663376861575644</v>
      </c>
      <c r="L92" s="11" t="n">
        <v>0.1103583119213666</v>
      </c>
      <c r="M92" s="11" t="n">
        <v>0.05995017428625698</v>
      </c>
    </row>
    <row r="93">
      <c r="A93" t="inlineStr">
        <is>
          <t>Autos</t>
        </is>
      </c>
      <c r="B93" s="8" t="n">
        <v>202501</v>
      </c>
      <c r="C93" s="9" t="n">
        <v>11514248.16673193</v>
      </c>
      <c r="D93" s="9" t="n">
        <v>411032.5468528697</v>
      </c>
      <c r="E93" s="9" t="n">
        <v>1394947.716209618</v>
      </c>
      <c r="F93" s="9" t="n">
        <v>683026.383591707</v>
      </c>
      <c r="G93" s="9" t="n">
        <v>13320228.42979441</v>
      </c>
      <c r="H93" s="9" t="n">
        <v>12637202.04620271</v>
      </c>
      <c r="I93" s="9" t="n">
        <v>13867792.90381751</v>
      </c>
      <c r="J93" s="10" t="n">
        <v>0.830287</v>
      </c>
      <c r="K93" s="10" t="n">
        <v>0.03569773214029419</v>
      </c>
      <c r="L93" s="10" t="n">
        <v>0.1211497004415829</v>
      </c>
      <c r="M93" s="10" t="n">
        <v>0.05932010268505177</v>
      </c>
    </row>
    <row r="94">
      <c r="A94" s="4" t="inlineStr">
        <is>
          <t>Autos</t>
        </is>
      </c>
      <c r="B94" s="5" t="n">
        <v>202502</v>
      </c>
      <c r="C94" s="6" t="n">
        <v>11695972.99375067</v>
      </c>
      <c r="D94" s="6" t="n">
        <v>377675.1596349536</v>
      </c>
      <c r="E94" s="6" t="n">
        <v>1958061.008251451</v>
      </c>
      <c r="F94" s="6" t="n">
        <v>657191.803461916</v>
      </c>
      <c r="G94" s="6" t="n">
        <v>14031709.16163707</v>
      </c>
      <c r="H94" s="6" t="n">
        <v>13374517.35817516</v>
      </c>
      <c r="I94" s="6" t="n">
        <v>13365146.08877817</v>
      </c>
      <c r="J94" s="11" t="n">
        <v>0.8751100000000001</v>
      </c>
      <c r="K94" s="11" t="n">
        <v>0.0322910423815745</v>
      </c>
      <c r="L94" s="11" t="n">
        <v>0.167413263462362</v>
      </c>
      <c r="M94" s="11" t="n">
        <v>0.05618957942302564</v>
      </c>
    </row>
    <row r="95">
      <c r="A95" t="inlineStr">
        <is>
          <t>Autos</t>
        </is>
      </c>
      <c r="B95" s="8" t="n">
        <v>202503</v>
      </c>
      <c r="C95" s="9" t="n">
        <v>11717736.66350609</v>
      </c>
      <c r="D95" s="9" t="n">
        <v>378807.9934898634</v>
      </c>
      <c r="E95" s="9" t="n">
        <v>1738348.8050087</v>
      </c>
      <c r="F95" s="9" t="n">
        <v>580446.8211765165</v>
      </c>
      <c r="G95" s="9" t="n">
        <v>13834893.46200465</v>
      </c>
      <c r="H95" s="9" t="n">
        <v>13254446.64082814</v>
      </c>
      <c r="I95" s="9" t="n">
        <v>13405180.82586611</v>
      </c>
      <c r="J95" s="10" t="n">
        <v>0.8741200000000001</v>
      </c>
      <c r="K95" s="10" t="n">
        <v>0.03232774420248145</v>
      </c>
      <c r="L95" s="10" t="n">
        <v>0.1483519262233159</v>
      </c>
      <c r="M95" s="10" t="n">
        <v>0.04953574549804226</v>
      </c>
    </row>
    <row r="96">
      <c r="A96" s="4" t="inlineStr">
        <is>
          <t>Autos</t>
        </is>
      </c>
      <c r="B96" s="5" t="n">
        <v>202504</v>
      </c>
      <c r="C96" s="6" t="n">
        <v>10295098.66113309</v>
      </c>
      <c r="D96" s="6" t="n">
        <v>332835.5095443977</v>
      </c>
      <c r="E96" s="6" t="n">
        <v>1497585.03283436</v>
      </c>
      <c r="F96" s="6" t="n">
        <v>474523.3424766488</v>
      </c>
      <c r="G96" s="6" t="n">
        <v>12125519.20351185</v>
      </c>
      <c r="H96" s="6" t="n">
        <v>11650995.8610352</v>
      </c>
      <c r="I96" s="6" t="n">
        <v>11778345.74019597</v>
      </c>
      <c r="J96" s="11" t="n">
        <v>0.8740700000000001</v>
      </c>
      <c r="K96" s="11" t="n">
        <v>0.03232951140147359</v>
      </c>
      <c r="L96" s="11" t="n">
        <v>0.1454658262274034</v>
      </c>
      <c r="M96" s="11" t="n">
        <v>0.04609216075491424</v>
      </c>
    </row>
    <row r="97">
      <c r="A97" t="inlineStr">
        <is>
          <t>Autos</t>
        </is>
      </c>
      <c r="B97" s="8" t="n">
        <v>202505</v>
      </c>
      <c r="C97" s="9" t="n">
        <v>10101748.61593033</v>
      </c>
      <c r="D97" s="9" t="n">
        <v>341046.7186025769</v>
      </c>
      <c r="E97" s="9" t="n">
        <v>1473201.283789706</v>
      </c>
      <c r="F97" s="9" t="n">
        <v>441816.3417664739</v>
      </c>
      <c r="G97" s="9" t="n">
        <v>11915996.61832262</v>
      </c>
      <c r="H97" s="9" t="n">
        <v>11474180.27655614</v>
      </c>
      <c r="I97" s="9" t="n">
        <v>12068994.76216288</v>
      </c>
      <c r="J97" s="10" t="n">
        <v>0.837</v>
      </c>
      <c r="K97" s="10" t="n">
        <v>0.03376115676297373</v>
      </c>
      <c r="L97" s="10" t="n">
        <v>0.1458362645717085</v>
      </c>
      <c r="M97" s="10" t="n">
        <v>0.04373662012037549</v>
      </c>
    </row>
    <row r="98">
      <c r="A98" s="4" t="inlineStr">
        <is>
          <t>Autos</t>
        </is>
      </c>
      <c r="B98" s="5" t="n">
        <v>202506</v>
      </c>
      <c r="C98" s="6" t="n">
        <v>9632335.00005329</v>
      </c>
      <c r="D98" s="6" t="n">
        <v>321935.0496125849</v>
      </c>
      <c r="E98" s="6" t="n">
        <v>1282985.883594274</v>
      </c>
      <c r="F98" s="6" t="n">
        <v>364541.4800643738</v>
      </c>
      <c r="G98" s="6" t="n">
        <v>11237255.93326015</v>
      </c>
      <c r="H98" s="6" t="n">
        <v>10872714.45319578</v>
      </c>
      <c r="I98" s="6" t="n">
        <v>11508166.06935877</v>
      </c>
      <c r="J98" s="11" t="n">
        <v>0.837</v>
      </c>
      <c r="K98" s="11" t="n">
        <v>0.03342232694469241</v>
      </c>
      <c r="L98" s="11" t="n">
        <v>0.1331957291339199</v>
      </c>
      <c r="M98" s="11" t="n">
        <v>0.03784559819216804</v>
      </c>
    </row>
    <row r="99">
      <c r="A99" t="inlineStr">
        <is>
          <t>Autos</t>
        </is>
      </c>
      <c r="B99" s="8" t="n">
        <v>202507</v>
      </c>
      <c r="C99" s="9" t="n">
        <v>12732449.54579182</v>
      </c>
      <c r="D99" s="9" t="n">
        <v>405500.5867076532</v>
      </c>
      <c r="E99" s="9" t="n">
        <v>2143530.636527454</v>
      </c>
      <c r="F99" s="9" t="n">
        <v>727210.8002967988</v>
      </c>
      <c r="G99" s="9" t="n">
        <v>15281480.76902693</v>
      </c>
      <c r="H99" s="9" t="n">
        <v>14554269.96873013</v>
      </c>
      <c r="I99" s="9" t="n">
        <v>14349849.81853898</v>
      </c>
      <c r="J99" s="10" t="n">
        <v>0.887288</v>
      </c>
      <c r="K99" s="10" t="n">
        <v>0.03184780628812109</v>
      </c>
      <c r="L99" s="10" t="n">
        <v>0.1683517872046789</v>
      </c>
      <c r="M99" s="10" t="n">
        <v>0.05711476002173895</v>
      </c>
    </row>
    <row r="100">
      <c r="A100" s="4" t="inlineStr">
        <is>
          <t>Autos</t>
        </is>
      </c>
      <c r="B100" s="5" t="n">
        <v>202508</v>
      </c>
      <c r="C100" s="6" t="n">
        <v>9674212.897141172</v>
      </c>
      <c r="D100" s="6" t="n">
        <v>353409.0373228305</v>
      </c>
      <c r="E100" s="6" t="n">
        <v>1397340.605524743</v>
      </c>
      <c r="F100" s="6" t="n">
        <v>850743.5940304905</v>
      </c>
      <c r="G100" s="6" t="n">
        <v>11424962.53998874</v>
      </c>
      <c r="H100" s="6" t="n">
        <v>10574218.94595826</v>
      </c>
      <c r="I100" s="6" t="n">
        <v>12506431.99262244</v>
      </c>
      <c r="J100" s="11" t="n">
        <v>0.773539</v>
      </c>
      <c r="K100" s="11" t="n">
        <v>0.03653103783019562</v>
      </c>
      <c r="L100" s="11" t="n">
        <v>0.1444397203557172</v>
      </c>
      <c r="M100" s="11" t="n">
        <v>0.08793930866271238</v>
      </c>
    </row>
    <row r="101">
      <c r="A101" t="inlineStr">
        <is>
          <t>Autos</t>
        </is>
      </c>
      <c r="B101" s="8" t="n">
        <v>202509</v>
      </c>
      <c r="C101" s="9" t="n">
        <v>8921724.585169291</v>
      </c>
      <c r="D101" s="9" t="n">
        <v>340360.4721890066</v>
      </c>
      <c r="E101" s="9" t="n">
        <v>1599973.515809705</v>
      </c>
      <c r="F101" s="9" t="n">
        <v>738064.0649314485</v>
      </c>
      <c r="G101" s="9" t="n">
        <v>10862058.573168</v>
      </c>
      <c r="H101" s="9" t="n">
        <v>10123994.50823656</v>
      </c>
      <c r="I101" s="9" t="n">
        <v>12044655.83051314</v>
      </c>
      <c r="J101" s="10" t="n">
        <v>0.740720591</v>
      </c>
      <c r="K101" s="10" t="n">
        <v>0.03814962779223118</v>
      </c>
      <c r="L101" s="10" t="n">
        <v>0.179334555840175</v>
      </c>
      <c r="M101" s="10" t="n">
        <v>0.0827266138834125</v>
      </c>
    </row>
    <row r="102">
      <c r="A102" s="4" t="inlineStr">
        <is>
          <t>Autos</t>
        </is>
      </c>
      <c r="B102" s="5" t="n">
        <v>202510</v>
      </c>
      <c r="C102" s="6" t="n">
        <v>7995732.509311288</v>
      </c>
      <c r="D102" s="6" t="n">
        <v>307198.8245172125</v>
      </c>
      <c r="E102" s="6" t="n">
        <v>993593.3421602187</v>
      </c>
      <c r="F102" s="6" t="n">
        <v>645965.6300458567</v>
      </c>
      <c r="G102" s="6" t="n">
        <v>9296524.675988721</v>
      </c>
      <c r="H102" s="6" t="n">
        <v>8650559.045942862</v>
      </c>
      <c r="I102" s="6" t="n">
        <v>10871152.29002214</v>
      </c>
      <c r="J102" s="11" t="n">
        <v>0.7355</v>
      </c>
      <c r="K102" s="11" t="n">
        <v>0.03842034787425287</v>
      </c>
      <c r="L102" s="11" t="n">
        <v>0.1242654554793007</v>
      </c>
      <c r="M102" s="11" t="n">
        <v>0.08078879943690075</v>
      </c>
    </row>
    <row r="103">
      <c r="A103" t="inlineStr">
        <is>
          <t>Autos</t>
        </is>
      </c>
      <c r="B103" s="8" t="n">
        <v>202511</v>
      </c>
      <c r="C103" s="9" t="n">
        <v>15456479.61170355</v>
      </c>
      <c r="D103" s="9" t="n">
        <v>592675.9009144424</v>
      </c>
      <c r="E103" s="9" t="n">
        <v>2019110.215738468</v>
      </c>
      <c r="F103" s="9" t="n">
        <v>783878.5469492165</v>
      </c>
      <c r="G103" s="9" t="n">
        <v>18068265.72835647</v>
      </c>
      <c r="H103" s="9" t="n">
        <v>17284387.18140725</v>
      </c>
      <c r="I103" s="9" t="n">
        <v>20973537.08039613</v>
      </c>
      <c r="J103" s="10" t="n">
        <v>0.7369515</v>
      </c>
      <c r="K103" s="10" t="n">
        <v>0.03834481821240018</v>
      </c>
      <c r="L103" s="10" t="n">
        <v>0.1306319593117187</v>
      </c>
      <c r="M103" s="10" t="n">
        <v>0.05071520596162586</v>
      </c>
    </row>
    <row r="104">
      <c r="A104" s="4" t="inlineStr">
        <is>
          <t>Autos</t>
        </is>
      </c>
      <c r="B104" s="5" t="n">
        <v>202512</v>
      </c>
      <c r="C104" s="6" t="n">
        <v>13241926.11783652</v>
      </c>
      <c r="D104" s="6" t="n">
        <v>489336.5404264772</v>
      </c>
      <c r="E104" s="6" t="n">
        <v>1958244.266992448</v>
      </c>
      <c r="F104" s="6" t="n">
        <v>678681.7636605953</v>
      </c>
      <c r="G104" s="6" t="n">
        <v>15689506.92525544</v>
      </c>
      <c r="H104" s="6" t="n">
        <v>15010825.16159485</v>
      </c>
      <c r="I104" s="6" t="n">
        <v>17316566.06189971</v>
      </c>
      <c r="J104" s="11" t="n">
        <v>0.7646969999999998</v>
      </c>
      <c r="K104" s="11" t="n">
        <v>0.03695357730227433</v>
      </c>
      <c r="L104" s="11" t="n">
        <v>0.1478821320679886</v>
      </c>
      <c r="M104" s="11" t="n">
        <v>0.05125249586964763</v>
      </c>
    </row>
    <row r="105">
      <c r="A105" t="inlineStr">
        <is>
          <t>Autos</t>
        </is>
      </c>
      <c r="B105" s="8" t="n">
        <v>202601</v>
      </c>
      <c r="C105" s="9" t="n">
        <v>12511002.77954776</v>
      </c>
      <c r="D105" s="9" t="n">
        <v>472195.2417035493</v>
      </c>
      <c r="E105" s="9" t="n">
        <v>1769705.987910517</v>
      </c>
      <c r="F105" s="9" t="n">
        <v>595834.3419383356</v>
      </c>
      <c r="G105" s="9" t="n">
        <v>14752904.00916183</v>
      </c>
      <c r="H105" s="9" t="n">
        <v>14157069.66722349</v>
      </c>
      <c r="I105" s="9" t="n">
        <v>16709989.10070837</v>
      </c>
      <c r="J105" s="10" t="n">
        <v>0.748714</v>
      </c>
      <c r="K105" s="10" t="n">
        <v>0.03774239763382242</v>
      </c>
      <c r="L105" s="10" t="n">
        <v>0.1414519698455767</v>
      </c>
      <c r="M105" s="10" t="n">
        <v>0.04762482691734109</v>
      </c>
    </row>
    <row r="106">
      <c r="A106" s="4" t="inlineStr">
        <is>
          <t>Autos</t>
        </is>
      </c>
      <c r="B106" s="5" t="n">
        <v>202602</v>
      </c>
      <c r="C106" s="6" t="n">
        <v>12647716.40339373</v>
      </c>
      <c r="D106" s="6" t="n">
        <v>477355.1416567045</v>
      </c>
      <c r="E106" s="6" t="n">
        <v>1789044.399308256</v>
      </c>
      <c r="F106" s="6" t="n">
        <v>602345.304611242</v>
      </c>
      <c r="G106" s="6" t="n">
        <v>14914115.94435869</v>
      </c>
      <c r="H106" s="6" t="n">
        <v>14311770.63974745</v>
      </c>
      <c r="I106" s="6" t="n">
        <v>16373338.61956731</v>
      </c>
      <c r="J106" s="11" t="n">
        <v>0.772458</v>
      </c>
      <c r="K106" s="11" t="n">
        <v>0.03774239763382242</v>
      </c>
      <c r="L106" s="11" t="n">
        <v>0.1414519698455768</v>
      </c>
      <c r="M106" s="11" t="n">
        <v>0.04762482691734109</v>
      </c>
    </row>
    <row r="107">
      <c r="A107" t="inlineStr">
        <is>
          <t>Autos</t>
        </is>
      </c>
      <c r="B107" s="8" t="n">
        <v>202603</v>
      </c>
      <c r="C107" s="9" t="n">
        <v>9894669.162408227</v>
      </c>
      <c r="D107" s="9" t="n">
        <v>321921.518867293</v>
      </c>
      <c r="E107" s="9" t="n">
        <v>1350526.129694508</v>
      </c>
      <c r="F107" s="9" t="n">
        <v>593898.7035012163</v>
      </c>
      <c r="G107" s="9" t="n">
        <v>11567116.81097003</v>
      </c>
      <c r="H107" s="9" t="n">
        <v>10973218.10746881</v>
      </c>
      <c r="I107" s="9" t="n">
        <v>12268486.31005433</v>
      </c>
      <c r="J107" s="10" t="n">
        <v>0.806511</v>
      </c>
      <c r="K107" s="10" t="n">
        <v>0.03253484412498959</v>
      </c>
      <c r="L107" s="10" t="n">
        <v>0.1364902764839697</v>
      </c>
      <c r="M107" s="10" t="n">
        <v>0.06002208803075023</v>
      </c>
    </row>
    <row r="108">
      <c r="A108" s="4" t="inlineStr">
        <is>
          <t>Autos</t>
        </is>
      </c>
      <c r="B108" s="5" t="n">
        <v>202604</v>
      </c>
      <c r="C108" s="6" t="n">
        <v>10608325.97144624</v>
      </c>
      <c r="D108" s="6" t="n">
        <v>346577.1907629602</v>
      </c>
      <c r="E108" s="6" t="n">
        <v>1403971.629991756</v>
      </c>
      <c r="F108" s="6" t="n">
        <v>1436032.289567686</v>
      </c>
      <c r="G108" s="6" t="n">
        <v>12358874.79220095</v>
      </c>
      <c r="H108" s="6" t="n">
        <v>10922842.50263326</v>
      </c>
      <c r="I108" s="6" t="n">
        <v>13208152.71014827</v>
      </c>
      <c r="J108" s="11" t="n">
        <v>0.803165</v>
      </c>
      <c r="K108" s="11" t="n">
        <v>0.03267029988480936</v>
      </c>
      <c r="L108" s="11" t="n">
        <v>0.1323461999349132</v>
      </c>
      <c r="M108" s="11" t="n">
        <v>0.1353684166034268</v>
      </c>
    </row>
    <row r="109">
      <c r="A109" t="inlineStr">
        <is>
          <t>Autos</t>
        </is>
      </c>
      <c r="B109" s="8" t="n">
        <v>202605</v>
      </c>
      <c r="C109" s="9" t="n">
        <v>9347182.76480528</v>
      </c>
      <c r="D109" s="9" t="n">
        <v>308154.6824989475</v>
      </c>
      <c r="E109" s="9" t="n">
        <v>1156067.274121833</v>
      </c>
      <c r="F109" s="9" t="n">
        <v>1302619.253637522</v>
      </c>
      <c r="G109" s="9" t="n">
        <v>10811404.72142606</v>
      </c>
      <c r="H109" s="9" t="n">
        <v>9508785.467788538</v>
      </c>
      <c r="I109" s="9" t="n">
        <v>11743813.18418</v>
      </c>
      <c r="J109" s="10" t="n">
        <v>0.795924</v>
      </c>
      <c r="K109" s="10" t="n">
        <v>0.0329676534901227</v>
      </c>
      <c r="L109" s="10" t="n">
        <v>0.1236808248229344</v>
      </c>
      <c r="M109" s="10" t="n">
        <v>0.139359557463907</v>
      </c>
    </row>
    <row r="110">
      <c r="A110" s="4" t="inlineStr">
        <is>
          <t>AyE</t>
        </is>
      </c>
      <c r="B110" s="5" t="n">
        <v>202201</v>
      </c>
      <c r="C110" s="6" t="n">
        <v>3870231.45817769</v>
      </c>
      <c r="D110" s="6" t="n">
        <v>76460.52373698662</v>
      </c>
      <c r="E110" s="6" t="n">
        <v>1100285.148495639</v>
      </c>
      <c r="F110" s="6" t="n">
        <v>183749.0836058098</v>
      </c>
      <c r="G110" s="6" t="n">
        <v>5046977.130410315</v>
      </c>
      <c r="H110" s="6" t="n">
        <v>4863228.046804506</v>
      </c>
      <c r="I110" s="6" t="n">
        <v>2007075.507850713</v>
      </c>
      <c r="J110" s="11" t="n">
        <v>1.928293899775672</v>
      </c>
      <c r="K110" s="11" t="n">
        <v>0.01975605969907244</v>
      </c>
      <c r="L110" s="11" t="n">
        <v>0.2842944047108003</v>
      </c>
      <c r="M110" s="11" t="n">
        <v>0.04747754380879551</v>
      </c>
    </row>
    <row r="111">
      <c r="A111" t="inlineStr">
        <is>
          <t>AyE</t>
        </is>
      </c>
      <c r="B111" s="8" t="n">
        <v>202202</v>
      </c>
      <c r="C111" s="9" t="n">
        <v>4017363.652710367</v>
      </c>
      <c r="D111" s="9" t="n">
        <v>68339.43677757637</v>
      </c>
      <c r="E111" s="9" t="n">
        <v>1090679.044597782</v>
      </c>
      <c r="F111" s="9" t="n">
        <v>237841.812856948</v>
      </c>
      <c r="G111" s="9" t="n">
        <v>5176382.134085725</v>
      </c>
      <c r="H111" s="9" t="n">
        <v>4938540.321228777</v>
      </c>
      <c r="I111" s="9" t="n">
        <v>1793911.014862863</v>
      </c>
      <c r="J111" s="10" t="n">
        <v>2.23944421959942</v>
      </c>
      <c r="K111" s="10" t="n">
        <v>0.01701101585152</v>
      </c>
      <c r="L111" s="10" t="n">
        <v>0.271491241242734</v>
      </c>
      <c r="M111" s="10" t="n">
        <v>0.05920345615127097</v>
      </c>
    </row>
    <row r="112">
      <c r="A112" s="4" t="inlineStr">
        <is>
          <t>AyE</t>
        </is>
      </c>
      <c r="B112" s="5" t="n">
        <v>202203</v>
      </c>
      <c r="C112" s="6" t="n">
        <v>3867130.941979076</v>
      </c>
      <c r="D112" s="6" t="n">
        <v>66930.080789901</v>
      </c>
      <c r="E112" s="6" t="n">
        <v>1301473.847097446</v>
      </c>
      <c r="F112" s="6" t="n">
        <v>229500.1870183147</v>
      </c>
      <c r="G112" s="6" t="n">
        <v>5235534.869866422</v>
      </c>
      <c r="H112" s="6" t="n">
        <v>5006034.682848107</v>
      </c>
      <c r="I112" s="6" t="n">
        <v>1756918.071429119</v>
      </c>
      <c r="J112" s="11" t="n">
        <v>2.201087805325754</v>
      </c>
      <c r="K112" s="11" t="n">
        <v>0.0173074255291827</v>
      </c>
      <c r="L112" s="11" t="n">
        <v>0.3365476542233122</v>
      </c>
      <c r="M112" s="11" t="n">
        <v>0.05934637085261554</v>
      </c>
    </row>
    <row r="113">
      <c r="A113" t="inlineStr">
        <is>
          <t>AyE</t>
        </is>
      </c>
      <c r="B113" s="8" t="n">
        <v>202204</v>
      </c>
      <c r="C113" s="9" t="n">
        <v>3209867.005647496</v>
      </c>
      <c r="D113" s="9" t="n">
        <v>54756.19627137471</v>
      </c>
      <c r="E113" s="9" t="n">
        <v>548770.1901667707</v>
      </c>
      <c r="F113" s="9" t="n">
        <v>205701.2946479039</v>
      </c>
      <c r="G113" s="9" t="n">
        <v>3813393.392085642</v>
      </c>
      <c r="H113" s="9" t="n">
        <v>3607692.097437738</v>
      </c>
      <c r="I113" s="9" t="n">
        <v>1437334.759451868</v>
      </c>
      <c r="J113" s="10" t="n">
        <v>2.2332076675524</v>
      </c>
      <c r="K113" s="10" t="n">
        <v>0.0170587118329313</v>
      </c>
      <c r="L113" s="10" t="n">
        <v>0.1709635287696515</v>
      </c>
      <c r="M113" s="10" t="n">
        <v>0.0640840552851534</v>
      </c>
    </row>
    <row r="114">
      <c r="A114" s="4" t="inlineStr">
        <is>
          <t>AyE</t>
        </is>
      </c>
      <c r="B114" s="5" t="n">
        <v>202205</v>
      </c>
      <c r="C114" s="6" t="n">
        <v>2607163.049960631</v>
      </c>
      <c r="D114" s="6" t="n">
        <v>50186.61146529171</v>
      </c>
      <c r="E114" s="6" t="n">
        <v>437640.0106677504</v>
      </c>
      <c r="F114" s="6" t="n">
        <v>169984.0283457367</v>
      </c>
      <c r="G114" s="6" t="n">
        <v>3094989.672093673</v>
      </c>
      <c r="H114" s="6" t="n">
        <v>2925005.643747936</v>
      </c>
      <c r="I114" s="6" t="n">
        <v>1317386.515113724</v>
      </c>
      <c r="J114" s="11" t="n">
        <v>1.979041852979318</v>
      </c>
      <c r="K114" s="11" t="n">
        <v>0.01924951010104625</v>
      </c>
      <c r="L114" s="11" t="n">
        <v>0.1678606217874862</v>
      </c>
      <c r="M114" s="11" t="n">
        <v>0.06519884836059775</v>
      </c>
    </row>
    <row r="115">
      <c r="A115" t="inlineStr">
        <is>
          <t>AyE</t>
        </is>
      </c>
      <c r="B115" s="8" t="n">
        <v>202206</v>
      </c>
      <c r="C115" s="9" t="n">
        <v>3189251.746435365</v>
      </c>
      <c r="D115" s="9" t="n">
        <v>46653.38286491882</v>
      </c>
      <c r="E115" s="9" t="n">
        <v>443365.9423996662</v>
      </c>
      <c r="F115" s="9" t="n">
        <v>171515.592516625</v>
      </c>
      <c r="G115" s="9" t="n">
        <v>3679271.07169995</v>
      </c>
      <c r="H115" s="9" t="n">
        <v>3507755.479183325</v>
      </c>
      <c r="I115" s="9" t="n">
        <v>1224644.891755182</v>
      </c>
      <c r="J115" s="10" t="n">
        <v>2.604225737523369</v>
      </c>
      <c r="K115" s="10" t="n">
        <v>0.01462831616132638</v>
      </c>
      <c r="L115" s="10" t="n">
        <v>0.1390187974013709</v>
      </c>
      <c r="M115" s="10" t="n">
        <v>0.05377925800568377</v>
      </c>
    </row>
    <row r="116">
      <c r="A116" s="4" t="inlineStr">
        <is>
          <t>AyE</t>
        </is>
      </c>
      <c r="B116" s="5" t="n">
        <v>202207</v>
      </c>
      <c r="C116" s="6" t="n">
        <v>7213946.778898568</v>
      </c>
      <c r="D116" s="6" t="n">
        <v>107874.6987123452</v>
      </c>
      <c r="E116" s="6" t="n">
        <v>2011836.274346105</v>
      </c>
      <c r="F116" s="6" t="n">
        <v>140327.3634015303</v>
      </c>
      <c r="G116" s="6" t="n">
        <v>9333657.751957018</v>
      </c>
      <c r="H116" s="6" t="n">
        <v>9193330.388555489</v>
      </c>
      <c r="I116" s="6" t="n">
        <v>2831683.345837801</v>
      </c>
      <c r="J116" s="11" t="n">
        <v>2.547582444026488</v>
      </c>
      <c r="K116" s="11" t="n">
        <v>0.01495363107306089</v>
      </c>
      <c r="L116" s="11" t="n">
        <v>0.2788814966352267</v>
      </c>
      <c r="M116" s="11" t="n">
        <v>0.01945223158729147</v>
      </c>
    </row>
    <row r="117">
      <c r="A117" t="inlineStr">
        <is>
          <t>AyE</t>
        </is>
      </c>
      <c r="B117" s="8" t="n">
        <v>202208</v>
      </c>
      <c r="C117" s="9" t="n">
        <v>6909427.35364788</v>
      </c>
      <c r="D117" s="9" t="n">
        <v>100594.6790976607</v>
      </c>
      <c r="E117" s="9" t="n">
        <v>1661310.61648596</v>
      </c>
      <c r="F117" s="9" t="n">
        <v>118095.1298701299</v>
      </c>
      <c r="G117" s="9" t="n">
        <v>8671332.649231501</v>
      </c>
      <c r="H117" s="9" t="n">
        <v>8553237.519361373</v>
      </c>
      <c r="I117" s="9" t="n">
        <v>2640605.306396408</v>
      </c>
      <c r="J117" s="10" t="n">
        <v>2.616607388052653</v>
      </c>
      <c r="K117" s="10" t="n">
        <v>0.0145590472189495</v>
      </c>
      <c r="L117" s="10" t="n">
        <v>0.2404411438827647</v>
      </c>
      <c r="M117" s="10" t="n">
        <v>0.01709188386035794</v>
      </c>
    </row>
    <row r="118">
      <c r="A118" s="4" t="inlineStr">
        <is>
          <t>AyE</t>
        </is>
      </c>
      <c r="B118" s="5" t="n">
        <v>202209</v>
      </c>
      <c r="C118" s="6" t="n">
        <v>5926976.222108501</v>
      </c>
      <c r="D118" s="6" t="n">
        <v>92302.53985919483</v>
      </c>
      <c r="E118" s="6" t="n">
        <v>1490167.292357071</v>
      </c>
      <c r="F118" s="6" t="n">
        <v>135346.2987713084</v>
      </c>
      <c r="G118" s="6" t="n">
        <v>7509446.054324767</v>
      </c>
      <c r="H118" s="6" t="n">
        <v>7374099.755553458</v>
      </c>
      <c r="I118" s="6" t="n">
        <v>2422917.698979103</v>
      </c>
      <c r="J118" s="11" t="n">
        <v>2.44621442346384</v>
      </c>
      <c r="K118" s="11" t="n">
        <v>0.0155732934299437</v>
      </c>
      <c r="L118" s="11" t="n">
        <v>0.2514211693305814</v>
      </c>
      <c r="M118" s="11" t="n">
        <v>0.02283564058624811</v>
      </c>
    </row>
    <row r="119">
      <c r="A119" t="inlineStr">
        <is>
          <t>AyE</t>
        </is>
      </c>
      <c r="B119" s="8" t="n">
        <v>202210</v>
      </c>
      <c r="C119" s="9" t="n">
        <v>5284564.249910399</v>
      </c>
      <c r="D119" s="9" t="n">
        <v>83543.63639117024</v>
      </c>
      <c r="E119" s="9" t="n">
        <v>1502998.195887998</v>
      </c>
      <c r="F119" s="9" t="n">
        <v>225760.3403280112</v>
      </c>
      <c r="G119" s="9" t="n">
        <v>6871106.082189566</v>
      </c>
      <c r="H119" s="9" t="n">
        <v>6645345.741861556</v>
      </c>
      <c r="I119" s="9" t="n">
        <v>2192996.636980058</v>
      </c>
      <c r="J119" s="10" t="n">
        <v>2.40974571542786</v>
      </c>
      <c r="K119" s="10" t="n">
        <v>0.01580899246188306</v>
      </c>
      <c r="L119" s="10" t="n">
        <v>0.2844128909802698</v>
      </c>
      <c r="M119" s="10" t="n">
        <v>0.04272071066821432</v>
      </c>
    </row>
    <row r="120">
      <c r="A120" s="4" t="inlineStr">
        <is>
          <t>AyE</t>
        </is>
      </c>
      <c r="B120" s="5" t="n">
        <v>202211</v>
      </c>
      <c r="C120" s="6" t="n">
        <v>3937446.86219773</v>
      </c>
      <c r="D120" s="6" t="n">
        <v>78271.56219410508</v>
      </c>
      <c r="E120" s="6" t="n">
        <v>1126192.288728565</v>
      </c>
      <c r="F120" s="6" t="n">
        <v>167621.0875228531</v>
      </c>
      <c r="G120" s="6" t="n">
        <v>5141910.713120401</v>
      </c>
      <c r="H120" s="6" t="n">
        <v>4974289.625597548</v>
      </c>
      <c r="I120" s="6" t="n">
        <v>2054624.772970885</v>
      </c>
      <c r="J120" s="11" t="n">
        <v>1.916382452891571</v>
      </c>
      <c r="K120" s="11" t="n">
        <v>0.01987876025593319</v>
      </c>
      <c r="L120" s="11" t="n">
        <v>0.2860209491436712</v>
      </c>
      <c r="M120" s="11" t="n">
        <v>0.04257100943561522</v>
      </c>
    </row>
    <row r="121">
      <c r="A121" t="inlineStr">
        <is>
          <t>AyE</t>
        </is>
      </c>
      <c r="B121" s="8" t="n">
        <v>202212</v>
      </c>
      <c r="C121" s="9" t="n">
        <v>3239464.022061726</v>
      </c>
      <c r="D121" s="9" t="n">
        <v>67424.68975698271</v>
      </c>
      <c r="E121" s="9" t="n">
        <v>804334.8881792412</v>
      </c>
      <c r="F121" s="9" t="n">
        <v>145609.0394640395</v>
      </c>
      <c r="G121" s="9" t="n">
        <v>4111223.599997949</v>
      </c>
      <c r="H121" s="9" t="n">
        <v>3965614.56053391</v>
      </c>
      <c r="I121" s="9" t="n">
        <v>1769921.255100071</v>
      </c>
      <c r="J121" s="10" t="n">
        <v>1.830287089172545</v>
      </c>
      <c r="K121" s="10" t="n">
        <v>0.02081353251581134</v>
      </c>
      <c r="L121" s="10" t="n">
        <v>0.2482925825696715</v>
      </c>
      <c r="M121" s="10" t="n">
        <v>0.04494849718113802</v>
      </c>
    </row>
    <row r="122">
      <c r="A122" s="4" t="inlineStr">
        <is>
          <t>AyE</t>
        </is>
      </c>
      <c r="B122" s="5" t="n">
        <v>202301</v>
      </c>
      <c r="C122" s="6" t="n">
        <v>6265458.596528479</v>
      </c>
      <c r="D122" s="6" t="n">
        <v>127975.8808853973</v>
      </c>
      <c r="E122" s="6" t="n">
        <v>1669832.102553214</v>
      </c>
      <c r="F122" s="6" t="n">
        <v>466946.3623334572</v>
      </c>
      <c r="G122" s="6" t="n">
        <v>8063266.57996709</v>
      </c>
      <c r="H122" s="6" t="n">
        <v>7596320.217633633</v>
      </c>
      <c r="I122" s="6" t="n">
        <v>3831701.661551147</v>
      </c>
      <c r="J122" s="11" t="n">
        <v>1.635163473033049</v>
      </c>
      <c r="K122" s="11" t="n">
        <v>0.02042562071295233</v>
      </c>
      <c r="L122" s="11" t="n">
        <v>0.2665139473554933</v>
      </c>
      <c r="M122" s="11" t="n">
        <v>0.07452708451256539</v>
      </c>
    </row>
    <row r="123">
      <c r="A123" t="inlineStr">
        <is>
          <t>AyE</t>
        </is>
      </c>
      <c r="B123" s="8" t="n">
        <v>202302</v>
      </c>
      <c r="C123" s="9" t="n">
        <v>6687901.744036933</v>
      </c>
      <c r="D123" s="9" t="n">
        <v>116753.3404637305</v>
      </c>
      <c r="E123" s="9" t="n">
        <v>1678581.132096064</v>
      </c>
      <c r="F123" s="9" t="n">
        <v>471587.1500057298</v>
      </c>
      <c r="G123" s="9" t="n">
        <v>8483236.216596728</v>
      </c>
      <c r="H123" s="9" t="n">
        <v>8011649.066590997</v>
      </c>
      <c r="I123" s="9" t="n">
        <v>3495658.696408882</v>
      </c>
      <c r="J123" s="10" t="n">
        <v>1.91320215297548</v>
      </c>
      <c r="K123" s="10" t="n">
        <v>0.01745739470048735</v>
      </c>
      <c r="L123" s="10" t="n">
        <v>0.2509877083036874</v>
      </c>
      <c r="M123" s="10" t="n">
        <v>0.07051346865647455</v>
      </c>
    </row>
    <row r="124">
      <c r="A124" s="4" t="inlineStr">
        <is>
          <t>AyE</t>
        </is>
      </c>
      <c r="B124" s="5" t="n">
        <v>202303</v>
      </c>
      <c r="C124" s="6" t="n">
        <v>6572157.894795257</v>
      </c>
      <c r="D124" s="6" t="n">
        <v>110068.0234848863</v>
      </c>
      <c r="E124" s="6" t="n">
        <v>1718605.789646007</v>
      </c>
      <c r="F124" s="6" t="n">
        <v>427710.7052680063</v>
      </c>
      <c r="G124" s="6" t="n">
        <v>8400831.70792615</v>
      </c>
      <c r="H124" s="6" t="n">
        <v>7973121.002658144</v>
      </c>
      <c r="I124" s="6" t="n">
        <v>3295510.444921035</v>
      </c>
      <c r="J124" s="11" t="n">
        <v>1.994276153766745</v>
      </c>
      <c r="K124" s="11" t="n">
        <v>0.01674762311661036</v>
      </c>
      <c r="L124" s="11" t="n">
        <v>0.2614979459040441</v>
      </c>
      <c r="M124" s="11" t="n">
        <v>0.06507918892312779</v>
      </c>
    </row>
    <row r="125">
      <c r="A125" t="inlineStr">
        <is>
          <t>AyE</t>
        </is>
      </c>
      <c r="B125" s="8" t="n">
        <v>202304</v>
      </c>
      <c r="C125" s="9" t="n">
        <v>5927685.605007727</v>
      </c>
      <c r="D125" s="9" t="n">
        <v>107674.0707797334</v>
      </c>
      <c r="E125" s="9" t="n">
        <v>1317466.257880166</v>
      </c>
      <c r="F125" s="9" t="n">
        <v>1073031.126516272</v>
      </c>
      <c r="G125" s="9" t="n">
        <v>7352825.933667625</v>
      </c>
      <c r="H125" s="9" t="n">
        <v>6279794.807151354</v>
      </c>
      <c r="I125" s="9" t="n">
        <v>3223826.502198187</v>
      </c>
      <c r="J125" s="10" t="n">
        <v>1.838711109597832</v>
      </c>
      <c r="K125" s="10" t="n">
        <v>0.01816460553993788</v>
      </c>
      <c r="L125" s="10" t="n">
        <v>0.2222564328929939</v>
      </c>
      <c r="M125" s="10" t="n">
        <v>0.1810202493886942</v>
      </c>
    </row>
    <row r="126">
      <c r="A126" s="4" t="inlineStr">
        <is>
          <t>AyE</t>
        </is>
      </c>
      <c r="B126" s="5" t="n">
        <v>202305</v>
      </c>
      <c r="C126" s="6" t="n">
        <v>5829144.876926382</v>
      </c>
      <c r="D126" s="6" t="n">
        <v>92809.66385129406</v>
      </c>
      <c r="E126" s="6" t="n">
        <v>1384212.129281005</v>
      </c>
      <c r="F126" s="6" t="n">
        <v>1030126.155263842</v>
      </c>
      <c r="G126" s="6" t="n">
        <v>7306166.670058682</v>
      </c>
      <c r="H126" s="6" t="n">
        <v>6276040.51479484</v>
      </c>
      <c r="I126" s="6" t="n">
        <v>2778782.35232792</v>
      </c>
      <c r="J126" s="11" t="n">
        <v>2.097733517</v>
      </c>
      <c r="K126" s="11" t="n">
        <v>0.01592166017672066</v>
      </c>
      <c r="L126" s="11" t="n">
        <v>0.237464012047489</v>
      </c>
      <c r="M126" s="11" t="n">
        <v>0.1767199438362582</v>
      </c>
    </row>
    <row r="127">
      <c r="A127" t="inlineStr">
        <is>
          <t>AyE</t>
        </is>
      </c>
      <c r="B127" s="8" t="n">
        <v>202306</v>
      </c>
      <c r="C127" s="9" t="n">
        <v>2952165.850452219</v>
      </c>
      <c r="D127" s="9" t="n">
        <v>103230.4260440768</v>
      </c>
      <c r="E127" s="9" t="n">
        <v>420739.8496108812</v>
      </c>
      <c r="F127" s="9" t="n">
        <v>195088.2405524784</v>
      </c>
      <c r="G127" s="9" t="n">
        <v>3476136.126107177</v>
      </c>
      <c r="H127" s="9" t="n">
        <v>3281047.885554699</v>
      </c>
      <c r="I127" s="9" t="n">
        <v>2416792.144313269</v>
      </c>
      <c r="J127" s="10" t="n">
        <v>1.221522445527096</v>
      </c>
      <c r="K127" s="10" t="n">
        <v>0.03496769195005209</v>
      </c>
      <c r="L127" s="10" t="n">
        <v>0.142519042263981</v>
      </c>
      <c r="M127" s="10" t="n">
        <v>0.06608308964843368</v>
      </c>
    </row>
    <row r="128">
      <c r="A128" s="4" t="inlineStr">
        <is>
          <t>AyE</t>
        </is>
      </c>
      <c r="B128" s="5" t="n">
        <v>202307</v>
      </c>
      <c r="C128" s="6" t="n">
        <v>9981387.713357462</v>
      </c>
      <c r="D128" s="6" t="n">
        <v>173826.3727141338</v>
      </c>
      <c r="E128" s="6" t="n">
        <v>2051856.74263327</v>
      </c>
      <c r="F128" s="6" t="n">
        <v>1099496.251239235</v>
      </c>
      <c r="G128" s="6" t="n">
        <v>12207070.82870486</v>
      </c>
      <c r="H128" s="6" t="n">
        <v>11107574.57746563</v>
      </c>
      <c r="I128" s="6" t="n">
        <v>6405579.772066595</v>
      </c>
      <c r="J128" s="11" t="n">
        <v>1.558233301048599</v>
      </c>
      <c r="K128" s="11" t="n">
        <v>0.0174150506628966</v>
      </c>
      <c r="L128" s="11" t="n">
        <v>0.205568283845682</v>
      </c>
      <c r="M128" s="11" t="n">
        <v>0.1101546481124913</v>
      </c>
    </row>
    <row r="129">
      <c r="A129" t="inlineStr">
        <is>
          <t>AyE</t>
        </is>
      </c>
      <c r="B129" s="8" t="n">
        <v>202308</v>
      </c>
      <c r="C129" s="9" t="n">
        <v>11881055.17144332</v>
      </c>
      <c r="D129" s="9" t="n">
        <v>277229.3980721423</v>
      </c>
      <c r="E129" s="9" t="n">
        <v>1909589.398541207</v>
      </c>
      <c r="F129" s="9" t="n">
        <v>1668510.166987195</v>
      </c>
      <c r="G129" s="9" t="n">
        <v>14067873.96805666</v>
      </c>
      <c r="H129" s="9" t="n">
        <v>12399363.80106947</v>
      </c>
      <c r="I129" s="9" t="n">
        <v>8947919.990551446</v>
      </c>
      <c r="J129" s="10" t="n">
        <v>1.32780078319756</v>
      </c>
      <c r="K129" s="10" t="n">
        <v>0.023333735436098</v>
      </c>
      <c r="L129" s="10" t="n">
        <v>0.1607255728540843</v>
      </c>
      <c r="M129" s="10" t="n">
        <v>0.1404345104799731</v>
      </c>
    </row>
    <row r="130">
      <c r="A130" s="4" t="inlineStr">
        <is>
          <t>AyE</t>
        </is>
      </c>
      <c r="B130" s="5" t="n">
        <v>202309</v>
      </c>
      <c r="C130" s="6" t="n">
        <v>7802896.378221127</v>
      </c>
      <c r="D130" s="6" t="n">
        <v>241316.9418002169</v>
      </c>
      <c r="E130" s="6" t="n">
        <v>1272131.977461427</v>
      </c>
      <c r="F130" s="6" t="n">
        <v>379232.7847876106</v>
      </c>
      <c r="G130" s="6" t="n">
        <v>9316345.297482772</v>
      </c>
      <c r="H130" s="6" t="n">
        <v>8937112.51269516</v>
      </c>
      <c r="I130" s="6" t="n">
        <v>7731693.766612921</v>
      </c>
      <c r="J130" s="11" t="n">
        <v>1.009209186726416</v>
      </c>
      <c r="K130" s="11" t="n">
        <v>0.03092658547584497</v>
      </c>
      <c r="L130" s="11" t="n">
        <v>0.1630333040192753</v>
      </c>
      <c r="M130" s="11" t="n">
        <v>0.04860154055692671</v>
      </c>
    </row>
    <row r="131">
      <c r="A131" t="inlineStr">
        <is>
          <t>AyE</t>
        </is>
      </c>
      <c r="B131" s="8" t="n">
        <v>202310</v>
      </c>
      <c r="C131" s="9" t="n">
        <v>11574438.05109428</v>
      </c>
      <c r="D131" s="9" t="n">
        <v>359106.4619566724</v>
      </c>
      <c r="E131" s="9" t="n">
        <v>1475495.853651771</v>
      </c>
      <c r="F131" s="9" t="n">
        <v>1837023.49671299</v>
      </c>
      <c r="G131" s="9" t="n">
        <v>13409040.36670273</v>
      </c>
      <c r="H131" s="9" t="n">
        <v>11572016.86998974</v>
      </c>
      <c r="I131" s="9" t="n">
        <v>18876362.73209521</v>
      </c>
      <c r="J131" s="10" t="n">
        <v>0.613170991433346</v>
      </c>
      <c r="K131" s="10" t="n">
        <v>0.03102582262494561</v>
      </c>
      <c r="L131" s="10" t="n">
        <v>0.1274788328503148</v>
      </c>
      <c r="M131" s="10" t="n">
        <v>0.1587138389443721</v>
      </c>
    </row>
    <row r="132">
      <c r="A132" s="4" t="inlineStr">
        <is>
          <t>AyE</t>
        </is>
      </c>
      <c r="B132" s="5" t="n">
        <v>202311</v>
      </c>
      <c r="C132" s="6" t="n">
        <v>9081912.676493764</v>
      </c>
      <c r="D132" s="6" t="n">
        <v>325701.8427242873</v>
      </c>
      <c r="E132" s="6" t="n">
        <v>1380465.938357307</v>
      </c>
      <c r="F132" s="6" t="n">
        <v>313838.8547963169</v>
      </c>
      <c r="G132" s="6" t="n">
        <v>10788080.45757536</v>
      </c>
      <c r="H132" s="6" t="n">
        <v>10474241.60277904</v>
      </c>
      <c r="I132" s="6" t="n">
        <v>10696018.83558157</v>
      </c>
      <c r="J132" s="11" t="n">
        <v>0.8490928088385288</v>
      </c>
      <c r="K132" s="11" t="n">
        <v>0.03586269262060669</v>
      </c>
      <c r="L132" s="11" t="n">
        <v>0.152001674925844</v>
      </c>
      <c r="M132" s="11" t="n">
        <v>0.03455647130461951</v>
      </c>
    </row>
    <row r="133">
      <c r="A133" t="inlineStr">
        <is>
          <t>AyE</t>
        </is>
      </c>
      <c r="B133" s="8" t="n">
        <v>202312</v>
      </c>
      <c r="C133" s="9" t="n">
        <v>6823280.273006967</v>
      </c>
      <c r="D133" s="9" t="n">
        <v>316321.8340740042</v>
      </c>
      <c r="E133" s="9" t="n">
        <v>245514.3747126708</v>
      </c>
      <c r="F133" s="9" t="n">
        <v>127207.9296971697</v>
      </c>
      <c r="G133" s="9" t="n">
        <v>7385116.481793642</v>
      </c>
      <c r="H133" s="9" t="n">
        <v>7257908.552096472</v>
      </c>
      <c r="I133" s="9" t="n">
        <v>10017981.97923267</v>
      </c>
      <c r="J133" s="10" t="n">
        <v>0.681103268817179</v>
      </c>
      <c r="K133" s="10" t="n">
        <v>0.04635920281999549</v>
      </c>
      <c r="L133" s="10" t="n">
        <v>0.03598186867450404</v>
      </c>
      <c r="M133" s="10" t="n">
        <v>0.01864322211714017</v>
      </c>
    </row>
    <row r="134">
      <c r="A134" s="4" t="inlineStr">
        <is>
          <t>AyE</t>
        </is>
      </c>
      <c r="B134" s="5" t="n">
        <v>202401</v>
      </c>
      <c r="C134" s="6" t="n">
        <v>6885740.398398466</v>
      </c>
      <c r="D134" s="6" t="n">
        <v>266902.4770042489</v>
      </c>
      <c r="E134" s="6" t="n">
        <v>524925.2556380444</v>
      </c>
      <c r="F134" s="6" t="n">
        <v>206989.5783723211</v>
      </c>
      <c r="G134" s="6" t="n">
        <v>7677568.131040761</v>
      </c>
      <c r="H134" s="6" t="n">
        <v>7470578.552668441</v>
      </c>
      <c r="I134" s="6" t="n">
        <v>9448662.03121819</v>
      </c>
      <c r="J134" s="11" t="n">
        <v>0.7287529573656163</v>
      </c>
      <c r="K134" s="11" t="n">
        <v>0.03876162352364126</v>
      </c>
      <c r="L134" s="11" t="n">
        <v>0.07623366918685102</v>
      </c>
      <c r="M134" s="11" t="n">
        <v>0.03006061315068807</v>
      </c>
    </row>
    <row r="135">
      <c r="A135" t="inlineStr">
        <is>
          <t>AyE</t>
        </is>
      </c>
      <c r="B135" s="8" t="n">
        <v>202402</v>
      </c>
      <c r="C135" s="9" t="n">
        <v>5390002.269808788</v>
      </c>
      <c r="D135" s="9" t="n">
        <v>210341.7918061721</v>
      </c>
      <c r="E135" s="9" t="n">
        <v>420009.0628170021</v>
      </c>
      <c r="F135" s="9" t="n">
        <v>182063.2444603413</v>
      </c>
      <c r="G135" s="9" t="n">
        <v>6020353.12443196</v>
      </c>
      <c r="H135" s="9" t="n">
        <v>5838289.87997162</v>
      </c>
      <c r="I135" s="9" t="n">
        <v>7446355.113580347</v>
      </c>
      <c r="J135" s="10" t="n">
        <v>0.7238443758851535</v>
      </c>
      <c r="K135" s="10" t="n">
        <v>0.03902443473620912</v>
      </c>
      <c r="L135" s="10" t="n">
        <v>0.07792372652041613</v>
      </c>
      <c r="M135" s="10" t="n">
        <v>0.03377795320794923</v>
      </c>
    </row>
    <row r="136">
      <c r="A136" s="4" t="inlineStr">
        <is>
          <t>AyE</t>
        </is>
      </c>
      <c r="B136" s="5" t="n">
        <v>202403</v>
      </c>
      <c r="C136" s="6" t="n">
        <v>8428964.420226416</v>
      </c>
      <c r="D136" s="6" t="n">
        <v>354436.522264151</v>
      </c>
      <c r="E136" s="6" t="n">
        <v>449771.5948679246</v>
      </c>
      <c r="F136" s="6" t="n">
        <v>177812.8</v>
      </c>
      <c r="G136" s="6" t="n">
        <v>9233172.537358491</v>
      </c>
      <c r="H136" s="6" t="n">
        <v>9055359.73735849</v>
      </c>
      <c r="I136" s="6" t="n">
        <v>12547374.61908162</v>
      </c>
      <c r="J136" s="11" t="n">
        <v>0.6717711613876525</v>
      </c>
      <c r="K136" s="11" t="n">
        <v>0.04204983015631596</v>
      </c>
      <c r="L136" s="11" t="n">
        <v>0.05336024361292096</v>
      </c>
      <c r="M136" s="11" t="n">
        <v>0.02109545029912745</v>
      </c>
    </row>
    <row r="137">
      <c r="A137" t="inlineStr">
        <is>
          <t>AyE</t>
        </is>
      </c>
      <c r="B137" s="8" t="n">
        <v>202404</v>
      </c>
      <c r="C137" s="9" t="n">
        <v>10079569.26979938</v>
      </c>
      <c r="D137" s="9" t="n">
        <v>428300.0145970059</v>
      </c>
      <c r="E137" s="9" t="n">
        <v>409974.8102389238</v>
      </c>
      <c r="F137" s="9" t="n">
        <v>437891.6545998084</v>
      </c>
      <c r="G137" s="9" t="n">
        <v>10917844.09463531</v>
      </c>
      <c r="H137" s="9" t="n">
        <v>10479952.4400355</v>
      </c>
      <c r="I137" s="9" t="n">
        <v>15162248.72701082</v>
      </c>
      <c r="J137" s="10" t="n">
        <v>0.6647806305830551</v>
      </c>
      <c r="K137" s="10" t="n">
        <v>0.04249189654167938</v>
      </c>
      <c r="L137" s="10" t="n">
        <v>0.0406738422312647</v>
      </c>
      <c r="M137" s="10" t="n">
        <v>0.04344348879190987</v>
      </c>
    </row>
    <row r="138">
      <c r="A138" s="4" t="inlineStr">
        <is>
          <t>AyE</t>
        </is>
      </c>
      <c r="B138" s="5" t="n">
        <v>202405</v>
      </c>
      <c r="C138" s="6" t="n">
        <v>10878367.5634422</v>
      </c>
      <c r="D138" s="6" t="n">
        <v>449465.6310038779</v>
      </c>
      <c r="E138" s="6" t="n">
        <v>483361.21627515</v>
      </c>
      <c r="F138" s="6" t="n">
        <v>593397.6968682595</v>
      </c>
      <c r="G138" s="6" t="n">
        <v>11811194.41072123</v>
      </c>
      <c r="H138" s="6" t="n">
        <v>11217796.71385297</v>
      </c>
      <c r="I138" s="6" t="n">
        <v>15911548.15670105</v>
      </c>
      <c r="J138" s="11" t="n">
        <v>0.6836775061929372</v>
      </c>
      <c r="K138" s="11" t="n">
        <v>0.04131737858484854</v>
      </c>
      <c r="L138" s="11" t="n">
        <v>0.04443324914847809</v>
      </c>
      <c r="M138" s="11" t="n">
        <v>0.05454841394240338</v>
      </c>
    </row>
    <row r="139">
      <c r="A139" t="inlineStr">
        <is>
          <t>AyE</t>
        </is>
      </c>
      <c r="B139" s="8" t="n">
        <v>202406</v>
      </c>
      <c r="C139" s="9" t="n">
        <v>8862690.675482057</v>
      </c>
      <c r="D139" s="9" t="n">
        <v>366359.9506731852</v>
      </c>
      <c r="E139" s="9" t="n">
        <v>282994.2464809528</v>
      </c>
      <c r="F139" s="9" t="n">
        <v>497857.1879340705</v>
      </c>
      <c r="G139" s="9" t="n">
        <v>9512044.872636195</v>
      </c>
      <c r="H139" s="9" t="n">
        <v>9014187.684702124</v>
      </c>
      <c r="I139" s="9" t="n">
        <v>12969552.01348058</v>
      </c>
      <c r="J139" s="10" t="n">
        <v>0.6833459371819596</v>
      </c>
      <c r="K139" s="10" t="n">
        <v>0.04133732791630553</v>
      </c>
      <c r="L139" s="10" t="n">
        <v>0.03193096282417194</v>
      </c>
      <c r="M139" s="10" t="n">
        <v>0.05617449668094066</v>
      </c>
    </row>
    <row r="140">
      <c r="A140" s="4" t="inlineStr">
        <is>
          <t>AyE</t>
        </is>
      </c>
      <c r="B140" s="5" t="n">
        <v>202407</v>
      </c>
      <c r="C140" s="6" t="n">
        <v>11660221.71318162</v>
      </c>
      <c r="D140" s="6" t="n">
        <v>480136.1888149421</v>
      </c>
      <c r="E140" s="6" t="n">
        <v>298769.6318162301</v>
      </c>
      <c r="F140" s="6" t="n">
        <v>459469.9318376986</v>
      </c>
      <c r="G140" s="6" t="n">
        <v>12439127.53381279</v>
      </c>
      <c r="H140" s="6" t="n">
        <v>11979657.6019751</v>
      </c>
      <c r="I140" s="6" t="n">
        <v>16997380.6034767</v>
      </c>
      <c r="J140" s="11" t="n">
        <v>0.6860010954156432</v>
      </c>
      <c r="K140" s="11" t="n">
        <v>0.04117727781043466</v>
      </c>
      <c r="L140" s="11" t="n">
        <v>0.02562298034851925</v>
      </c>
      <c r="M140" s="11" t="n">
        <v>0.0394049052530689</v>
      </c>
    </row>
    <row r="141">
      <c r="A141" t="inlineStr">
        <is>
          <t>AyE</t>
        </is>
      </c>
      <c r="B141" s="8" t="n">
        <v>202408</v>
      </c>
      <c r="C141" s="9" t="n">
        <v>11026294.73777706</v>
      </c>
      <c r="D141" s="9" t="n">
        <v>465925.6183162714</v>
      </c>
      <c r="E141" s="9" t="n">
        <v>196708.6419627767</v>
      </c>
      <c r="F141" s="9" t="n">
        <v>386015.4258045852</v>
      </c>
      <c r="G141" s="9" t="n">
        <v>11688928.9980561</v>
      </c>
      <c r="H141" s="9" t="n">
        <v>11302913.57225152</v>
      </c>
      <c r="I141" s="9" t="n">
        <v>16494373.18920268</v>
      </c>
      <c r="J141" s="10" t="n">
        <v>0.668488254224473</v>
      </c>
      <c r="K141" s="10" t="n">
        <v>0.04225586467591595</v>
      </c>
      <c r="L141" s="10" t="n">
        <v>0.01783995862987732</v>
      </c>
      <c r="M141" s="10" t="n">
        <v>0.03500862574279484</v>
      </c>
    </row>
    <row r="142">
      <c r="A142" s="4" t="inlineStr">
        <is>
          <t>AyE</t>
        </is>
      </c>
      <c r="B142" s="5" t="n">
        <v>202409</v>
      </c>
      <c r="C142" s="6" t="n">
        <v>11738834.41024573</v>
      </c>
      <c r="D142" s="6" t="n">
        <v>501999.4155016479</v>
      </c>
      <c r="E142" s="6" t="n">
        <v>201637.6074669537</v>
      </c>
      <c r="F142" s="6" t="n">
        <v>298104.9481771878</v>
      </c>
      <c r="G142" s="6" t="n">
        <v>12442471.43321433</v>
      </c>
      <c r="H142" s="6" t="n">
        <v>12144366.48503715</v>
      </c>
      <c r="I142" s="6" t="n">
        <v>17771403.24053345</v>
      </c>
      <c r="J142" s="11" t="n">
        <v>0.6605462861520982</v>
      </c>
      <c r="K142" s="11" t="n">
        <v>0.04276399154787458</v>
      </c>
      <c r="L142" s="11" t="n">
        <v>0.01717697008239277</v>
      </c>
      <c r="M142" s="11" t="n">
        <v>0.02539476559248504</v>
      </c>
    </row>
    <row r="143">
      <c r="A143" t="inlineStr">
        <is>
          <t>AyE</t>
        </is>
      </c>
      <c r="B143" s="8" t="n">
        <v>202410</v>
      </c>
      <c r="C143" s="9" t="n">
        <v>13436946.65957053</v>
      </c>
      <c r="D143" s="9" t="n">
        <v>581645.2393445572</v>
      </c>
      <c r="E143" s="9" t="n">
        <v>315427.1517023222</v>
      </c>
      <c r="F143" s="9" t="n">
        <v>421408.8681668491</v>
      </c>
      <c r="G143" s="9" t="n">
        <v>14334019.05061742</v>
      </c>
      <c r="H143" s="9" t="n">
        <v>13912610.18245056</v>
      </c>
      <c r="I143" s="9" t="n">
        <v>20590889.7755499</v>
      </c>
      <c r="J143" s="10" t="n">
        <v>0.6525675580822095</v>
      </c>
      <c r="K143" s="10" t="n">
        <v>0.04328700962210618</v>
      </c>
      <c r="L143" s="10" t="n">
        <v>0.02347461515579193</v>
      </c>
      <c r="M143" s="10" t="n">
        <v>0.03136195140483783</v>
      </c>
    </row>
    <row r="144">
      <c r="A144" s="4" t="inlineStr">
        <is>
          <t>AyE</t>
        </is>
      </c>
      <c r="B144" s="5" t="n">
        <v>202411</v>
      </c>
      <c r="C144" s="6" t="n">
        <v>13221863.50442756</v>
      </c>
      <c r="D144" s="6" t="n">
        <v>568871.4087156391</v>
      </c>
      <c r="E144" s="6" t="n">
        <v>397412.143253557</v>
      </c>
      <c r="F144" s="6" t="n">
        <v>356111.9040719804</v>
      </c>
      <c r="G144" s="6" t="n">
        <v>14188147.05639676</v>
      </c>
      <c r="H144" s="6" t="n">
        <v>13832035.15232478</v>
      </c>
      <c r="I144" s="6" t="n">
        <v>20138594.48972249</v>
      </c>
      <c r="J144" s="11" t="n">
        <v>0.6565435095867883</v>
      </c>
      <c r="K144" s="11" t="n">
        <v>0.04302505532031419</v>
      </c>
      <c r="L144" s="11" t="n">
        <v>0.03005719603144269</v>
      </c>
      <c r="M144" s="11" t="n">
        <v>0.02693356378643073</v>
      </c>
    </row>
    <row r="145">
      <c r="A145" t="inlineStr">
        <is>
          <t>AyE</t>
        </is>
      </c>
      <c r="B145" s="8" t="n">
        <v>202412</v>
      </c>
      <c r="C145" s="9" t="n">
        <v>13267920.02212336</v>
      </c>
      <c r="D145" s="9" t="n">
        <v>604028.7709082551</v>
      </c>
      <c r="E145" s="9" t="n">
        <v>354264.826245397</v>
      </c>
      <c r="F145" s="9" t="n">
        <v>295226.8875491431</v>
      </c>
      <c r="G145" s="9" t="n">
        <v>14226213.61927702</v>
      </c>
      <c r="H145" s="9" t="n">
        <v>13930986.73172788</v>
      </c>
      <c r="I145" s="9" t="n">
        <v>19858584.19986619</v>
      </c>
      <c r="J145" s="10" t="n">
        <v>0.6681201383033522</v>
      </c>
      <c r="K145" s="10" t="n">
        <v>0.04552550587440064</v>
      </c>
      <c r="L145" s="10" t="n">
        <v>0.02670085632523291</v>
      </c>
      <c r="M145" s="10" t="n">
        <v>0.02225118082238001</v>
      </c>
    </row>
    <row r="146">
      <c r="A146" s="4" t="inlineStr">
        <is>
          <t>AyE</t>
        </is>
      </c>
      <c r="B146" s="5" t="n">
        <v>202501</v>
      </c>
      <c r="C146" s="6" t="n">
        <v>14720183.93684954</v>
      </c>
      <c r="D146" s="6" t="n">
        <v>607325.9330694007</v>
      </c>
      <c r="E146" s="6" t="n">
        <v>458261.4919442551</v>
      </c>
      <c r="F146" s="6" t="n">
        <v>1281902.494308047</v>
      </c>
      <c r="G146" s="6" t="n">
        <v>15785771.36186319</v>
      </c>
      <c r="H146" s="6" t="n">
        <v>14503868.86755515</v>
      </c>
      <c r="I146" s="6" t="n">
        <v>21910508.55677966</v>
      </c>
      <c r="J146" s="11" t="n">
        <v>0.671832143863897</v>
      </c>
      <c r="K146" s="11" t="n">
        <v>0.04125803968719854</v>
      </c>
      <c r="L146" s="11" t="n">
        <v>0.03113150582290439</v>
      </c>
      <c r="M146" s="11" t="n">
        <v>0.08708467909147638</v>
      </c>
    </row>
    <row r="147">
      <c r="A147" t="inlineStr">
        <is>
          <t>AyE</t>
        </is>
      </c>
      <c r="B147" s="8" t="n">
        <v>202502</v>
      </c>
      <c r="C147" s="9" t="n">
        <v>15013844.18996803</v>
      </c>
      <c r="D147" s="9" t="n">
        <v>597549.1209143657</v>
      </c>
      <c r="E147" s="9" t="n">
        <v>646041.8763545889</v>
      </c>
      <c r="F147" s="9" t="n">
        <v>1136316.670554276</v>
      </c>
      <c r="G147" s="9" t="n">
        <v>16257435.18723698</v>
      </c>
      <c r="H147" s="9" t="n">
        <v>15121118.51668271</v>
      </c>
      <c r="I147" s="9" t="n">
        <v>21145992.28767293</v>
      </c>
      <c r="J147" s="10" t="n">
        <v>0.7100089693459483</v>
      </c>
      <c r="K147" s="10" t="n">
        <v>0.03979987492567939</v>
      </c>
      <c r="L147" s="10" t="n">
        <v>0.0430297442933544</v>
      </c>
      <c r="M147" s="10" t="n">
        <v>0.07568459191241252</v>
      </c>
    </row>
    <row r="148">
      <c r="A148" s="4" t="inlineStr">
        <is>
          <t>AyE</t>
        </is>
      </c>
      <c r="B148" s="5" t="n">
        <v>202503</v>
      </c>
      <c r="C148" s="6" t="n">
        <v>14564946.50006843</v>
      </c>
      <c r="D148" s="6" t="n">
        <v>591452.6754120155</v>
      </c>
      <c r="E148" s="6" t="n">
        <v>529684.587300346</v>
      </c>
      <c r="F148" s="6" t="n">
        <v>1209507.41481105</v>
      </c>
      <c r="G148" s="6" t="n">
        <v>15686083.76278079</v>
      </c>
      <c r="H148" s="6" t="n">
        <v>14476576.34796974</v>
      </c>
      <c r="I148" s="6" t="n">
        <v>20930270.75378079</v>
      </c>
      <c r="J148" s="11" t="n">
        <v>0.6958795073129884</v>
      </c>
      <c r="K148" s="11" t="n">
        <v>0.04060795385751927</v>
      </c>
      <c r="L148" s="11" t="n">
        <v>0.03636708087447198</v>
      </c>
      <c r="M148" s="11" t="n">
        <v>0.08304235204745637</v>
      </c>
    </row>
    <row r="149">
      <c r="A149" t="inlineStr">
        <is>
          <t>AyE</t>
        </is>
      </c>
      <c r="B149" s="8" t="n">
        <v>202504</v>
      </c>
      <c r="C149" s="9" t="n">
        <v>14992948.2609006</v>
      </c>
      <c r="D149" s="9" t="n">
        <v>612889.5353224293</v>
      </c>
      <c r="E149" s="9" t="n">
        <v>545102.4330056695</v>
      </c>
      <c r="F149" s="9" t="n">
        <v>1038978.146796101</v>
      </c>
      <c r="G149" s="9" t="n">
        <v>16150940.2292287</v>
      </c>
      <c r="H149" s="9" t="n">
        <v>15111962.0824326</v>
      </c>
      <c r="I149" s="9" t="n">
        <v>21688847.19451904</v>
      </c>
      <c r="J149" s="10" t="n">
        <v>0.6912745581373937</v>
      </c>
      <c r="K149" s="10" t="n">
        <v>0.04087851999868197</v>
      </c>
      <c r="L149" s="10" t="n">
        <v>0.03635725432516941</v>
      </c>
      <c r="M149" s="10" t="n">
        <v>0.06929778778104653</v>
      </c>
    </row>
    <row r="150">
      <c r="A150" s="4" t="inlineStr">
        <is>
          <t>AyE</t>
        </is>
      </c>
      <c r="B150" s="5" t="n">
        <v>202505</v>
      </c>
      <c r="C150" s="6" t="n">
        <v>14886392.59217249</v>
      </c>
      <c r="D150" s="6" t="n">
        <v>617361.8219502261</v>
      </c>
      <c r="E150" s="6" t="n">
        <v>570814.3294647782</v>
      </c>
      <c r="F150" s="6" t="n">
        <v>748043.8885938635</v>
      </c>
      <c r="G150" s="6" t="n">
        <v>16074568.7435875</v>
      </c>
      <c r="H150" s="6" t="n">
        <v>15326524.85499363</v>
      </c>
      <c r="I150" s="6" t="n">
        <v>21847138.87807684</v>
      </c>
      <c r="J150" s="11" t="n">
        <v>0.6813886557525699</v>
      </c>
      <c r="K150" s="11" t="n">
        <v>0.04147155317365774</v>
      </c>
      <c r="L150" s="11" t="n">
        <v>0.03834470479872483</v>
      </c>
      <c r="M150" s="11" t="n">
        <v>0.05025017874291434</v>
      </c>
    </row>
    <row r="151">
      <c r="A151" t="inlineStr">
        <is>
          <t>AyE</t>
        </is>
      </c>
      <c r="B151" s="8" t="n">
        <v>202506</v>
      </c>
      <c r="C151" s="9" t="n">
        <v>15534571.969156</v>
      </c>
      <c r="D151" s="9" t="n">
        <v>647755.5884766645</v>
      </c>
      <c r="E151" s="9" t="n">
        <v>540399.3546633698</v>
      </c>
      <c r="F151" s="9" t="n">
        <v>925066.6386008291</v>
      </c>
      <c r="G151" s="9" t="n">
        <v>16722726.91229603</v>
      </c>
      <c r="H151" s="9" t="n">
        <v>15797660.2736952</v>
      </c>
      <c r="I151" s="9" t="n">
        <v>23036997.29977868</v>
      </c>
      <c r="J151" s="10" t="n">
        <v>0.6743314576550843</v>
      </c>
      <c r="K151" s="10" t="n">
        <v>0.04169767855611263</v>
      </c>
      <c r="L151" s="10" t="n">
        <v>0.03478688410188169</v>
      </c>
      <c r="M151" s="10" t="n">
        <v>0.05954889780275602</v>
      </c>
    </row>
    <row r="152">
      <c r="A152" s="4" t="inlineStr">
        <is>
          <t>AyE</t>
        </is>
      </c>
      <c r="B152" s="5" t="n">
        <v>202507</v>
      </c>
      <c r="C152" s="6" t="n">
        <v>15609592.13483146</v>
      </c>
      <c r="D152" s="6" t="n">
        <v>670317.8868984525</v>
      </c>
      <c r="E152" s="6" t="n">
        <v>377589.8653805385</v>
      </c>
      <c r="F152" s="6" t="n">
        <v>827404.527771889</v>
      </c>
      <c r="G152" s="6" t="n">
        <v>16657499.88711045</v>
      </c>
      <c r="H152" s="6" t="n">
        <v>15830095.35933856</v>
      </c>
      <c r="I152" s="6" t="n">
        <v>23721101.43948577</v>
      </c>
      <c r="J152" s="11" t="n">
        <v>0.6580466836522177</v>
      </c>
      <c r="K152" s="11" t="n">
        <v>0.04294269069354451</v>
      </c>
      <c r="L152" s="11" t="n">
        <v>0.02418960483522047</v>
      </c>
      <c r="M152" s="11" t="n">
        <v>0.05300615932978844</v>
      </c>
    </row>
    <row r="153">
      <c r="A153" t="inlineStr">
        <is>
          <t>AyE</t>
        </is>
      </c>
      <c r="B153" s="8" t="n">
        <v>202508</v>
      </c>
      <c r="C153" s="9" t="n">
        <v>14751971.05698899</v>
      </c>
      <c r="D153" s="9" t="n">
        <v>644773.9292125499</v>
      </c>
      <c r="E153" s="9" t="n">
        <v>366593.6425260563</v>
      </c>
      <c r="F153" s="9" t="n">
        <v>1137490.03295555</v>
      </c>
      <c r="G153" s="9" t="n">
        <v>15763338.6287276</v>
      </c>
      <c r="H153" s="9" t="n">
        <v>14625848.59577204</v>
      </c>
      <c r="I153" s="9" t="n">
        <v>22817186.46578494</v>
      </c>
      <c r="J153" s="10" t="n">
        <v>0.6465289258651592</v>
      </c>
      <c r="K153" s="10" t="n">
        <v>0.0437076460306013</v>
      </c>
      <c r="L153" s="10" t="n">
        <v>0.02485048547816779</v>
      </c>
      <c r="M153" s="10" t="n">
        <v>0.0771076643630375</v>
      </c>
    </row>
    <row r="154">
      <c r="A154" s="4" t="inlineStr">
        <is>
          <t>AyE</t>
        </is>
      </c>
      <c r="B154" s="5" t="n">
        <v>202509</v>
      </c>
      <c r="C154" s="6" t="n">
        <v>13998151.7895461</v>
      </c>
      <c r="D154" s="6" t="n">
        <v>611470.9419209706</v>
      </c>
      <c r="E154" s="6" t="n">
        <v>304626.3695283025</v>
      </c>
      <c r="F154" s="6" t="n">
        <v>904550.17663407</v>
      </c>
      <c r="G154" s="6" t="n">
        <v>14914249.10099538</v>
      </c>
      <c r="H154" s="6" t="n">
        <v>14009698.92436131</v>
      </c>
      <c r="I154" s="6" t="n">
        <v>21638645.21975533</v>
      </c>
      <c r="J154" s="11" t="n">
        <v>0.6469051850236113</v>
      </c>
      <c r="K154" s="11" t="n">
        <v>0.04368226256680689</v>
      </c>
      <c r="L154" s="11" t="n">
        <v>0.02176189929271942</v>
      </c>
      <c r="M154" s="11" t="n">
        <v>0.06461925761582277</v>
      </c>
    </row>
    <row r="155">
      <c r="A155" t="inlineStr">
        <is>
          <t>AyE</t>
        </is>
      </c>
      <c r="B155" s="8" t="n">
        <v>202510</v>
      </c>
      <c r="C155" s="9" t="n">
        <v>13465778.17283472</v>
      </c>
      <c r="D155" s="9" t="n">
        <v>583758.6729531315</v>
      </c>
      <c r="E155" s="9" t="n">
        <v>333474.0155869879</v>
      </c>
      <c r="F155" s="9" t="n">
        <v>773303.3515253289</v>
      </c>
      <c r="G155" s="9" t="n">
        <v>14383010.86137484</v>
      </c>
      <c r="H155" s="9" t="n">
        <v>13609707.50984951</v>
      </c>
      <c r="I155" s="9" t="n">
        <v>20657994.86409575</v>
      </c>
      <c r="J155" s="10" t="n">
        <v>0.6518434272746709</v>
      </c>
      <c r="K155" s="10" t="n">
        <v>0.04335127650704814</v>
      </c>
      <c r="L155" s="10" t="n">
        <v>0.02476455584718631</v>
      </c>
      <c r="M155" s="10" t="n">
        <v>0.0574273050988882</v>
      </c>
    </row>
    <row r="156">
      <c r="A156" s="4" t="inlineStr">
        <is>
          <t>AyE</t>
        </is>
      </c>
      <c r="B156" s="5" t="n">
        <v>202511</v>
      </c>
      <c r="C156" s="6" t="n">
        <v>14326938.00101665</v>
      </c>
      <c r="D156" s="6" t="n">
        <v>597353.024547288</v>
      </c>
      <c r="E156" s="6" t="n">
        <v>415591.5005493214</v>
      </c>
      <c r="F156" s="6" t="n">
        <v>796774.2092231337</v>
      </c>
      <c r="G156" s="6" t="n">
        <v>15339882.52611326</v>
      </c>
      <c r="H156" s="6" t="n">
        <v>14543108.31689013</v>
      </c>
      <c r="I156" s="6" t="n">
        <v>21139083.47412492</v>
      </c>
      <c r="J156" s="11" t="n">
        <v>0.6777464131097926</v>
      </c>
      <c r="K156" s="11" t="n">
        <v>0.04169439586497123</v>
      </c>
      <c r="L156" s="11" t="n">
        <v>0.02900769868061344</v>
      </c>
      <c r="M156" s="11" t="n">
        <v>0.05561371237640547</v>
      </c>
    </row>
    <row r="157">
      <c r="A157" t="inlineStr">
        <is>
          <t>AyE</t>
        </is>
      </c>
      <c r="B157" s="8" t="n">
        <v>202512</v>
      </c>
      <c r="C157" s="9" t="n">
        <v>13736965.6663705</v>
      </c>
      <c r="D157" s="9" t="n">
        <v>570454.4424700133</v>
      </c>
      <c r="E157" s="9" t="n">
        <v>468330.2609951133</v>
      </c>
      <c r="F157" s="9" t="n">
        <v>764515.3198578409</v>
      </c>
      <c r="G157" s="9" t="n">
        <v>14775750.36983563</v>
      </c>
      <c r="H157" s="9" t="n">
        <v>14011235.04997779</v>
      </c>
      <c r="I157" s="9" t="n">
        <v>20187194.39056042</v>
      </c>
      <c r="J157" s="10" t="n">
        <v>0.680479188965156</v>
      </c>
      <c r="K157" s="10" t="n">
        <v>0.04152696136283896</v>
      </c>
      <c r="L157" s="10" t="n">
        <v>0.03409270084598331</v>
      </c>
      <c r="M157" s="10" t="n">
        <v>0.05565387134434299</v>
      </c>
    </row>
    <row r="158">
      <c r="A158" s="4" t="inlineStr">
        <is>
          <t>AyE</t>
        </is>
      </c>
      <c r="B158" s="5" t="n">
        <v>202601</v>
      </c>
      <c r="C158" s="6" t="n">
        <v>14892636.27992951</v>
      </c>
      <c r="D158" s="6" t="n">
        <v>623441.8298402419</v>
      </c>
      <c r="E158" s="6" t="n">
        <v>457623.8724232352</v>
      </c>
      <c r="F158" s="6" t="n">
        <v>941335.3947451506</v>
      </c>
      <c r="G158" s="6" t="n">
        <v>15973701.98219298</v>
      </c>
      <c r="H158" s="6" t="n">
        <v>15032366.58744783</v>
      </c>
      <c r="I158" s="6" t="n">
        <v>22062307.35101816</v>
      </c>
      <c r="J158" s="11" t="n">
        <v>0.6750262356055076</v>
      </c>
      <c r="K158" s="11" t="n">
        <v>0.04186242234898609</v>
      </c>
      <c r="L158" s="11" t="n">
        <v>0.03072819773621715</v>
      </c>
      <c r="M158" s="11" t="n">
        <v>0.06320811017279516</v>
      </c>
    </row>
    <row r="159">
      <c r="A159" t="inlineStr">
        <is>
          <t>AyE</t>
        </is>
      </c>
      <c r="B159" s="8" t="n">
        <v>202602</v>
      </c>
      <c r="C159" s="9" t="n">
        <v>15055375.13550529</v>
      </c>
      <c r="D159" s="9" t="n">
        <v>630254.4725449459</v>
      </c>
      <c r="E159" s="9" t="n">
        <v>462624.5441567334</v>
      </c>
      <c r="F159" s="9" t="n">
        <v>951621.8102577792</v>
      </c>
      <c r="G159" s="9" t="n">
        <v>16148254.15220696</v>
      </c>
      <c r="H159" s="9" t="n">
        <v>15196632.34194919</v>
      </c>
      <c r="I159" s="9" t="n">
        <v>22385766.85139434</v>
      </c>
      <c r="J159" s="10" t="n">
        <v>0.672542300446926</v>
      </c>
      <c r="K159" s="10" t="n">
        <v>0.04186242234898608</v>
      </c>
      <c r="L159" s="10" t="n">
        <v>0.03072819773621715</v>
      </c>
      <c r="M159" s="10" t="n">
        <v>0.06320811017279516</v>
      </c>
    </row>
    <row r="160">
      <c r="A160" s="4" t="inlineStr">
        <is>
          <t>AyE</t>
        </is>
      </c>
      <c r="B160" s="5" t="n">
        <v>202603</v>
      </c>
      <c r="C160" s="6" t="n">
        <v>15014706.91373039</v>
      </c>
      <c r="D160" s="6" t="n">
        <v>587438.6400151742</v>
      </c>
      <c r="E160" s="6" t="n">
        <v>406466.6887956619</v>
      </c>
      <c r="F160" s="6" t="n">
        <v>1112876.602213643</v>
      </c>
      <c r="G160" s="6" t="n">
        <v>16008612.24254123</v>
      </c>
      <c r="H160" s="6" t="n">
        <v>14895735.64032758</v>
      </c>
      <c r="I160" s="6" t="n">
        <v>22387412.59367491</v>
      </c>
      <c r="J160" s="11" t="n">
        <v>0.6706762941409532</v>
      </c>
      <c r="K160" s="11" t="n">
        <v>0.039124216236148</v>
      </c>
      <c r="L160" s="11" t="n">
        <v>0.02707123696327121</v>
      </c>
      <c r="M160" s="11" t="n">
        <v>0.07411910259773098</v>
      </c>
    </row>
    <row r="161">
      <c r="A161" t="inlineStr">
        <is>
          <t>AyE</t>
        </is>
      </c>
      <c r="B161" s="8" t="n">
        <v>202604</v>
      </c>
      <c r="C161" s="9" t="n">
        <v>15443794.85425444</v>
      </c>
      <c r="D161" s="9" t="n">
        <v>610736.699143616</v>
      </c>
      <c r="E161" s="9" t="n">
        <v>350853.685427734</v>
      </c>
      <c r="F161" s="9" t="n">
        <v>1361205.936297857</v>
      </c>
      <c r="G161" s="9" t="n">
        <v>16405385.23882579</v>
      </c>
      <c r="H161" s="9" t="n">
        <v>15044179.30252793</v>
      </c>
      <c r="I161" s="9" t="n">
        <v>23275286.41511467</v>
      </c>
      <c r="J161" s="10" t="n">
        <v>0.6635275965594754</v>
      </c>
      <c r="K161" s="10" t="n">
        <v>0.03954576610912252</v>
      </c>
      <c r="L161" s="10" t="n">
        <v>0.02271810061832576</v>
      </c>
      <c r="M161" s="10" t="n">
        <v>0.08813934328601061</v>
      </c>
    </row>
    <row r="162">
      <c r="A162" s="4" t="inlineStr">
        <is>
          <t>AyE</t>
        </is>
      </c>
      <c r="B162" s="5" t="n">
        <v>202605</v>
      </c>
      <c r="C162" s="6" t="n">
        <v>16569696.2704944</v>
      </c>
      <c r="D162" s="6" t="n">
        <v>644057.3283891096</v>
      </c>
      <c r="E162" s="6" t="n">
        <v>438350.5556484681</v>
      </c>
      <c r="F162" s="6" t="n">
        <v>1809164.860064244</v>
      </c>
      <c r="G162" s="6" t="n">
        <v>17652104.15453198</v>
      </c>
      <c r="H162" s="6" t="n">
        <v>15842939.29446774</v>
      </c>
      <c r="I162" s="6" t="n">
        <v>24545179.66967259</v>
      </c>
      <c r="J162" s="11" t="n">
        <v>0.6750692597686505</v>
      </c>
      <c r="K162" s="11" t="n">
        <v>0.03886959168563518</v>
      </c>
      <c r="L162" s="11" t="n">
        <v>0.02645495418217396</v>
      </c>
      <c r="M162" s="11" t="n">
        <v>0.1091851552696121</v>
      </c>
    </row>
    <row r="163">
      <c r="A163" t="inlineStr">
        <is>
          <t>CAT</t>
        </is>
      </c>
      <c r="B163" s="8" t="n">
        <v>202201</v>
      </c>
      <c r="C163" s="9" t="n">
        <v>17307005.1971048</v>
      </c>
      <c r="D163" s="9" t="n">
        <v>0</v>
      </c>
      <c r="E163" s="9" t="n">
        <v>0</v>
      </c>
      <c r="F163" s="9" t="n">
        <v>5393153.297369672</v>
      </c>
      <c r="G163" s="9" t="n">
        <v>17307005.1971048</v>
      </c>
      <c r="H163" s="9" t="n">
        <v>11913851.89973513</v>
      </c>
      <c r="I163" s="9" t="n">
        <v>107641191.5164437</v>
      </c>
      <c r="J163" s="10" t="n">
        <v>0.1607842216653735</v>
      </c>
      <c r="K163" s="10" t="n">
        <v>0</v>
      </c>
      <c r="L163" s="10" t="n">
        <v>0</v>
      </c>
      <c r="M163" s="10" t="n">
        <v>0.3116167838368631</v>
      </c>
    </row>
    <row r="164">
      <c r="A164" s="4" t="inlineStr">
        <is>
          <t>CAT</t>
        </is>
      </c>
      <c r="B164" s="5" t="n">
        <v>202202</v>
      </c>
      <c r="C164" s="6" t="n">
        <v>16453286.41941017</v>
      </c>
      <c r="D164" s="6" t="n">
        <v>0</v>
      </c>
      <c r="E164" s="6" t="n">
        <v>0</v>
      </c>
      <c r="F164" s="6" t="n">
        <v>5179978.582149193</v>
      </c>
      <c r="G164" s="6" t="n">
        <v>16453286.41941017</v>
      </c>
      <c r="H164" s="6" t="n">
        <v>11273307.83726098</v>
      </c>
      <c r="I164" s="6" t="n">
        <v>102841227.4479289</v>
      </c>
      <c r="J164" s="11" t="n">
        <v>0.1599872621876366</v>
      </c>
      <c r="K164" s="11" t="n">
        <v>0</v>
      </c>
      <c r="L164" s="11" t="n">
        <v>0</v>
      </c>
      <c r="M164" s="11" t="n">
        <v>0.3148294176680898</v>
      </c>
    </row>
    <row r="165">
      <c r="A165" t="inlineStr">
        <is>
          <t>CAT</t>
        </is>
      </c>
      <c r="B165" s="8" t="n">
        <v>202203</v>
      </c>
      <c r="C165" s="9" t="n">
        <v>16339850.0867222</v>
      </c>
      <c r="D165" s="9" t="n">
        <v>0</v>
      </c>
      <c r="E165" s="9" t="n">
        <v>0</v>
      </c>
      <c r="F165" s="9" t="n">
        <v>4769369.253083036</v>
      </c>
      <c r="G165" s="9" t="n">
        <v>16339850.0867222</v>
      </c>
      <c r="H165" s="9" t="n">
        <v>11570480.83363916</v>
      </c>
      <c r="I165" s="9" t="n">
        <v>102063462.8461284</v>
      </c>
      <c r="J165" s="10" t="n">
        <v>0.1600950000232333</v>
      </c>
      <c r="K165" s="10" t="n">
        <v>0</v>
      </c>
      <c r="L165" s="10" t="n">
        <v>0</v>
      </c>
      <c r="M165" s="10" t="n">
        <v>0.2918857411647025</v>
      </c>
    </row>
    <row r="166">
      <c r="A166" s="4" t="inlineStr">
        <is>
          <t>CAT</t>
        </is>
      </c>
      <c r="B166" s="5" t="n">
        <v>202204</v>
      </c>
      <c r="C166" s="6" t="n">
        <v>16780126.25274634</v>
      </c>
      <c r="D166" s="6" t="n">
        <v>0</v>
      </c>
      <c r="E166" s="6" t="n">
        <v>0</v>
      </c>
      <c r="F166" s="6" t="n">
        <v>5102744.904720008</v>
      </c>
      <c r="G166" s="6" t="n">
        <v>16780126.25274634</v>
      </c>
      <c r="H166" s="6" t="n">
        <v>11677381.34802632</v>
      </c>
      <c r="I166" s="6" t="n">
        <v>105907788.6272397</v>
      </c>
      <c r="J166" s="11" t="n">
        <v>0.1584409085511814</v>
      </c>
      <c r="K166" s="11" t="n">
        <v>0</v>
      </c>
      <c r="L166" s="11" t="n">
        <v>0</v>
      </c>
      <c r="M166" s="11" t="n">
        <v>0.3040945477919073</v>
      </c>
    </row>
    <row r="167">
      <c r="A167" t="inlineStr">
        <is>
          <t>CAT</t>
        </is>
      </c>
      <c r="B167" s="8" t="n">
        <v>202205</v>
      </c>
      <c r="C167" s="9" t="n">
        <v>17011725.19113053</v>
      </c>
      <c r="D167" s="9" t="n">
        <v>0</v>
      </c>
      <c r="E167" s="9" t="n">
        <v>0</v>
      </c>
      <c r="F167" s="9" t="n">
        <v>4938469.764547509</v>
      </c>
      <c r="G167" s="9" t="n">
        <v>17011725.19113053</v>
      </c>
      <c r="H167" s="9" t="n">
        <v>12073255.42658302</v>
      </c>
      <c r="I167" s="9" t="n">
        <v>107766584.9023255</v>
      </c>
      <c r="J167" s="10" t="n">
        <v>0.157857142884774</v>
      </c>
      <c r="K167" s="10" t="n">
        <v>0</v>
      </c>
      <c r="L167" s="10" t="n">
        <v>0</v>
      </c>
      <c r="M167" s="10" t="n">
        <v>0.290297997943342</v>
      </c>
    </row>
    <row r="168">
      <c r="A168" s="4" t="inlineStr">
        <is>
          <t>CAT</t>
        </is>
      </c>
      <c r="B168" s="5" t="n">
        <v>202206</v>
      </c>
      <c r="C168" s="6" t="n">
        <v>16104493.2730081</v>
      </c>
      <c r="D168" s="6" t="n">
        <v>0</v>
      </c>
      <c r="E168" s="6" t="n">
        <v>0</v>
      </c>
      <c r="F168" s="6" t="n">
        <v>4739440.858094988</v>
      </c>
      <c r="G168" s="6" t="n">
        <v>16104493.2730081</v>
      </c>
      <c r="H168" s="6" t="n">
        <v>11365052.41491311</v>
      </c>
      <c r="I168" s="6" t="n">
        <v>102829398.2306363</v>
      </c>
      <c r="J168" s="11" t="n">
        <v>0.1566137072677144</v>
      </c>
      <c r="K168" s="11" t="n">
        <v>0</v>
      </c>
      <c r="L168" s="11" t="n">
        <v>0</v>
      </c>
      <c r="M168" s="11" t="n">
        <v>0.2942930757118896</v>
      </c>
    </row>
    <row r="169">
      <c r="A169" t="inlineStr">
        <is>
          <t>CAT</t>
        </is>
      </c>
      <c r="B169" s="8" t="n">
        <v>202207</v>
      </c>
      <c r="C169" s="9" t="n">
        <v>17477255.49487786</v>
      </c>
      <c r="D169" s="9" t="n">
        <v>0</v>
      </c>
      <c r="E169" s="9" t="n">
        <v>0</v>
      </c>
      <c r="F169" s="9" t="n">
        <v>5697176.947442861</v>
      </c>
      <c r="G169" s="9" t="n">
        <v>17477255.49487786</v>
      </c>
      <c r="H169" s="9" t="n">
        <v>11780078.547435</v>
      </c>
      <c r="I169" s="9" t="n">
        <v>114298260.0146274</v>
      </c>
      <c r="J169" s="10" t="n">
        <v>0.1529091999531857</v>
      </c>
      <c r="K169" s="10" t="n">
        <v>0</v>
      </c>
      <c r="L169" s="10" t="n">
        <v>0</v>
      </c>
      <c r="M169" s="10" t="n">
        <v>0.3259766356973243</v>
      </c>
    </row>
    <row r="170">
      <c r="A170" s="4" t="inlineStr">
        <is>
          <t>CAT</t>
        </is>
      </c>
      <c r="B170" s="5" t="n">
        <v>202208</v>
      </c>
      <c r="C170" s="6" t="n">
        <v>17277987.16738155</v>
      </c>
      <c r="D170" s="6" t="n">
        <v>0</v>
      </c>
      <c r="E170" s="6" t="n">
        <v>0</v>
      </c>
      <c r="F170" s="6" t="n">
        <v>5318960.855772668</v>
      </c>
      <c r="G170" s="6" t="n">
        <v>17277987.16738155</v>
      </c>
      <c r="H170" s="6" t="n">
        <v>11959026.31160888</v>
      </c>
      <c r="I170" s="6" t="n">
        <v>113152400.2114119</v>
      </c>
      <c r="J170" s="11" t="n">
        <v>0.152696603298734</v>
      </c>
      <c r="K170" s="11" t="n">
        <v>0</v>
      </c>
      <c r="L170" s="11" t="n">
        <v>0</v>
      </c>
      <c r="M170" s="11" t="n">
        <v>0.3078460936592273</v>
      </c>
    </row>
    <row r="171">
      <c r="A171" t="inlineStr">
        <is>
          <t>CAT</t>
        </is>
      </c>
      <c r="B171" s="8" t="n">
        <v>202209</v>
      </c>
      <c r="C171" s="9" t="n">
        <v>18031466.86954405</v>
      </c>
      <c r="D171" s="9" t="n">
        <v>0</v>
      </c>
      <c r="E171" s="9" t="n">
        <v>0</v>
      </c>
      <c r="F171" s="9" t="n">
        <v>5289050.536838392</v>
      </c>
      <c r="G171" s="9" t="n">
        <v>18031466.86954405</v>
      </c>
      <c r="H171" s="9" t="n">
        <v>12742416.33270566</v>
      </c>
      <c r="I171" s="9" t="n">
        <v>115990760.0646476</v>
      </c>
      <c r="J171" s="10" t="n">
        <v>0.1554560627027032</v>
      </c>
      <c r="K171" s="10" t="n">
        <v>0</v>
      </c>
      <c r="L171" s="10" t="n">
        <v>0</v>
      </c>
      <c r="M171" s="10" t="n">
        <v>0.2933233649322138</v>
      </c>
    </row>
    <row r="172">
      <c r="A172" s="4" t="inlineStr">
        <is>
          <t>CAT</t>
        </is>
      </c>
      <c r="B172" s="5" t="n">
        <v>202210</v>
      </c>
      <c r="C172" s="6" t="n">
        <v>17023497.14088126</v>
      </c>
      <c r="D172" s="6" t="n">
        <v>0</v>
      </c>
      <c r="E172" s="6" t="n">
        <v>0</v>
      </c>
      <c r="F172" s="6" t="n">
        <v>4900895.922323235</v>
      </c>
      <c r="G172" s="6" t="n">
        <v>17023497.14088126</v>
      </c>
      <c r="H172" s="6" t="n">
        <v>12122601.21855802</v>
      </c>
      <c r="I172" s="6" t="n">
        <v>108771225.8696109</v>
      </c>
      <c r="J172" s="11" t="n">
        <v>0.1565073575734829</v>
      </c>
      <c r="K172" s="11" t="n">
        <v>0</v>
      </c>
      <c r="L172" s="11" t="n">
        <v>0</v>
      </c>
      <c r="M172" s="11" t="n">
        <v>0.2878900781528566</v>
      </c>
    </row>
    <row r="173">
      <c r="A173" t="inlineStr">
        <is>
          <t>CAT</t>
        </is>
      </c>
      <c r="B173" s="8" t="n">
        <v>202211</v>
      </c>
      <c r="C173" s="9" t="n">
        <v>17089648.15854486</v>
      </c>
      <c r="D173" s="9" t="n">
        <v>0</v>
      </c>
      <c r="E173" s="9" t="n">
        <v>0</v>
      </c>
      <c r="F173" s="9" t="n">
        <v>4906184.256348372</v>
      </c>
      <c r="G173" s="9" t="n">
        <v>17089648.15854486</v>
      </c>
      <c r="H173" s="9" t="n">
        <v>12183463.90219649</v>
      </c>
      <c r="I173" s="9" t="n">
        <v>108582415.7152795</v>
      </c>
      <c r="J173" s="10" t="n">
        <v>0.1573887267654522</v>
      </c>
      <c r="K173" s="10" t="n">
        <v>0</v>
      </c>
      <c r="L173" s="10" t="n">
        <v>0</v>
      </c>
      <c r="M173" s="10" t="n">
        <v>0.2870851530021271</v>
      </c>
    </row>
    <row r="174">
      <c r="A174" s="4" t="inlineStr">
        <is>
          <t>CAT</t>
        </is>
      </c>
      <c r="B174" s="5" t="n">
        <v>202212</v>
      </c>
      <c r="C174" s="6" t="n">
        <v>17005004.63532029</v>
      </c>
      <c r="D174" s="6" t="n">
        <v>0</v>
      </c>
      <c r="E174" s="6" t="n">
        <v>0</v>
      </c>
      <c r="F174" s="6" t="n">
        <v>4597340.374905813</v>
      </c>
      <c r="G174" s="6" t="n">
        <v>17005004.63532029</v>
      </c>
      <c r="H174" s="6" t="n">
        <v>12407664.26041448</v>
      </c>
      <c r="I174" s="6" t="n">
        <v>106492718.1941166</v>
      </c>
      <c r="J174" s="11" t="n">
        <v>0.1596823231079829</v>
      </c>
      <c r="K174" s="11" t="n">
        <v>0</v>
      </c>
      <c r="L174" s="11" t="n">
        <v>0</v>
      </c>
      <c r="M174" s="11" t="n">
        <v>0.2703521976910782</v>
      </c>
    </row>
    <row r="175">
      <c r="A175" t="inlineStr">
        <is>
          <t>CAT</t>
        </is>
      </c>
      <c r="B175" s="8" t="n">
        <v>202301</v>
      </c>
      <c r="C175" s="9" t="n">
        <v>18252193.54955146</v>
      </c>
      <c r="D175" s="9" t="n">
        <v>0</v>
      </c>
      <c r="E175" s="9" t="n">
        <v>0</v>
      </c>
      <c r="F175" s="9" t="n">
        <v>5296322.391315888</v>
      </c>
      <c r="G175" s="9" t="n">
        <v>18252193.54955146</v>
      </c>
      <c r="H175" s="9" t="n">
        <v>12955871.15823558</v>
      </c>
      <c r="I175" s="9" t="n">
        <v>111963202.6479228</v>
      </c>
      <c r="J175" s="10" t="n">
        <v>0.163019573555313</v>
      </c>
      <c r="K175" s="10" t="n">
        <v>0</v>
      </c>
      <c r="L175" s="10" t="n">
        <v>0</v>
      </c>
      <c r="M175" s="10" t="n">
        <v>0.2901745687134707</v>
      </c>
    </row>
    <row r="176">
      <c r="A176" s="4" t="inlineStr">
        <is>
          <t>CAT</t>
        </is>
      </c>
      <c r="B176" s="5" t="n">
        <v>202302</v>
      </c>
      <c r="C176" s="6" t="n">
        <v>16774172.04902512</v>
      </c>
      <c r="D176" s="6" t="n">
        <v>0</v>
      </c>
      <c r="E176" s="6" t="n">
        <v>0</v>
      </c>
      <c r="F176" s="6" t="n">
        <v>4648371.24521836</v>
      </c>
      <c r="G176" s="6" t="n">
        <v>16774172.04902512</v>
      </c>
      <c r="H176" s="6" t="n">
        <v>12125800.80380676</v>
      </c>
      <c r="I176" s="6" t="n">
        <v>101755162.4395714</v>
      </c>
      <c r="J176" s="11" t="n">
        <v>0.1648483639244022</v>
      </c>
      <c r="K176" s="11" t="n">
        <v>0</v>
      </c>
      <c r="L176" s="11" t="n">
        <v>0</v>
      </c>
      <c r="M176" s="11" t="n">
        <v>0.2771147947948056</v>
      </c>
    </row>
    <row r="177">
      <c r="A177" t="inlineStr">
        <is>
          <t>CAT</t>
        </is>
      </c>
      <c r="B177" s="8" t="n">
        <v>202303</v>
      </c>
      <c r="C177" s="9" t="n">
        <v>15797025.12361197</v>
      </c>
      <c r="D177" s="9" t="n">
        <v>0</v>
      </c>
      <c r="E177" s="9" t="n">
        <v>0</v>
      </c>
      <c r="F177" s="9" t="n">
        <v>4314249.591844663</v>
      </c>
      <c r="G177" s="9" t="n">
        <v>15797025.12361197</v>
      </c>
      <c r="H177" s="9" t="n">
        <v>11482775.5317673</v>
      </c>
      <c r="I177" s="9" t="n">
        <v>94106646.02760372</v>
      </c>
      <c r="J177" s="10" t="n">
        <v>0.1678630127672208</v>
      </c>
      <c r="K177" s="10" t="n">
        <v>0</v>
      </c>
      <c r="L177" s="10" t="n">
        <v>0</v>
      </c>
      <c r="M177" s="10" t="n">
        <v>0.2731051927869705</v>
      </c>
    </row>
    <row r="178">
      <c r="A178" s="4" t="inlineStr">
        <is>
          <t>CAT</t>
        </is>
      </c>
      <c r="B178" s="5" t="n">
        <v>202304</v>
      </c>
      <c r="C178" s="6" t="n">
        <v>15877107.48101533</v>
      </c>
      <c r="D178" s="6" t="n">
        <v>0</v>
      </c>
      <c r="E178" s="6" t="n">
        <v>0</v>
      </c>
      <c r="F178" s="6" t="n">
        <v>4511848.61020002</v>
      </c>
      <c r="G178" s="6" t="n">
        <v>15877107.48101533</v>
      </c>
      <c r="H178" s="6" t="n">
        <v>11365258.87081531</v>
      </c>
      <c r="I178" s="6" t="n">
        <v>93092180.02430442</v>
      </c>
      <c r="J178" s="11" t="n">
        <v>0.1705525370323281</v>
      </c>
      <c r="K178" s="11" t="n">
        <v>0</v>
      </c>
      <c r="L178" s="11" t="n">
        <v>0</v>
      </c>
      <c r="M178" s="11" t="n">
        <v>0.2841732107435157</v>
      </c>
    </row>
    <row r="179">
      <c r="A179" t="inlineStr">
        <is>
          <t>CAT</t>
        </is>
      </c>
      <c r="B179" s="8" t="n">
        <v>202305</v>
      </c>
      <c r="C179" s="9" t="n">
        <v>15225688.19126443</v>
      </c>
      <c r="D179" s="9" t="n">
        <v>0</v>
      </c>
      <c r="E179" s="9" t="n">
        <v>0</v>
      </c>
      <c r="F179" s="9" t="n">
        <v>4350077.919677081</v>
      </c>
      <c r="G179" s="9" t="n">
        <v>15225688.19126443</v>
      </c>
      <c r="H179" s="9" t="n">
        <v>10875610.27158735</v>
      </c>
      <c r="I179" s="9" t="n">
        <v>89003336.27541243</v>
      </c>
      <c r="J179" s="10" t="n">
        <v>0.1710687354926783</v>
      </c>
      <c r="K179" s="10" t="n">
        <v>0</v>
      </c>
      <c r="L179" s="10" t="n">
        <v>0</v>
      </c>
      <c r="M179" s="10" t="n">
        <v>0.2857064892589151</v>
      </c>
    </row>
    <row r="180">
      <c r="A180" s="4" t="inlineStr">
        <is>
          <t>CAT</t>
        </is>
      </c>
      <c r="B180" s="5" t="n">
        <v>202306</v>
      </c>
      <c r="C180" s="6" t="n">
        <v>15312527.00343546</v>
      </c>
      <c r="D180" s="6" t="n">
        <v>0</v>
      </c>
      <c r="E180" s="6" t="n">
        <v>0</v>
      </c>
      <c r="F180" s="6" t="n">
        <v>4186846.972352707</v>
      </c>
      <c r="G180" s="6" t="n">
        <v>15312527.00343546</v>
      </c>
      <c r="H180" s="6" t="n">
        <v>11125680.03108276</v>
      </c>
      <c r="I180" s="6" t="n">
        <v>87796487.7508215</v>
      </c>
      <c r="J180" s="11" t="n">
        <v>0.1744093345384672</v>
      </c>
      <c r="K180" s="11" t="n">
        <v>0</v>
      </c>
      <c r="L180" s="11" t="n">
        <v>0</v>
      </c>
      <c r="M180" s="11" t="n">
        <v>0.2734262588672243</v>
      </c>
    </row>
    <row r="181">
      <c r="A181" t="inlineStr">
        <is>
          <t>CAT</t>
        </is>
      </c>
      <c r="B181" s="8" t="n">
        <v>202307</v>
      </c>
      <c r="C181" s="9" t="n">
        <v>15369354.81838488</v>
      </c>
      <c r="D181" s="9" t="n">
        <v>0</v>
      </c>
      <c r="E181" s="9" t="n">
        <v>0</v>
      </c>
      <c r="F181" s="9" t="n">
        <v>4464142.517409013</v>
      </c>
      <c r="G181" s="9" t="n">
        <v>15369354.81838488</v>
      </c>
      <c r="H181" s="9" t="n">
        <v>10905212.30097586</v>
      </c>
      <c r="I181" s="9" t="n">
        <v>87220035.99468598</v>
      </c>
      <c r="J181" s="10" t="n">
        <v>0.1762135803213986</v>
      </c>
      <c r="K181" s="10" t="n">
        <v>0</v>
      </c>
      <c r="L181" s="10" t="n">
        <v>0</v>
      </c>
      <c r="M181" s="10" t="n">
        <v>0.290457378996091</v>
      </c>
    </row>
    <row r="182">
      <c r="A182" s="4" t="inlineStr">
        <is>
          <t>CAT</t>
        </is>
      </c>
      <c r="B182" s="5" t="n">
        <v>202308</v>
      </c>
      <c r="C182" s="6" t="n">
        <v>16111775.01055397</v>
      </c>
      <c r="D182" s="6" t="n">
        <v>0</v>
      </c>
      <c r="E182" s="6" t="n">
        <v>0</v>
      </c>
      <c r="F182" s="6" t="n">
        <v>4847370.830597119</v>
      </c>
      <c r="G182" s="6" t="n">
        <v>16111775.01055397</v>
      </c>
      <c r="H182" s="6" t="n">
        <v>11264404.17995684</v>
      </c>
      <c r="I182" s="6" t="n">
        <v>90439975.55770628</v>
      </c>
      <c r="J182" s="11" t="n">
        <v>0.1781488209301169</v>
      </c>
      <c r="K182" s="11" t="n">
        <v>0</v>
      </c>
      <c r="L182" s="11" t="n">
        <v>0</v>
      </c>
      <c r="M182" s="11" t="n">
        <v>0.3008588952751553</v>
      </c>
    </row>
    <row r="183">
      <c r="A183" t="inlineStr">
        <is>
          <t>CAT</t>
        </is>
      </c>
      <c r="B183" s="8" t="n">
        <v>202309</v>
      </c>
      <c r="C183" s="9" t="n">
        <v>15620736.5523098</v>
      </c>
      <c r="D183" s="9" t="n">
        <v>0</v>
      </c>
      <c r="E183" s="9" t="n">
        <v>0</v>
      </c>
      <c r="F183" s="9" t="n">
        <v>4535358.634717895</v>
      </c>
      <c r="G183" s="9" t="n">
        <v>15620736.5523098</v>
      </c>
      <c r="H183" s="9" t="n">
        <v>11085377.91759191</v>
      </c>
      <c r="I183" s="9" t="n">
        <v>86968225.87086052</v>
      </c>
      <c r="J183" s="10" t="n">
        <v>0.1796142947138545</v>
      </c>
      <c r="K183" s="10" t="n">
        <v>0</v>
      </c>
      <c r="L183" s="10" t="n">
        <v>0</v>
      </c>
      <c r="M183" s="10" t="n">
        <v>0.2903421755773265</v>
      </c>
    </row>
    <row r="184">
      <c r="A184" s="4" t="inlineStr">
        <is>
          <t>CAT</t>
        </is>
      </c>
      <c r="B184" s="5" t="n">
        <v>202310</v>
      </c>
      <c r="C184" s="6" t="n">
        <v>14779311.80882638</v>
      </c>
      <c r="D184" s="6" t="n">
        <v>0</v>
      </c>
      <c r="E184" s="6" t="n">
        <v>0</v>
      </c>
      <c r="F184" s="6" t="n">
        <v>4135050.854622618</v>
      </c>
      <c r="G184" s="6" t="n">
        <v>14779311.80882638</v>
      </c>
      <c r="H184" s="6" t="n">
        <v>10644260.95420377</v>
      </c>
      <c r="I184" s="6" t="n">
        <v>81177382.34664331</v>
      </c>
      <c r="J184" s="11" t="n">
        <v>0.18206194116627</v>
      </c>
      <c r="K184" s="11" t="n">
        <v>0</v>
      </c>
      <c r="L184" s="11" t="n">
        <v>0</v>
      </c>
      <c r="M184" s="11" t="n">
        <v>0.2797864276842116</v>
      </c>
    </row>
    <row r="185">
      <c r="A185" t="inlineStr">
        <is>
          <t>CAT</t>
        </is>
      </c>
      <c r="B185" s="8" t="n">
        <v>202311</v>
      </c>
      <c r="C185" s="9" t="n">
        <v>16037788.67276691</v>
      </c>
      <c r="D185" s="9" t="n">
        <v>0</v>
      </c>
      <c r="E185" s="9" t="n">
        <v>0</v>
      </c>
      <c r="F185" s="9" t="n">
        <v>4683290.919234154</v>
      </c>
      <c r="G185" s="9" t="n">
        <v>16037788.67276691</v>
      </c>
      <c r="H185" s="9" t="n">
        <v>11354497.75353275</v>
      </c>
      <c r="I185" s="9" t="n">
        <v>87804545.32934418</v>
      </c>
      <c r="J185" s="10" t="n">
        <v>0.1826532853465741</v>
      </c>
      <c r="K185" s="10" t="n">
        <v>0</v>
      </c>
      <c r="L185" s="10" t="n">
        <v>0</v>
      </c>
      <c r="M185" s="10" t="n">
        <v>0.2920160013822014</v>
      </c>
    </row>
    <row r="186">
      <c r="A186" s="4" t="inlineStr">
        <is>
          <t>CAT</t>
        </is>
      </c>
      <c r="B186" s="5" t="n">
        <v>202312</v>
      </c>
      <c r="C186" s="6" t="n">
        <v>17207600.28762392</v>
      </c>
      <c r="D186" s="6" t="n">
        <v>0</v>
      </c>
      <c r="E186" s="6" t="n">
        <v>0</v>
      </c>
      <c r="F186" s="6" t="n">
        <v>4470332.944137305</v>
      </c>
      <c r="G186" s="6" t="n">
        <v>17207600.28762392</v>
      </c>
      <c r="H186" s="6" t="n">
        <v>12737267.34348662</v>
      </c>
      <c r="I186" s="6" t="n">
        <v>93800082.63580641</v>
      </c>
      <c r="J186" s="11" t="n">
        <v>0.1834497348412276</v>
      </c>
      <c r="K186" s="11" t="n">
        <v>0</v>
      </c>
      <c r="L186" s="11" t="n">
        <v>0</v>
      </c>
      <c r="M186" s="11" t="n">
        <v>0.2597882836314175</v>
      </c>
    </row>
    <row r="187">
      <c r="A187" t="inlineStr">
        <is>
          <t>CAT</t>
        </is>
      </c>
      <c r="B187" s="8" t="n">
        <v>202401</v>
      </c>
      <c r="C187" s="9" t="n">
        <v>17338542.17619181</v>
      </c>
      <c r="D187" s="9" t="n">
        <v>0</v>
      </c>
      <c r="E187" s="9" t="n">
        <v>0</v>
      </c>
      <c r="F187" s="9" t="n">
        <v>5113192.166269786</v>
      </c>
      <c r="G187" s="9" t="n">
        <v>17338542.17619181</v>
      </c>
      <c r="H187" s="9" t="n">
        <v>12225350.00992202</v>
      </c>
      <c r="I187" s="9" t="n">
        <v>93550484.297859</v>
      </c>
      <c r="J187" s="10" t="n">
        <v>0.1853388820627262</v>
      </c>
      <c r="K187" s="10" t="n">
        <v>0</v>
      </c>
      <c r="L187" s="10" t="n">
        <v>0</v>
      </c>
      <c r="M187" s="10" t="n">
        <v>0.2949032343267531</v>
      </c>
    </row>
    <row r="188">
      <c r="A188" s="4" t="inlineStr">
        <is>
          <t>CAT</t>
        </is>
      </c>
      <c r="B188" s="5" t="n">
        <v>202402</v>
      </c>
      <c r="C188" s="6" t="n">
        <v>17318995.76235905</v>
      </c>
      <c r="D188" s="6" t="n">
        <v>0</v>
      </c>
      <c r="E188" s="6" t="n">
        <v>0</v>
      </c>
      <c r="F188" s="6" t="n">
        <v>4765085.955448186</v>
      </c>
      <c r="G188" s="6" t="n">
        <v>17318995.76235905</v>
      </c>
      <c r="H188" s="6" t="n">
        <v>12553909.80691087</v>
      </c>
      <c r="I188" s="6" t="n">
        <v>76268852.26283604</v>
      </c>
      <c r="J188" s="11" t="n">
        <v>0.2270782271991548</v>
      </c>
      <c r="K188" s="11" t="n">
        <v>0</v>
      </c>
      <c r="L188" s="11" t="n">
        <v>0</v>
      </c>
      <c r="M188" s="11" t="n">
        <v>0.2751363890165376</v>
      </c>
    </row>
    <row r="189">
      <c r="A189" t="inlineStr">
        <is>
          <t>CAT</t>
        </is>
      </c>
      <c r="B189" s="8" t="n">
        <v>202403</v>
      </c>
      <c r="C189" s="9" t="n">
        <v>16571994.41086792</v>
      </c>
      <c r="D189" s="9" t="n">
        <v>0</v>
      </c>
      <c r="E189" s="9" t="n">
        <v>0</v>
      </c>
      <c r="F189" s="9" t="n">
        <v>4400617.349433962</v>
      </c>
      <c r="G189" s="9" t="n">
        <v>16571994.41086792</v>
      </c>
      <c r="H189" s="9" t="n">
        <v>12171377.06143396</v>
      </c>
      <c r="I189" s="9" t="n">
        <v>69826144.67062631</v>
      </c>
      <c r="J189" s="10" t="n">
        <v>0.2373322269049639</v>
      </c>
      <c r="K189" s="10" t="n">
        <v>0</v>
      </c>
      <c r="L189" s="10" t="n">
        <v>0</v>
      </c>
      <c r="M189" s="10" t="n">
        <v>0.2655454280474555</v>
      </c>
    </row>
    <row r="190">
      <c r="A190" s="4" t="inlineStr">
        <is>
          <t>CAT</t>
        </is>
      </c>
      <c r="B190" s="5" t="n">
        <v>202404</v>
      </c>
      <c r="C190" s="6" t="n">
        <v>19826480.78800476</v>
      </c>
      <c r="D190" s="6" t="n">
        <v>0</v>
      </c>
      <c r="E190" s="6" t="n">
        <v>0</v>
      </c>
      <c r="F190" s="6" t="n">
        <v>5495049.771118949</v>
      </c>
      <c r="G190" s="6" t="n">
        <v>19826480.78800476</v>
      </c>
      <c r="H190" s="6" t="n">
        <v>14331431.01688582</v>
      </c>
      <c r="I190" s="6" t="n">
        <v>113616518.5917532</v>
      </c>
      <c r="J190" s="11" t="n">
        <v>0.1745035055971505</v>
      </c>
      <c r="K190" s="11" t="n">
        <v>0</v>
      </c>
      <c r="L190" s="11" t="n">
        <v>0</v>
      </c>
      <c r="M190" s="11" t="n">
        <v>0.2771570925710383</v>
      </c>
    </row>
    <row r="191">
      <c r="A191" t="inlineStr">
        <is>
          <t>CAT</t>
        </is>
      </c>
      <c r="B191" s="8" t="n">
        <v>202405</v>
      </c>
      <c r="C191" s="9" t="n">
        <v>20682284.22873375</v>
      </c>
      <c r="D191" s="9" t="n">
        <v>0</v>
      </c>
      <c r="E191" s="9" t="n">
        <v>0</v>
      </c>
      <c r="F191" s="9" t="n">
        <v>6411342.098160088</v>
      </c>
      <c r="G191" s="9" t="n">
        <v>20682284.22873375</v>
      </c>
      <c r="H191" s="9" t="n">
        <v>14270942.13057366</v>
      </c>
      <c r="I191" s="9" t="n">
        <v>121699646.6630647</v>
      </c>
      <c r="J191" s="10" t="n">
        <v>0.1699453104082901</v>
      </c>
      <c r="K191" s="10" t="n">
        <v>0</v>
      </c>
      <c r="L191" s="10" t="n">
        <v>0</v>
      </c>
      <c r="M191" s="10" t="n">
        <v>0.3099919731908943</v>
      </c>
    </row>
    <row r="192">
      <c r="A192" s="4" t="inlineStr">
        <is>
          <t>CAT</t>
        </is>
      </c>
      <c r="B192" s="5" t="n">
        <v>202406</v>
      </c>
      <c r="C192" s="6" t="n">
        <v>18289867.68546773</v>
      </c>
      <c r="D192" s="6" t="n">
        <v>0</v>
      </c>
      <c r="E192" s="6" t="n">
        <v>0</v>
      </c>
      <c r="F192" s="6" t="n">
        <v>5282389.08685238</v>
      </c>
      <c r="G192" s="6" t="n">
        <v>18289867.68546773</v>
      </c>
      <c r="H192" s="6" t="n">
        <v>13007478.59861535</v>
      </c>
      <c r="I192" s="6" t="n">
        <v>106508664.1568174</v>
      </c>
      <c r="J192" s="11" t="n">
        <v>0.1717218766215934</v>
      </c>
      <c r="K192" s="11" t="n">
        <v>0</v>
      </c>
      <c r="L192" s="11" t="n">
        <v>0</v>
      </c>
      <c r="M192" s="11" t="n">
        <v>0.2888150520109842</v>
      </c>
    </row>
    <row r="193">
      <c r="A193" t="inlineStr">
        <is>
          <t>CAT</t>
        </is>
      </c>
      <c r="B193" s="8" t="n">
        <v>202407</v>
      </c>
      <c r="C193" s="9" t="n">
        <v>20674360.16262344</v>
      </c>
      <c r="D193" s="9" t="n">
        <v>0</v>
      </c>
      <c r="E193" s="9" t="n">
        <v>0</v>
      </c>
      <c r="F193" s="9" t="n">
        <v>6519823.24656505</v>
      </c>
      <c r="G193" s="9" t="n">
        <v>20674360.16262344</v>
      </c>
      <c r="H193" s="9" t="n">
        <v>14154536.91605839</v>
      </c>
      <c r="I193" s="9" t="n">
        <v>119806357.9871211</v>
      </c>
      <c r="J193" s="10" t="n">
        <v>0.1725647996481612</v>
      </c>
      <c r="K193" s="10" t="n">
        <v>0</v>
      </c>
      <c r="L193" s="10" t="n">
        <v>0</v>
      </c>
      <c r="M193" s="10" t="n">
        <v>0.3153579213712279</v>
      </c>
    </row>
    <row r="194">
      <c r="A194" s="4" t="inlineStr">
        <is>
          <t>CAT</t>
        </is>
      </c>
      <c r="B194" s="5" t="n">
        <v>202408</v>
      </c>
      <c r="C194" s="6" t="n">
        <v>20749366.27974846</v>
      </c>
      <c r="D194" s="6" t="n">
        <v>0</v>
      </c>
      <c r="E194" s="6" t="n">
        <v>0</v>
      </c>
      <c r="F194" s="6" t="n">
        <v>6841016.135352008</v>
      </c>
      <c r="G194" s="6" t="n">
        <v>20749366.27974846</v>
      </c>
      <c r="H194" s="6" t="n">
        <v>13908350.14439645</v>
      </c>
      <c r="I194" s="6" t="n">
        <v>120417931.7712286</v>
      </c>
      <c r="J194" s="11" t="n">
        <v>0.1723112660593469</v>
      </c>
      <c r="K194" s="11" t="n">
        <v>0</v>
      </c>
      <c r="L194" s="11" t="n">
        <v>0</v>
      </c>
      <c r="M194" s="11" t="n">
        <v>0.3296975938021245</v>
      </c>
    </row>
    <row r="195">
      <c r="A195" t="inlineStr">
        <is>
          <t>CAT</t>
        </is>
      </c>
      <c r="B195" s="8" t="n">
        <v>202409</v>
      </c>
      <c r="C195" s="9" t="n">
        <v>19379029.15229965</v>
      </c>
      <c r="D195" s="9" t="n">
        <v>0</v>
      </c>
      <c r="E195" s="9" t="n">
        <v>0</v>
      </c>
      <c r="F195" s="9" t="n">
        <v>6457964.075441421</v>
      </c>
      <c r="G195" s="9" t="n">
        <v>19379029.15229965</v>
      </c>
      <c r="H195" s="9" t="n">
        <v>12921065.07685823</v>
      </c>
      <c r="I195" s="9" t="n">
        <v>120480010.7507676</v>
      </c>
      <c r="J195" s="10" t="n">
        <v>0.1608485011873738</v>
      </c>
      <c r="K195" s="10" t="n">
        <v>0</v>
      </c>
      <c r="L195" s="10" t="n">
        <v>0</v>
      </c>
      <c r="M195" s="10" t="n">
        <v>0.3332449744870254</v>
      </c>
    </row>
    <row r="196">
      <c r="A196" s="4" t="inlineStr">
        <is>
          <t>CAT</t>
        </is>
      </c>
      <c r="B196" s="5" t="n">
        <v>202410</v>
      </c>
      <c r="C196" s="6" t="n">
        <v>18977552.23003463</v>
      </c>
      <c r="D196" s="6" t="n">
        <v>0</v>
      </c>
      <c r="E196" s="6" t="n">
        <v>0</v>
      </c>
      <c r="F196" s="6" t="n">
        <v>6464418.240558895</v>
      </c>
      <c r="G196" s="6" t="n">
        <v>18977552.23003463</v>
      </c>
      <c r="H196" s="6" t="n">
        <v>12513133.98947574</v>
      </c>
      <c r="I196" s="6" t="n">
        <v>119980477.9842923</v>
      </c>
      <c r="J196" s="11" t="n">
        <v>0.1581720005526162</v>
      </c>
      <c r="K196" s="11" t="n">
        <v>0</v>
      </c>
      <c r="L196" s="11" t="n">
        <v>0</v>
      </c>
      <c r="M196" s="11" t="n">
        <v>0.3406349861247147</v>
      </c>
    </row>
    <row r="197">
      <c r="A197" t="inlineStr">
        <is>
          <t>CAT</t>
        </is>
      </c>
      <c r="B197" s="8" t="n">
        <v>202411</v>
      </c>
      <c r="C197" s="9" t="n">
        <v>19711686.6539627</v>
      </c>
      <c r="D197" s="9" t="n">
        <v>0</v>
      </c>
      <c r="E197" s="9" t="n">
        <v>0</v>
      </c>
      <c r="F197" s="9" t="n">
        <v>6864614.132831722</v>
      </c>
      <c r="G197" s="9" t="n">
        <v>19711686.6539627</v>
      </c>
      <c r="H197" s="9" t="n">
        <v>12847072.52113098</v>
      </c>
      <c r="I197" s="9" t="n">
        <v>119386500.2414765</v>
      </c>
      <c r="J197" s="10" t="n">
        <v>0.1651081706398375</v>
      </c>
      <c r="K197" s="10" t="n">
        <v>0</v>
      </c>
      <c r="L197" s="10" t="n">
        <v>0</v>
      </c>
      <c r="M197" s="10" t="n">
        <v>0.348250976861572</v>
      </c>
    </row>
    <row r="198">
      <c r="A198" s="4" t="inlineStr">
        <is>
          <t>CAT</t>
        </is>
      </c>
      <c r="B198" s="5" t="n">
        <v>202412</v>
      </c>
      <c r="C198" s="6" t="n">
        <v>19617925.93222206</v>
      </c>
      <c r="D198" s="6" t="n">
        <v>0</v>
      </c>
      <c r="E198" s="6" t="n">
        <v>0</v>
      </c>
      <c r="F198" s="6" t="n">
        <v>6646748.212173597</v>
      </c>
      <c r="G198" s="6" t="n">
        <v>19617925.93222206</v>
      </c>
      <c r="H198" s="6" t="n">
        <v>12971177.72004846</v>
      </c>
      <c r="I198" s="6" t="n">
        <v>114095182.8537904</v>
      </c>
      <c r="J198" s="11" t="n">
        <v>0.1719435075305664</v>
      </c>
      <c r="K198" s="11" t="n">
        <v>0</v>
      </c>
      <c r="L198" s="11" t="n">
        <v>0</v>
      </c>
      <c r="M198" s="11" t="n">
        <v>0.3388099351143152</v>
      </c>
    </row>
    <row r="199">
      <c r="A199" t="inlineStr">
        <is>
          <t>CAT</t>
        </is>
      </c>
      <c r="B199" s="8" t="n">
        <v>202501</v>
      </c>
      <c r="C199" s="9" t="n">
        <v>20717080.62947441</v>
      </c>
      <c r="D199" s="9" t="n">
        <v>0</v>
      </c>
      <c r="E199" s="9" t="n">
        <v>0</v>
      </c>
      <c r="F199" s="9" t="n">
        <v>7455264.399553344</v>
      </c>
      <c r="G199" s="9" t="n">
        <v>20717080.62947441</v>
      </c>
      <c r="H199" s="9" t="n">
        <v>13261816.22992106</v>
      </c>
      <c r="I199" s="9" t="n">
        <v>119802011.1591572</v>
      </c>
      <c r="J199" s="10" t="n">
        <v>0.1729276531255533</v>
      </c>
      <c r="K199" s="10" t="n">
        <v>0</v>
      </c>
      <c r="L199" s="10" t="n">
        <v>0</v>
      </c>
      <c r="M199" s="10" t="n">
        <v>0.3598607609291563</v>
      </c>
    </row>
    <row r="200">
      <c r="A200" s="4" t="inlineStr">
        <is>
          <t>CAT</t>
        </is>
      </c>
      <c r="B200" s="5" t="n">
        <v>202502</v>
      </c>
      <c r="C200" s="6" t="n">
        <v>20484205.41106608</v>
      </c>
      <c r="D200" s="6" t="n">
        <v>0</v>
      </c>
      <c r="E200" s="6" t="n">
        <v>0</v>
      </c>
      <c r="F200" s="6" t="n">
        <v>7470433.296401045</v>
      </c>
      <c r="G200" s="6" t="n">
        <v>20484205.41106608</v>
      </c>
      <c r="H200" s="6" t="n">
        <v>13013772.11466504</v>
      </c>
      <c r="I200" s="6" t="n">
        <v>120136774.7876239</v>
      </c>
      <c r="J200" s="11" t="n">
        <v>0.1705073691821491</v>
      </c>
      <c r="K200" s="11" t="n">
        <v>0</v>
      </c>
      <c r="L200" s="11" t="n">
        <v>0</v>
      </c>
      <c r="M200" s="11" t="n">
        <v>0.3646923640184417</v>
      </c>
    </row>
    <row r="201">
      <c r="A201" t="inlineStr">
        <is>
          <t>CAT</t>
        </is>
      </c>
      <c r="B201" s="8" t="n">
        <v>202503</v>
      </c>
      <c r="C201" s="9" t="n">
        <v>20142100.05718363</v>
      </c>
      <c r="D201" s="9" t="n">
        <v>0</v>
      </c>
      <c r="E201" s="9" t="n">
        <v>0</v>
      </c>
      <c r="F201" s="9" t="n">
        <v>6906169.133545777</v>
      </c>
      <c r="G201" s="9" t="n">
        <v>20142100.05718363</v>
      </c>
      <c r="H201" s="9" t="n">
        <v>13235930.92363785</v>
      </c>
      <c r="I201" s="9" t="n">
        <v>113585912.2649874</v>
      </c>
      <c r="J201" s="10" t="n">
        <v>0.1773292097191915</v>
      </c>
      <c r="K201" s="10" t="n">
        <v>0</v>
      </c>
      <c r="L201" s="10" t="n">
        <v>0</v>
      </c>
      <c r="M201" s="10" t="n">
        <v>0.3428723476667821</v>
      </c>
    </row>
    <row r="202">
      <c r="A202" s="4" t="inlineStr">
        <is>
          <t>CAT</t>
        </is>
      </c>
      <c r="B202" s="5" t="n">
        <v>202504</v>
      </c>
      <c r="C202" s="6" t="n">
        <v>20575859.44905575</v>
      </c>
      <c r="D202" s="6" t="n">
        <v>0</v>
      </c>
      <c r="E202" s="6" t="n">
        <v>0</v>
      </c>
      <c r="F202" s="6" t="n">
        <v>7393562.055920381</v>
      </c>
      <c r="G202" s="6" t="n">
        <v>20575859.44905575</v>
      </c>
      <c r="H202" s="6" t="n">
        <v>13182297.39313537</v>
      </c>
      <c r="I202" s="6" t="n">
        <v>119444533.4980697</v>
      </c>
      <c r="J202" s="11" t="n">
        <v>0.1722628809077166</v>
      </c>
      <c r="K202" s="11" t="n">
        <v>0</v>
      </c>
      <c r="L202" s="11" t="n">
        <v>0</v>
      </c>
      <c r="M202" s="11" t="n">
        <v>0.3593318701571748</v>
      </c>
    </row>
    <row r="203">
      <c r="A203" t="inlineStr">
        <is>
          <t>CAT</t>
        </is>
      </c>
      <c r="B203" s="8" t="n">
        <v>202505</v>
      </c>
      <c r="C203" s="9" t="n">
        <v>20778328.28152631</v>
      </c>
      <c r="D203" s="9" t="n">
        <v>0</v>
      </c>
      <c r="E203" s="9" t="n">
        <v>0</v>
      </c>
      <c r="F203" s="9" t="n">
        <v>7744118.809839293</v>
      </c>
      <c r="G203" s="9" t="n">
        <v>20778328.28152631</v>
      </c>
      <c r="H203" s="9" t="n">
        <v>13034209.47168702</v>
      </c>
      <c r="I203" s="9" t="n">
        <v>124783936.2457967</v>
      </c>
      <c r="J203" s="10" t="n">
        <v>0.1665144481465756</v>
      </c>
      <c r="K203" s="10" t="n">
        <v>0</v>
      </c>
      <c r="L203" s="10" t="n">
        <v>0</v>
      </c>
      <c r="M203" s="10" t="n">
        <v>0.372701725803633</v>
      </c>
    </row>
    <row r="204">
      <c r="A204" s="4" t="inlineStr">
        <is>
          <t>CAT</t>
        </is>
      </c>
      <c r="B204" s="5" t="n">
        <v>202506</v>
      </c>
      <c r="C204" s="6" t="n">
        <v>21119892.38545408</v>
      </c>
      <c r="D204" s="6" t="n">
        <v>0</v>
      </c>
      <c r="E204" s="6" t="n">
        <v>0</v>
      </c>
      <c r="F204" s="6" t="n">
        <v>7755251.030620184</v>
      </c>
      <c r="G204" s="6" t="n">
        <v>21119892.38545408</v>
      </c>
      <c r="H204" s="6" t="n">
        <v>13364641.3548339</v>
      </c>
      <c r="I204" s="6" t="n">
        <v>127410039.6196926</v>
      </c>
      <c r="J204" s="11" t="n">
        <v>0.1657631725764708</v>
      </c>
      <c r="K204" s="11" t="n">
        <v>0</v>
      </c>
      <c r="L204" s="11" t="n">
        <v>0</v>
      </c>
      <c r="M204" s="11" t="n">
        <v>0.3672012569515488</v>
      </c>
    </row>
    <row r="205">
      <c r="A205" t="inlineStr">
        <is>
          <t>CAT</t>
        </is>
      </c>
      <c r="B205" s="8" t="n">
        <v>202507</v>
      </c>
      <c r="C205" s="9" t="n">
        <v>22857278.79849481</v>
      </c>
      <c r="D205" s="9" t="n">
        <v>0</v>
      </c>
      <c r="E205" s="9" t="n">
        <v>0</v>
      </c>
      <c r="F205" s="9" t="n">
        <v>8793461.228005089</v>
      </c>
      <c r="G205" s="9" t="n">
        <v>22857278.79849481</v>
      </c>
      <c r="H205" s="9" t="n">
        <v>14063817.57048972</v>
      </c>
      <c r="I205" s="9" t="n">
        <v>128084179.1877075</v>
      </c>
      <c r="J205" s="10" t="n">
        <v>0.1784551296143878</v>
      </c>
      <c r="K205" s="10" t="n">
        <v>0</v>
      </c>
      <c r="L205" s="10" t="n">
        <v>0</v>
      </c>
      <c r="M205" s="10" t="n">
        <v>0.3847116406780738</v>
      </c>
    </row>
    <row r="206">
      <c r="A206" s="4" t="inlineStr">
        <is>
          <t>CAT</t>
        </is>
      </c>
      <c r="B206" s="5" t="n">
        <v>202508</v>
      </c>
      <c r="C206" s="6" t="n">
        <v>23315015.89636417</v>
      </c>
      <c r="D206" s="6" t="n">
        <v>0</v>
      </c>
      <c r="E206" s="6" t="n">
        <v>0</v>
      </c>
      <c r="F206" s="6" t="n">
        <v>8943926.794737829</v>
      </c>
      <c r="G206" s="6" t="n">
        <v>23315015.89636417</v>
      </c>
      <c r="H206" s="6" t="n">
        <v>14371089.10162634</v>
      </c>
      <c r="I206" s="6" t="n">
        <v>129163529.7662701</v>
      </c>
      <c r="J206" s="11" t="n">
        <v>0.1805077326281979</v>
      </c>
      <c r="K206" s="11" t="n">
        <v>0</v>
      </c>
      <c r="L206" s="11" t="n">
        <v>0</v>
      </c>
      <c r="M206" s="11" t="n">
        <v>0.3836122966629663</v>
      </c>
    </row>
    <row r="207">
      <c r="A207" t="inlineStr">
        <is>
          <t>CAT</t>
        </is>
      </c>
      <c r="B207" s="8" t="n">
        <v>202509</v>
      </c>
      <c r="C207" s="9" t="n">
        <v>25629174.66133761</v>
      </c>
      <c r="D207" s="9" t="n">
        <v>0</v>
      </c>
      <c r="E207" s="9" t="n">
        <v>0</v>
      </c>
      <c r="F207" s="9" t="n">
        <v>8545703.167947061</v>
      </c>
      <c r="G207" s="9" t="n">
        <v>25629174.66133761</v>
      </c>
      <c r="H207" s="9" t="n">
        <v>17083471.49339055</v>
      </c>
      <c r="I207" s="9" t="n">
        <v>142181087.0118797</v>
      </c>
      <c r="J207" s="10" t="n">
        <v>0.1802572704989673</v>
      </c>
      <c r="K207" s="10" t="n">
        <v>0</v>
      </c>
      <c r="L207" s="10" t="n">
        <v>0</v>
      </c>
      <c r="M207" s="10" t="n">
        <v>0.3334365339840035</v>
      </c>
    </row>
    <row r="208">
      <c r="A208" s="4" t="inlineStr">
        <is>
          <t>CAT</t>
        </is>
      </c>
      <c r="B208" s="5" t="n">
        <v>202510</v>
      </c>
      <c r="C208" s="6" t="n">
        <v>27860199.45262546</v>
      </c>
      <c r="D208" s="6" t="n">
        <v>0</v>
      </c>
      <c r="E208" s="6" t="n">
        <v>0</v>
      </c>
      <c r="F208" s="6" t="n">
        <v>10611479.17447093</v>
      </c>
      <c r="G208" s="6" t="n">
        <v>27860199.45262546</v>
      </c>
      <c r="H208" s="6" t="n">
        <v>17248720.27815453</v>
      </c>
      <c r="I208" s="6" t="n">
        <v>154390135.7017027</v>
      </c>
      <c r="J208" s="11" t="n">
        <v>0.1804532350852658</v>
      </c>
      <c r="K208" s="11" t="n">
        <v>0</v>
      </c>
      <c r="L208" s="11" t="n">
        <v>0</v>
      </c>
      <c r="M208" s="11" t="n">
        <v>0.380883101447823</v>
      </c>
    </row>
    <row r="209">
      <c r="A209" t="inlineStr">
        <is>
          <t>CAT</t>
        </is>
      </c>
      <c r="B209" s="8" t="n">
        <v>202511</v>
      </c>
      <c r="C209" s="9" t="n">
        <v>29616499.34300065</v>
      </c>
      <c r="D209" s="9" t="n">
        <v>0</v>
      </c>
      <c r="E209" s="9" t="n">
        <v>0</v>
      </c>
      <c r="F209" s="9" t="n">
        <v>11565944.0419124</v>
      </c>
      <c r="G209" s="9" t="n">
        <v>29616499.34300065</v>
      </c>
      <c r="H209" s="9" t="n">
        <v>18050555.30108825</v>
      </c>
      <c r="I209" s="9" t="n">
        <v>164522152.7696652</v>
      </c>
      <c r="J209" s="10" t="n">
        <v>0.1800152675151561</v>
      </c>
      <c r="K209" s="10" t="n">
        <v>0</v>
      </c>
      <c r="L209" s="10" t="n">
        <v>0</v>
      </c>
      <c r="M209" s="10" t="n">
        <v>0.3905236708755659</v>
      </c>
    </row>
    <row r="210">
      <c r="A210" s="4" t="inlineStr">
        <is>
          <t>CAT</t>
        </is>
      </c>
      <c r="B210" s="5" t="n">
        <v>202512</v>
      </c>
      <c r="C210" s="6" t="n">
        <v>28431177.40059973</v>
      </c>
      <c r="D210" s="6" t="n">
        <v>0</v>
      </c>
      <c r="E210" s="6" t="n">
        <v>0</v>
      </c>
      <c r="F210" s="6" t="n">
        <v>10960628.90770769</v>
      </c>
      <c r="G210" s="6" t="n">
        <v>28431177.40059973</v>
      </c>
      <c r="H210" s="6" t="n">
        <v>17470548.49289205</v>
      </c>
      <c r="I210" s="6" t="n">
        <v>158015658.1229346</v>
      </c>
      <c r="J210" s="11" t="n">
        <v>0.179926329696267</v>
      </c>
      <c r="K210" s="11" t="n">
        <v>0</v>
      </c>
      <c r="L210" s="11" t="n">
        <v>0</v>
      </c>
      <c r="M210" s="11" t="n">
        <v>0.3855144214842288</v>
      </c>
    </row>
    <row r="211">
      <c r="A211" t="inlineStr">
        <is>
          <t>CAT</t>
        </is>
      </c>
      <c r="B211" s="8" t="n">
        <v>202601</v>
      </c>
      <c r="C211" s="9" t="n">
        <v>30432067.6419768</v>
      </c>
      <c r="D211" s="9" t="n">
        <v>0</v>
      </c>
      <c r="E211" s="9" t="n">
        <v>0</v>
      </c>
      <c r="F211" s="9" t="n">
        <v>12032161.28954484</v>
      </c>
      <c r="G211" s="9" t="n">
        <v>30432067.6419768</v>
      </c>
      <c r="H211" s="9" t="n">
        <v>18399906.35243196</v>
      </c>
      <c r="I211" s="9" t="n">
        <v>171126589.0729693</v>
      </c>
      <c r="J211" s="10" t="n">
        <v>0.1778336599054189</v>
      </c>
      <c r="K211" s="10" t="n">
        <v>0</v>
      </c>
      <c r="L211" s="10" t="n">
        <v>0</v>
      </c>
      <c r="M211" s="10" t="n">
        <v>0.3953777124544816</v>
      </c>
    </row>
    <row r="212">
      <c r="A212" s="4" t="inlineStr">
        <is>
          <t>CAT</t>
        </is>
      </c>
      <c r="B212" s="5" t="n">
        <v>202602</v>
      </c>
      <c r="C212" s="6" t="n">
        <v>30764613.18782716</v>
      </c>
      <c r="D212" s="6" t="n">
        <v>0</v>
      </c>
      <c r="E212" s="6" t="n">
        <v>0</v>
      </c>
      <c r="F212" s="6" t="n">
        <v>12163642.38675008</v>
      </c>
      <c r="G212" s="6" t="n">
        <v>30764613.18782716</v>
      </c>
      <c r="H212" s="6" t="n">
        <v>18600970.80107708</v>
      </c>
      <c r="I212" s="6" t="n">
        <v>172996569.964254</v>
      </c>
      <c r="J212" s="11" t="n">
        <v>0.177833659905419</v>
      </c>
      <c r="K212" s="11" t="n">
        <v>0</v>
      </c>
      <c r="L212" s="11" t="n">
        <v>0</v>
      </c>
      <c r="M212" s="11" t="n">
        <v>0.3953777124544815</v>
      </c>
    </row>
    <row r="213">
      <c r="A213" t="inlineStr">
        <is>
          <t>CAT</t>
        </is>
      </c>
      <c r="B213" s="8" t="n">
        <v>202603</v>
      </c>
      <c r="C213" s="9" t="n">
        <v>29310569.81065762</v>
      </c>
      <c r="D213" s="9" t="n">
        <v>0</v>
      </c>
      <c r="E213" s="9" t="n">
        <v>0</v>
      </c>
      <c r="F213" s="9" t="n">
        <v>11493485.19849151</v>
      </c>
      <c r="G213" s="9" t="n">
        <v>29310569.81065762</v>
      </c>
      <c r="H213" s="9" t="n">
        <v>17817084.61216611</v>
      </c>
      <c r="I213" s="9" t="n">
        <v>164984609.6232232</v>
      </c>
      <c r="J213" s="10" t="n">
        <v>0.1776563879357864</v>
      </c>
      <c r="K213" s="10" t="n">
        <v>0</v>
      </c>
      <c r="L213" s="10" t="n">
        <v>0</v>
      </c>
      <c r="M213" s="10" t="n">
        <v>0.3921276615479636</v>
      </c>
    </row>
    <row r="214">
      <c r="A214" s="4" t="inlineStr">
        <is>
          <t>CAT</t>
        </is>
      </c>
      <c r="B214" s="5" t="n">
        <v>202604</v>
      </c>
      <c r="C214" s="6" t="n">
        <v>30207144.90348507</v>
      </c>
      <c r="D214" s="6" t="n">
        <v>0</v>
      </c>
      <c r="E214" s="6" t="n">
        <v>0</v>
      </c>
      <c r="F214" s="6" t="n">
        <v>13135734.11739787</v>
      </c>
      <c r="G214" s="6" t="n">
        <v>30207144.90348507</v>
      </c>
      <c r="H214" s="6" t="n">
        <v>17071410.78608719</v>
      </c>
      <c r="I214" s="6" t="n">
        <v>170604515.7698268</v>
      </c>
      <c r="J214" s="11" t="n">
        <v>0.1770594686030434</v>
      </c>
      <c r="K214" s="11" t="n">
        <v>0</v>
      </c>
      <c r="L214" s="11" t="n">
        <v>0</v>
      </c>
      <c r="M214" s="11" t="n">
        <v>0.4348552026140801</v>
      </c>
    </row>
    <row r="215">
      <c r="A215" t="inlineStr">
        <is>
          <t>CAT</t>
        </is>
      </c>
      <c r="B215" s="8" t="n">
        <v>202605</v>
      </c>
      <c r="C215" s="9" t="n">
        <v>28831791.13442253</v>
      </c>
      <c r="D215" s="9" t="n">
        <v>0</v>
      </c>
      <c r="E215" s="9" t="n">
        <v>0</v>
      </c>
      <c r="F215" s="9" t="n">
        <v>12894530.69474801</v>
      </c>
      <c r="G215" s="9" t="n">
        <v>28831791.13442253</v>
      </c>
      <c r="H215" s="9" t="n">
        <v>15937260.43967451</v>
      </c>
      <c r="I215" s="9" t="n">
        <v>163527067.368697</v>
      </c>
      <c r="J215" s="10" t="n">
        <v>0.1763120417821522</v>
      </c>
      <c r="K215" s="10" t="n">
        <v>0</v>
      </c>
      <c r="L215" s="10" t="n">
        <v>0</v>
      </c>
      <c r="M215" s="10" t="n">
        <v>0.4472330780501916</v>
      </c>
    </row>
    <row r="216">
      <c r="A216" s="4" t="inlineStr">
        <is>
          <t>Credito</t>
        </is>
      </c>
      <c r="B216" s="5" t="n">
        <v>202201</v>
      </c>
      <c r="C216" s="6" t="n">
        <v>888901.4602152001</v>
      </c>
      <c r="D216" s="6" t="n">
        <v>240453.2745689697</v>
      </c>
      <c r="E216" s="6" t="n">
        <v>46504.3559044117</v>
      </c>
      <c r="F216" s="6" t="n">
        <v>148875.3364316416</v>
      </c>
      <c r="G216" s="6" t="n">
        <v>1175859.090688582</v>
      </c>
      <c r="H216" s="6" t="n">
        <v>1026983.75425694</v>
      </c>
      <c r="I216" s="6" t="n">
        <v>1292759.540743456</v>
      </c>
      <c r="J216" s="11" t="n">
        <v>0.6875999999999999</v>
      </c>
      <c r="K216" s="11" t="n">
        <v>0.2705061081919663</v>
      </c>
      <c r="L216" s="11" t="n">
        <v>0.05231666049142629</v>
      </c>
      <c r="M216" s="11" t="n">
        <v>0.1674823848254219</v>
      </c>
    </row>
    <row r="217">
      <c r="A217" t="inlineStr">
        <is>
          <t>Credito</t>
        </is>
      </c>
      <c r="B217" s="8" t="n">
        <v>202202</v>
      </c>
      <c r="C217" s="9" t="n">
        <v>1015439.004541645</v>
      </c>
      <c r="D217" s="9" t="n">
        <v>274682.4532678401</v>
      </c>
      <c r="E217" s="9" t="n">
        <v>45611.01787419839</v>
      </c>
      <c r="F217" s="9" t="n">
        <v>238205.1332280764</v>
      </c>
      <c r="G217" s="9" t="n">
        <v>1335732.475683684</v>
      </c>
      <c r="H217" s="9" t="n">
        <v>1097527.342455607</v>
      </c>
      <c r="I217" s="9" t="n">
        <v>1476787.382986685</v>
      </c>
      <c r="J217" s="10" t="n">
        <v>0.6876</v>
      </c>
      <c r="K217" s="10" t="n">
        <v>0.2705061082342686</v>
      </c>
      <c r="L217" s="10" t="n">
        <v>0.04491753583445081</v>
      </c>
      <c r="M217" s="10" t="n">
        <v>0.2345833990645247</v>
      </c>
    </row>
    <row r="218">
      <c r="A218" s="4" t="inlineStr">
        <is>
          <t>Credito</t>
        </is>
      </c>
      <c r="B218" s="5" t="n">
        <v>202203</v>
      </c>
      <c r="C218" s="6" t="n">
        <v>907798.943245974</v>
      </c>
      <c r="D218" s="6" t="n">
        <v>245565.1592923468</v>
      </c>
      <c r="E218" s="6" t="n">
        <v>51705.561281176</v>
      </c>
      <c r="F218" s="6" t="n">
        <v>207734.6778207339</v>
      </c>
      <c r="G218" s="6" t="n">
        <v>1205069.663819497</v>
      </c>
      <c r="H218" s="6" t="n">
        <v>997334.9859987632</v>
      </c>
      <c r="I218" s="6" t="n">
        <v>1320242.791224511</v>
      </c>
      <c r="J218" s="11" t="n">
        <v>0.6876</v>
      </c>
      <c r="K218" s="11" t="n">
        <v>0.2705061083396847</v>
      </c>
      <c r="L218" s="11" t="n">
        <v>0.05695706264681787</v>
      </c>
      <c r="M218" s="11" t="n">
        <v>0.22883335496949</v>
      </c>
    </row>
    <row r="219">
      <c r="A219" t="inlineStr">
        <is>
          <t>Credito</t>
        </is>
      </c>
      <c r="B219" s="8" t="n">
        <v>202204</v>
      </c>
      <c r="C219" s="9" t="n">
        <v>760479.842027397</v>
      </c>
      <c r="D219" s="9" t="n">
        <v>205714.4421561736</v>
      </c>
      <c r="E219" s="9" t="n">
        <v>22142.34245747175</v>
      </c>
      <c r="F219" s="9" t="n">
        <v>173478.9052016928</v>
      </c>
      <c r="G219" s="9" t="n">
        <v>988336.6266410424</v>
      </c>
      <c r="H219" s="9" t="n">
        <v>814857.7214393497</v>
      </c>
      <c r="I219" s="9" t="n">
        <v>1105991.625985161</v>
      </c>
      <c r="J219" s="10" t="n">
        <v>0.6876</v>
      </c>
      <c r="K219" s="10" t="n">
        <v>0.2705061078381122</v>
      </c>
      <c r="L219" s="10" t="n">
        <v>0.02911627795214334</v>
      </c>
      <c r="M219" s="10" t="n">
        <v>0.2281176904560779</v>
      </c>
    </row>
    <row r="220">
      <c r="A220" s="4" t="inlineStr">
        <is>
          <t>Credito</t>
        </is>
      </c>
      <c r="B220" s="5" t="n">
        <v>202205</v>
      </c>
      <c r="C220" s="6" t="n">
        <v>966863.2704274722</v>
      </c>
      <c r="D220" s="6" t="n">
        <v>261542.4205633588</v>
      </c>
      <c r="E220" s="6" t="n">
        <v>28124.82436310991</v>
      </c>
      <c r="F220" s="6" t="n">
        <v>243269.6334865764</v>
      </c>
      <c r="G220" s="6" t="n">
        <v>1256530.515353941</v>
      </c>
      <c r="H220" s="6" t="n">
        <v>1013260.881867364</v>
      </c>
      <c r="I220" s="6" t="n">
        <v>1406142.045415172</v>
      </c>
      <c r="J220" s="11" t="n">
        <v>0.6876</v>
      </c>
      <c r="K220" s="11" t="n">
        <v>0.2705061083225604</v>
      </c>
      <c r="L220" s="11" t="n">
        <v>0.02908872973391086</v>
      </c>
      <c r="M220" s="11" t="n">
        <v>0.2516070688868152</v>
      </c>
    </row>
    <row r="221">
      <c r="A221" t="inlineStr">
        <is>
          <t>Credito</t>
        </is>
      </c>
      <c r="B221" s="8" t="n">
        <v>202206</v>
      </c>
      <c r="C221" s="9" t="n">
        <v>1045482.907133243</v>
      </c>
      <c r="D221" s="9" t="n">
        <v>282809.5126469434</v>
      </c>
      <c r="E221" s="9" t="n">
        <v>25198.97642448834</v>
      </c>
      <c r="F221" s="9" t="n">
        <v>199249.8184779964</v>
      </c>
      <c r="G221" s="9" t="n">
        <v>1353491.396204675</v>
      </c>
      <c r="H221" s="9" t="n">
        <v>1154241.577726679</v>
      </c>
      <c r="I221" s="9" t="n">
        <v>1520481.249466613</v>
      </c>
      <c r="J221" s="10" t="n">
        <v>0.6876</v>
      </c>
      <c r="K221" s="10" t="n">
        <v>0.2705061084378879</v>
      </c>
      <c r="L221" s="10" t="n">
        <v>0.02410271488185776</v>
      </c>
      <c r="M221" s="10" t="n">
        <v>0.1905816126868563</v>
      </c>
    </row>
    <row r="222">
      <c r="A222" s="4" t="inlineStr">
        <is>
          <t>Credito</t>
        </is>
      </c>
      <c r="B222" s="5" t="n">
        <v>202207</v>
      </c>
      <c r="C222" s="6" t="n">
        <v>1289994.76933201</v>
      </c>
      <c r="D222" s="6" t="n">
        <v>348951.4644495301</v>
      </c>
      <c r="E222" s="6" t="n">
        <v>49335.32603891447</v>
      </c>
      <c r="F222" s="6" t="n">
        <v>289761.2377594217</v>
      </c>
      <c r="G222" s="6" t="n">
        <v>1688281.559820455</v>
      </c>
      <c r="H222" s="6" t="n">
        <v>1398520.322061034</v>
      </c>
      <c r="I222" s="6" t="n">
        <v>1876083.143298444</v>
      </c>
      <c r="J222" s="11" t="n">
        <v>0.6876</v>
      </c>
      <c r="K222" s="11" t="n">
        <v>0.2705061080443182</v>
      </c>
      <c r="L222" s="11" t="n">
        <v>0.03824459386332354</v>
      </c>
      <c r="M222" s="11" t="n">
        <v>0.2246220253353949</v>
      </c>
    </row>
    <row r="223">
      <c r="A223" t="inlineStr">
        <is>
          <t>Credito</t>
        </is>
      </c>
      <c r="B223" s="8" t="n">
        <v>202208</v>
      </c>
      <c r="C223" s="9" t="n">
        <v>1427763.654235673</v>
      </c>
      <c r="D223" s="9" t="n">
        <v>386218.7894674133</v>
      </c>
      <c r="E223" s="9" t="n">
        <v>48716.4343301958</v>
      </c>
      <c r="F223" s="9" t="n">
        <v>317770.9162397236</v>
      </c>
      <c r="G223" s="9" t="n">
        <v>1862698.878033281</v>
      </c>
      <c r="H223" s="9" t="n">
        <v>1544927.961793558</v>
      </c>
      <c r="I223" s="9" t="n">
        <v>2076445.105054789</v>
      </c>
      <c r="J223" s="10" t="n">
        <v>0.6876</v>
      </c>
      <c r="K223" s="10" t="n">
        <v>0.2705061081514702</v>
      </c>
      <c r="L223" s="10" t="n">
        <v>0.0341207973642355</v>
      </c>
      <c r="M223" s="10" t="n">
        <v>0.2225654892509758</v>
      </c>
    </row>
    <row r="224">
      <c r="A224" s="4" t="inlineStr">
        <is>
          <t>Credito</t>
        </is>
      </c>
      <c r="B224" s="5" t="n">
        <v>202209</v>
      </c>
      <c r="C224" s="6" t="n">
        <v>1207373.024926592</v>
      </c>
      <c r="D224" s="6" t="n">
        <v>326601.778199542</v>
      </c>
      <c r="E224" s="6" t="n">
        <v>37190.92864843917</v>
      </c>
      <c r="F224" s="6" t="n">
        <v>270783.7880270879</v>
      </c>
      <c r="G224" s="6" t="n">
        <v>1571165.731774573</v>
      </c>
      <c r="H224" s="6" t="n">
        <v>1300381.943747485</v>
      </c>
      <c r="I224" s="6" t="n">
        <v>1755923.538287655</v>
      </c>
      <c r="J224" s="11" t="n">
        <v>0.6876</v>
      </c>
      <c r="K224" s="11" t="n">
        <v>0.2705061082670779</v>
      </c>
      <c r="L224" s="11" t="n">
        <v>0.0308031800285586</v>
      </c>
      <c r="M224" s="11" t="n">
        <v>0.2242751680190565</v>
      </c>
    </row>
    <row r="225">
      <c r="A225" t="inlineStr">
        <is>
          <t>Credito</t>
        </is>
      </c>
      <c r="B225" s="8" t="n">
        <v>202210</v>
      </c>
      <c r="C225" s="9" t="n">
        <v>1202791.233348309</v>
      </c>
      <c r="D225" s="9" t="n">
        <v>325362.3756328778</v>
      </c>
      <c r="E225" s="9" t="n">
        <v>54545.80849356143</v>
      </c>
      <c r="F225" s="9" t="n">
        <v>247981.0638910061</v>
      </c>
      <c r="G225" s="9" t="n">
        <v>1582699.417474748</v>
      </c>
      <c r="H225" s="9" t="n">
        <v>1334718.353583742</v>
      </c>
      <c r="I225" s="9" t="n">
        <v>1749260.08340359</v>
      </c>
      <c r="J225" s="10" t="n">
        <v>0.6876</v>
      </c>
      <c r="K225" s="10" t="n">
        <v>0.2705061083020533</v>
      </c>
      <c r="L225" s="10" t="n">
        <v>0.04534935654770096</v>
      </c>
      <c r="M225" s="10" t="n">
        <v>0.2061713263412146</v>
      </c>
    </row>
    <row r="226">
      <c r="A226" s="4" t="inlineStr">
        <is>
          <t>Credito</t>
        </is>
      </c>
      <c r="B226" s="5" t="n">
        <v>202211</v>
      </c>
      <c r="C226" s="6" t="n">
        <v>1451206.895033691</v>
      </c>
      <c r="D226" s="6" t="n">
        <v>392560.3296026021</v>
      </c>
      <c r="E226" s="6" t="n">
        <v>61372.50376784873</v>
      </c>
      <c r="F226" s="6" t="n">
        <v>461206.5801399413</v>
      </c>
      <c r="G226" s="6" t="n">
        <v>1905139.728404141</v>
      </c>
      <c r="H226" s="6" t="n">
        <v>1443933.1482642</v>
      </c>
      <c r="I226" s="6" t="n">
        <v>2110539.405226426</v>
      </c>
      <c r="J226" s="11" t="n">
        <v>0.6876</v>
      </c>
      <c r="K226" s="11" t="n">
        <v>0.2705061083612675</v>
      </c>
      <c r="L226" s="11" t="n">
        <v>0.04229066439656348</v>
      </c>
      <c r="M226" s="11" t="n">
        <v>0.3178089779743185</v>
      </c>
    </row>
    <row r="227">
      <c r="A227" t="inlineStr">
        <is>
          <t>Credito</t>
        </is>
      </c>
      <c r="B227" s="8" t="n">
        <v>202212</v>
      </c>
      <c r="C227" s="9" t="n">
        <v>1316139.045768854</v>
      </c>
      <c r="D227" s="9" t="n">
        <v>356023.651256606</v>
      </c>
      <c r="E227" s="9" t="n">
        <v>55036.35110129222</v>
      </c>
      <c r="F227" s="9" t="n">
        <v>423659.3580365884</v>
      </c>
      <c r="G227" s="9" t="n">
        <v>1727199.048126752</v>
      </c>
      <c r="H227" s="9" t="n">
        <v>1303539.690090164</v>
      </c>
      <c r="I227" s="9" t="n">
        <v>1914105.651205431</v>
      </c>
      <c r="J227" s="10" t="n">
        <v>0.6876</v>
      </c>
      <c r="K227" s="10" t="n">
        <v>0.2705061083030375</v>
      </c>
      <c r="L227" s="10" t="n">
        <v>0.04181651724278222</v>
      </c>
      <c r="M227" s="10" t="n">
        <v>0.3218955925656758</v>
      </c>
    </row>
    <row r="228">
      <c r="A228" s="4" t="inlineStr">
        <is>
          <t>Credito</t>
        </is>
      </c>
      <c r="B228" s="5" t="n">
        <v>202301</v>
      </c>
      <c r="C228" s="6" t="n">
        <v>1509012.868517437</v>
      </c>
      <c r="D228" s="6" t="n">
        <v>408197.1983650937</v>
      </c>
      <c r="E228" s="6" t="n">
        <v>68044.98434099475</v>
      </c>
      <c r="F228" s="6" t="n">
        <v>401117.9616752482</v>
      </c>
      <c r="G228" s="6" t="n">
        <v>1985255.051223525</v>
      </c>
      <c r="H228" s="6" t="n">
        <v>1584137.089548278</v>
      </c>
      <c r="I228" s="6" t="n">
        <v>2194608.592957297</v>
      </c>
      <c r="J228" s="11" t="n">
        <v>0.6876</v>
      </c>
      <c r="K228" s="11" t="n">
        <v>0.2705061082521688</v>
      </c>
      <c r="L228" s="11" t="n">
        <v>0.04509238175539685</v>
      </c>
      <c r="M228" s="11" t="n">
        <v>0.2658148051907174</v>
      </c>
    </row>
    <row r="229">
      <c r="A229" t="inlineStr">
        <is>
          <t>Credito</t>
        </is>
      </c>
      <c r="B229" s="8" t="n">
        <v>202302</v>
      </c>
      <c r="C229" s="9" t="n">
        <v>1494596.004976726</v>
      </c>
      <c r="D229" s="9" t="n">
        <v>404297.3484745134</v>
      </c>
      <c r="E229" s="9" t="n">
        <v>63252.23379699104</v>
      </c>
      <c r="F229" s="9" t="n">
        <v>407724.5834993152</v>
      </c>
      <c r="G229" s="9" t="n">
        <v>1962145.58724823</v>
      </c>
      <c r="H229" s="9" t="n">
        <v>1554421.003748915</v>
      </c>
      <c r="I229" s="9" t="n">
        <v>2173641.659361149</v>
      </c>
      <c r="J229" s="10" t="n">
        <v>0.6876</v>
      </c>
      <c r="K229" s="10" t="n">
        <v>0.2705061080909347</v>
      </c>
      <c r="L229" s="10" t="n">
        <v>0.04232062282139983</v>
      </c>
      <c r="M229" s="10" t="n">
        <v>0.2727991926525083</v>
      </c>
    </row>
    <row r="230">
      <c r="A230" s="4" t="inlineStr">
        <is>
          <t>Credito</t>
        </is>
      </c>
      <c r="B230" s="5" t="n">
        <v>202303</v>
      </c>
      <c r="C230" s="6" t="n">
        <v>1659792.673181614</v>
      </c>
      <c r="D230" s="6" t="n">
        <v>448984.0566922492</v>
      </c>
      <c r="E230" s="6" t="n">
        <v>77080.38690129356</v>
      </c>
      <c r="F230" s="6" t="n">
        <v>368358.1228739019</v>
      </c>
      <c r="G230" s="6" t="n">
        <v>2185857.116775156</v>
      </c>
      <c r="H230" s="6" t="n">
        <v>1817498.993901254</v>
      </c>
      <c r="I230" s="6" t="n">
        <v>2413892.776587571</v>
      </c>
      <c r="J230" s="11" t="n">
        <v>0.6876</v>
      </c>
      <c r="K230" s="11" t="n">
        <v>0.2705061083512335</v>
      </c>
      <c r="L230" s="11" t="n">
        <v>0.04643976813895687</v>
      </c>
      <c r="M230" s="11" t="n">
        <v>0.2219302017810488</v>
      </c>
    </row>
    <row r="231">
      <c r="A231" t="inlineStr">
        <is>
          <t>Credito</t>
        </is>
      </c>
      <c r="B231" s="8" t="n">
        <v>202304</v>
      </c>
      <c r="C231" s="9" t="n">
        <v>1624903.110928275</v>
      </c>
      <c r="D231" s="9" t="n">
        <v>439546.2164085345</v>
      </c>
      <c r="E231" s="9" t="n">
        <v>73773.79559933733</v>
      </c>
      <c r="F231" s="9" t="n">
        <v>403220.2610600282</v>
      </c>
      <c r="G231" s="9" t="n">
        <v>2138223.122936148</v>
      </c>
      <c r="H231" s="9" t="n">
        <v>1735002.861876119</v>
      </c>
      <c r="I231" s="9" t="n">
        <v>2363151.702920703</v>
      </c>
      <c r="J231" s="10" t="n">
        <v>0.6876</v>
      </c>
      <c r="K231" s="10" t="n">
        <v>0.2705061079964518</v>
      </c>
      <c r="L231" s="10" t="n">
        <v>0.04540196587917898</v>
      </c>
      <c r="M231" s="10" t="n">
        <v>0.248150340994594</v>
      </c>
    </row>
    <row r="232">
      <c r="A232" s="4" t="inlineStr">
        <is>
          <t>Credito</t>
        </is>
      </c>
      <c r="B232" s="5" t="n">
        <v>202305</v>
      </c>
      <c r="C232" s="6" t="n">
        <v>1386861.976640322</v>
      </c>
      <c r="D232" s="6" t="n">
        <v>375154.6357541015</v>
      </c>
      <c r="E232" s="6" t="n">
        <v>64525.39884445349</v>
      </c>
      <c r="F232" s="6" t="n">
        <v>337192.4058433115</v>
      </c>
      <c r="G232" s="6" t="n">
        <v>1826542.011238877</v>
      </c>
      <c r="H232" s="6" t="n">
        <v>1489349.605395566</v>
      </c>
      <c r="I232" s="6" t="n">
        <v>2016960.408144738</v>
      </c>
      <c r="J232" s="11" t="n">
        <v>0.6876</v>
      </c>
      <c r="K232" s="11" t="n">
        <v>0.2705061080864838</v>
      </c>
      <c r="L232" s="11" t="n">
        <v>0.04652618640592231</v>
      </c>
      <c r="M232" s="11" t="n">
        <v>0.2431333553899583</v>
      </c>
    </row>
    <row r="233">
      <c r="A233" t="inlineStr">
        <is>
          <t>Credito</t>
        </is>
      </c>
      <c r="B233" s="8" t="n">
        <v>202306</v>
      </c>
      <c r="C233" s="9" t="n">
        <v>1608841.901540115</v>
      </c>
      <c r="D233" s="9" t="n">
        <v>435201.5617331557</v>
      </c>
      <c r="E233" s="9" t="n">
        <v>70396.69833368389</v>
      </c>
      <c r="F233" s="9" t="n">
        <v>294486.3995419383</v>
      </c>
      <c r="G233" s="9" t="n">
        <v>2114440.161606955</v>
      </c>
      <c r="H233" s="9" t="n">
        <v>1819953.762065017</v>
      </c>
      <c r="I233" s="9" t="n">
        <v>2339793.341390511</v>
      </c>
      <c r="J233" s="10" t="n">
        <v>0.6876</v>
      </c>
      <c r="K233" s="10" t="n">
        <v>0.2705061083482131</v>
      </c>
      <c r="L233" s="10" t="n">
        <v>0.04375613182767953</v>
      </c>
      <c r="M233" s="10" t="n">
        <v>0.1830424725139442</v>
      </c>
    </row>
    <row r="234">
      <c r="A234" s="4" t="inlineStr">
        <is>
          <t>Credito</t>
        </is>
      </c>
      <c r="B234" s="5" t="n">
        <v>202307</v>
      </c>
      <c r="C234" s="6" t="n">
        <v>1731284.553457317</v>
      </c>
      <c r="D234" s="6" t="n">
        <v>468323.0467863499</v>
      </c>
      <c r="E234" s="6" t="n">
        <v>69029.50215597042</v>
      </c>
      <c r="F234" s="6" t="n">
        <v>280965.9643339186</v>
      </c>
      <c r="G234" s="6" t="n">
        <v>2268637.102399637</v>
      </c>
      <c r="H234" s="6" t="n">
        <v>1987671.138065718</v>
      </c>
      <c r="I234" s="6" t="n">
        <v>2517865.842724428</v>
      </c>
      <c r="J234" s="11" t="n">
        <v>0.6876</v>
      </c>
      <c r="K234" s="11" t="n">
        <v>0.2705061082253201</v>
      </c>
      <c r="L234" s="11" t="n">
        <v>0.0398718408352462</v>
      </c>
      <c r="M234" s="11" t="n">
        <v>0.1622875706785687</v>
      </c>
    </row>
    <row r="235">
      <c r="A235" t="inlineStr">
        <is>
          <t>Credito</t>
        </is>
      </c>
      <c r="B235" s="8" t="n">
        <v>202308</v>
      </c>
      <c r="C235" s="9" t="n">
        <v>2135849.762535767</v>
      </c>
      <c r="D235" s="9" t="n">
        <v>577760.4067967541</v>
      </c>
      <c r="E235" s="9" t="n">
        <v>73895.06133026879</v>
      </c>
      <c r="F235" s="9" t="n">
        <v>696518.672311084</v>
      </c>
      <c r="G235" s="9" t="n">
        <v>2787505.23066279</v>
      </c>
      <c r="H235" s="9" t="n">
        <v>2090986.558351705</v>
      </c>
      <c r="I235" s="9" t="n">
        <v>3106238.747143349</v>
      </c>
      <c r="J235" s="10" t="n">
        <v>0.6876</v>
      </c>
      <c r="K235" s="10" t="n">
        <v>0.270506108121956</v>
      </c>
      <c r="L235" s="10" t="n">
        <v>0.03459749961183487</v>
      </c>
      <c r="M235" s="10" t="n">
        <v>0.3261084578739981</v>
      </c>
    </row>
    <row r="236">
      <c r="A236" s="4" t="inlineStr">
        <is>
          <t>Credito</t>
        </is>
      </c>
      <c r="B236" s="5" t="n">
        <v>202309</v>
      </c>
      <c r="C236" s="6" t="n">
        <v>1884118.211029441</v>
      </c>
      <c r="D236" s="6" t="n">
        <v>509665.484653917</v>
      </c>
      <c r="E236" s="6" t="n">
        <v>72486.42349336408</v>
      </c>
      <c r="F236" s="6" t="n">
        <v>621278.3662977179</v>
      </c>
      <c r="G236" s="6" t="n">
        <v>2466270.119176722</v>
      </c>
      <c r="H236" s="6" t="n">
        <v>1844991.752879004</v>
      </c>
      <c r="I236" s="6" t="n">
        <v>2740137.01429529</v>
      </c>
      <c r="J236" s="11" t="n">
        <v>0.6876</v>
      </c>
      <c r="K236" s="11" t="n">
        <v>0.2705061081997859</v>
      </c>
      <c r="L236" s="11" t="n">
        <v>0.03847233314185689</v>
      </c>
      <c r="M236" s="11" t="n">
        <v>0.3297448974596265</v>
      </c>
    </row>
    <row r="237">
      <c r="A237" t="inlineStr">
        <is>
          <t>Credito</t>
        </is>
      </c>
      <c r="B237" s="8" t="n">
        <v>202310</v>
      </c>
      <c r="C237" s="9" t="n">
        <v>1905047.888269396</v>
      </c>
      <c r="D237" s="9" t="n">
        <v>515327.0899558959</v>
      </c>
      <c r="E237" s="9" t="n">
        <v>86883.21211616875</v>
      </c>
      <c r="F237" s="9" t="n">
        <v>609397.2405758508</v>
      </c>
      <c r="G237" s="9" t="n">
        <v>2507258.190341461</v>
      </c>
      <c r="H237" s="9" t="n">
        <v>1897860.94976561</v>
      </c>
      <c r="I237" s="9" t="n">
        <v>2770575.75373676</v>
      </c>
      <c r="J237" s="10" t="n">
        <v>0.6876</v>
      </c>
      <c r="K237" s="10" t="n">
        <v>0.2705061080769129</v>
      </c>
      <c r="L237" s="10" t="n">
        <v>0.04560683888901929</v>
      </c>
      <c r="M237" s="10" t="n">
        <v>0.3198855232607544</v>
      </c>
    </row>
    <row r="238">
      <c r="A238" s="4" t="inlineStr">
        <is>
          <t>Credito</t>
        </is>
      </c>
      <c r="B238" s="5" t="n">
        <v>202311</v>
      </c>
      <c r="C238" s="6" t="n">
        <v>2009791.057265935</v>
      </c>
      <c r="D238" s="6" t="n">
        <v>543660.7569892968</v>
      </c>
      <c r="E238" s="6" t="n">
        <v>82266.79990567827</v>
      </c>
      <c r="F238" s="6" t="n">
        <v>784771.7316662162</v>
      </c>
      <c r="G238" s="6" t="n">
        <v>2635718.61416091</v>
      </c>
      <c r="H238" s="6" t="n">
        <v>1850946.882494694</v>
      </c>
      <c r="I238" s="6" t="n">
        <v>2922907.296780011</v>
      </c>
      <c r="J238" s="11" t="n">
        <v>0.6876</v>
      </c>
      <c r="K238" s="11" t="n">
        <v>0.2705061080970665</v>
      </c>
      <c r="L238" s="11" t="n">
        <v>0.04093301122435671</v>
      </c>
      <c r="M238" s="11" t="n">
        <v>0.3904742877768588</v>
      </c>
    </row>
    <row r="239">
      <c r="A239" t="inlineStr">
        <is>
          <t>Credito</t>
        </is>
      </c>
      <c r="B239" s="8" t="n">
        <v>202312</v>
      </c>
      <c r="C239" s="9" t="n">
        <v>1899095.637900345</v>
      </c>
      <c r="D239" s="9" t="n">
        <v>513716.9745264225</v>
      </c>
      <c r="E239" s="9" t="n">
        <v>77337.26321125033</v>
      </c>
      <c r="F239" s="9" t="n">
        <v>756173.0505817311</v>
      </c>
      <c r="G239" s="9" t="n">
        <v>2490149.875638018</v>
      </c>
      <c r="H239" s="9" t="n">
        <v>1733976.825056287</v>
      </c>
      <c r="I239" s="9" t="n">
        <v>2761919.19415408</v>
      </c>
      <c r="J239" s="10" t="n">
        <v>0.6876</v>
      </c>
      <c r="K239" s="10" t="n">
        <v>0.270506110526583</v>
      </c>
      <c r="L239" s="10" t="n">
        <v>0.04072320617657519</v>
      </c>
      <c r="M239" s="10" t="n">
        <v>0.398175339614682</v>
      </c>
    </row>
    <row r="240">
      <c r="A240" s="4" t="inlineStr">
        <is>
          <t>Credito</t>
        </is>
      </c>
      <c r="B240" s="5" t="n">
        <v>202401</v>
      </c>
      <c r="C240" s="6" t="n">
        <v>1651023.752743148</v>
      </c>
      <c r="D240" s="6" t="n">
        <v>446612.009735257</v>
      </c>
      <c r="E240" s="6" t="n">
        <v>75000.90056964093</v>
      </c>
      <c r="F240" s="6" t="n">
        <v>638649.5786057805</v>
      </c>
      <c r="G240" s="6" t="n">
        <v>2172636.663048046</v>
      </c>
      <c r="H240" s="6" t="n">
        <v>1533987.084442265</v>
      </c>
      <c r="I240" s="6" t="n">
        <v>2401139.838195386</v>
      </c>
      <c r="J240" s="11" t="n">
        <v>0.6876000000000001</v>
      </c>
      <c r="K240" s="11" t="n">
        <v>0.2705061081000311</v>
      </c>
      <c r="L240" s="11" t="n">
        <v>0.04542690584858529</v>
      </c>
      <c r="M240" s="11" t="n">
        <v>0.3868203455853831</v>
      </c>
    </row>
    <row r="241">
      <c r="A241" t="inlineStr">
        <is>
          <t>Credito</t>
        </is>
      </c>
      <c r="B241" s="8" t="n">
        <v>202402</v>
      </c>
      <c r="C241" s="9" t="n">
        <v>1632613.452325806</v>
      </c>
      <c r="D241" s="9" t="n">
        <v>441631.9110136447</v>
      </c>
      <c r="E241" s="9" t="n">
        <v>71299.77425048228</v>
      </c>
      <c r="F241" s="9" t="n">
        <v>690344.4292641738</v>
      </c>
      <c r="G241" s="9" t="n">
        <v>2145545.137589933</v>
      </c>
      <c r="H241" s="9" t="n">
        <v>1455200.70832576</v>
      </c>
      <c r="I241" s="9" t="n">
        <v>2374365.113911877</v>
      </c>
      <c r="J241" s="10" t="n">
        <v>0.6876</v>
      </c>
      <c r="K241" s="10" t="n">
        <v>0.2705061080958875</v>
      </c>
      <c r="L241" s="10" t="n">
        <v>0.0436721712349664</v>
      </c>
      <c r="M241" s="10" t="n">
        <v>0.4228462213641051</v>
      </c>
    </row>
    <row r="242">
      <c r="A242" s="4" t="inlineStr">
        <is>
          <t>Credito</t>
        </is>
      </c>
      <c r="B242" s="5" t="n">
        <v>202403</v>
      </c>
      <c r="C242" s="6" t="n">
        <v>1410244.377358491</v>
      </c>
      <c r="D242" s="6" t="n">
        <v>381479.7180377359</v>
      </c>
      <c r="E242" s="6" t="n">
        <v>54696.84890566037</v>
      </c>
      <c r="F242" s="6" t="n">
        <v>635286.5775094341</v>
      </c>
      <c r="G242" s="6" t="n">
        <v>1846420.944301887</v>
      </c>
      <c r="H242" s="6" t="n">
        <v>1211134.366792453</v>
      </c>
      <c r="I242" s="6" t="n">
        <v>2050966.226524856</v>
      </c>
      <c r="J242" s="11" t="n">
        <v>0.6876</v>
      </c>
      <c r="K242" s="11" t="n">
        <v>0.2705061081344499</v>
      </c>
      <c r="L242" s="11" t="n">
        <v>0.03878536924792587</v>
      </c>
      <c r="M242" s="11" t="n">
        <v>0.4504797804614407</v>
      </c>
    </row>
    <row r="243">
      <c r="A243" t="inlineStr">
        <is>
          <t>Credito</t>
        </is>
      </c>
      <c r="B243" s="8" t="n">
        <v>202404</v>
      </c>
      <c r="C243" s="9" t="n">
        <v>1439596.193100871</v>
      </c>
      <c r="D243" s="9" t="n">
        <v>389419.561739496</v>
      </c>
      <c r="E243" s="9" t="n">
        <v>60379.06380643203</v>
      </c>
      <c r="F243" s="9" t="n">
        <v>580011.0546044796</v>
      </c>
      <c r="G243" s="9" t="n">
        <v>1889394.818646799</v>
      </c>
      <c r="H243" s="9" t="n">
        <v>1309383.764042319</v>
      </c>
      <c r="I243" s="9" t="n">
        <v>2093653.567627794</v>
      </c>
      <c r="J243" s="10" t="n">
        <v>0.6876</v>
      </c>
      <c r="K243" s="10" t="n">
        <v>0.2705061069248116</v>
      </c>
      <c r="L243" s="10" t="n">
        <v>0.04194166676446701</v>
      </c>
      <c r="M243" s="10" t="n">
        <v>0.4028984359531707</v>
      </c>
    </row>
    <row r="244">
      <c r="A244" s="4" t="inlineStr">
        <is>
          <t>Credito</t>
        </is>
      </c>
      <c r="B244" s="5" t="n">
        <v>202405</v>
      </c>
      <c r="C244" s="6" t="n">
        <v>1556213.143998774</v>
      </c>
      <c r="D244" s="6" t="n">
        <v>420965.1613017291</v>
      </c>
      <c r="E244" s="6" t="n">
        <v>63310.73596492262</v>
      </c>
      <c r="F244" s="6" t="n">
        <v>641452.1139543381</v>
      </c>
      <c r="G244" s="6" t="n">
        <v>2040489.041265426</v>
      </c>
      <c r="H244" s="6" t="n">
        <v>1399036.927311088</v>
      </c>
      <c r="I244" s="6" t="n">
        <v>2263253.554390306</v>
      </c>
      <c r="J244" s="11" t="n">
        <v>0.6876</v>
      </c>
      <c r="K244" s="11" t="n">
        <v>0.2705061083214066</v>
      </c>
      <c r="L244" s="11" t="n">
        <v>0.04068256087481837</v>
      </c>
      <c r="M244" s="11" t="n">
        <v>0.4121878268590459</v>
      </c>
    </row>
    <row r="245">
      <c r="A245" t="inlineStr">
        <is>
          <t>Credito</t>
        </is>
      </c>
      <c r="B245" s="8" t="n">
        <v>202406</v>
      </c>
      <c r="C245" s="9" t="n">
        <v>1414684.048079973</v>
      </c>
      <c r="D245" s="9" t="n">
        <v>382680.67613829</v>
      </c>
      <c r="E245" s="9" t="n">
        <v>48399.85234767201</v>
      </c>
      <c r="F245" s="9" t="n">
        <v>513596.0565891218</v>
      </c>
      <c r="G245" s="9" t="n">
        <v>1845764.576565935</v>
      </c>
      <c r="H245" s="9" t="n">
        <v>1332168.519976813</v>
      </c>
      <c r="I245" s="9" t="n">
        <v>2057422.990226837</v>
      </c>
      <c r="J245" s="10" t="n">
        <v>0.6876</v>
      </c>
      <c r="K245" s="10" t="n">
        <v>0.2705061081714105</v>
      </c>
      <c r="L245" s="10" t="n">
        <v>0.034212481870677</v>
      </c>
      <c r="M245" s="10" t="n">
        <v>0.3630464747843739</v>
      </c>
    </row>
    <row r="246">
      <c r="A246" s="4" t="inlineStr">
        <is>
          <t>Credito</t>
        </is>
      </c>
      <c r="B246" s="5" t="n">
        <v>202407</v>
      </c>
      <c r="C246" s="6" t="n">
        <v>2823312.497316445</v>
      </c>
      <c r="D246" s="6" t="n">
        <v>763723.2760841562</v>
      </c>
      <c r="E246" s="6" t="n">
        <v>65642.62129669386</v>
      </c>
      <c r="F246" s="6" t="n">
        <v>1498424.326964362</v>
      </c>
      <c r="G246" s="6" t="n">
        <v>3652678.394697295</v>
      </c>
      <c r="H246" s="6" t="n">
        <v>2154254.067732933</v>
      </c>
      <c r="I246" s="6" t="n">
        <v>4106039.11767953</v>
      </c>
      <c r="J246" s="11" t="n">
        <v>0.6876</v>
      </c>
      <c r="K246" s="11" t="n">
        <v>0.2705061082717816</v>
      </c>
      <c r="L246" s="11" t="n">
        <v>0.02325021454730466</v>
      </c>
      <c r="M246" s="11" t="n">
        <v>0.5307327220733138</v>
      </c>
    </row>
    <row r="247">
      <c r="A247" t="inlineStr">
        <is>
          <t>Credito</t>
        </is>
      </c>
      <c r="B247" s="8" t="n">
        <v>202408</v>
      </c>
      <c r="C247" s="9" t="n">
        <v>2747717.178356266</v>
      </c>
      <c r="D247" s="9" t="n">
        <v>743274.2801747983</v>
      </c>
      <c r="E247" s="9" t="n">
        <v>65688.71626731362</v>
      </c>
      <c r="F247" s="9" t="n">
        <v>1484451.078278612</v>
      </c>
      <c r="G247" s="9" t="n">
        <v>3556680.174798378</v>
      </c>
      <c r="H247" s="9" t="n">
        <v>2072229.096519766</v>
      </c>
      <c r="I247" s="9" t="n">
        <v>3996098.281495442</v>
      </c>
      <c r="J247" s="10" t="n">
        <v>0.6876</v>
      </c>
      <c r="K247" s="10" t="n">
        <v>0.2705061081357138</v>
      </c>
      <c r="L247" s="10" t="n">
        <v>0.02390665123206378</v>
      </c>
      <c r="M247" s="10" t="n">
        <v>0.5402488618448851</v>
      </c>
    </row>
    <row r="248">
      <c r="A248" s="4" t="inlineStr">
        <is>
          <t>Credito</t>
        </is>
      </c>
      <c r="B248" s="5" t="n">
        <v>202409</v>
      </c>
      <c r="C248" s="6" t="n">
        <v>2478096.45695482</v>
      </c>
      <c r="D248" s="6" t="n">
        <v>670338.6220870299</v>
      </c>
      <c r="E248" s="6" t="n">
        <v>62848.37980713078</v>
      </c>
      <c r="F248" s="6" t="n">
        <v>1320162.022841647</v>
      </c>
      <c r="G248" s="6" t="n">
        <v>3211283.45884898</v>
      </c>
      <c r="H248" s="6" t="n">
        <v>1891121.436007333</v>
      </c>
      <c r="I248" s="6" t="n">
        <v>3603979.722156516</v>
      </c>
      <c r="J248" s="11" t="n">
        <v>0.6876</v>
      </c>
      <c r="K248" s="11" t="n">
        <v>0.2705054600299004</v>
      </c>
      <c r="L248" s="11" t="n">
        <v>0.02536155508827985</v>
      </c>
      <c r="M248" s="11" t="n">
        <v>0.5327322990743923</v>
      </c>
    </row>
    <row r="249">
      <c r="A249" t="inlineStr">
        <is>
          <t>Credito</t>
        </is>
      </c>
      <c r="B249" s="8" t="n">
        <v>202410</v>
      </c>
      <c r="C249" s="9" t="n">
        <v>2762401.027440045</v>
      </c>
      <c r="D249" s="9" t="n">
        <v>747247.4396453933</v>
      </c>
      <c r="E249" s="9" t="n">
        <v>65260.38808849178</v>
      </c>
      <c r="F249" s="9" t="n">
        <v>1621363.331484341</v>
      </c>
      <c r="G249" s="9" t="n">
        <v>3574908.85517393</v>
      </c>
      <c r="H249" s="9" t="n">
        <v>1953545.523689589</v>
      </c>
      <c r="I249" s="9" t="n">
        <v>4017453.501221706</v>
      </c>
      <c r="J249" s="10" t="n">
        <v>0.6876</v>
      </c>
      <c r="K249" s="10" t="n">
        <v>0.2705065022140821</v>
      </c>
      <c r="L249" s="10" t="n">
        <v>0.02362451629587232</v>
      </c>
      <c r="M249" s="10" t="n">
        <v>0.5869398814215186</v>
      </c>
    </row>
    <row r="250">
      <c r="A250" s="4" t="inlineStr">
        <is>
          <t>Credito</t>
        </is>
      </c>
      <c r="B250" s="5" t="n">
        <v>202411</v>
      </c>
      <c r="C250" s="6" t="n">
        <v>2478198.222591117</v>
      </c>
      <c r="D250" s="6" t="n">
        <v>670367.6451665185</v>
      </c>
      <c r="E250" s="6" t="n">
        <v>59531.02926659169</v>
      </c>
      <c r="F250" s="6" t="n">
        <v>1390055.051544367</v>
      </c>
      <c r="G250" s="6" t="n">
        <v>3208096.897024228</v>
      </c>
      <c r="H250" s="6" t="n">
        <v>1818041.845479861</v>
      </c>
      <c r="I250" s="6" t="n">
        <v>3604127.72337277</v>
      </c>
      <c r="J250" s="11" t="n">
        <v>0.6876</v>
      </c>
      <c r="K250" s="11" t="n">
        <v>0.2705060632581706</v>
      </c>
      <c r="L250" s="11" t="n">
        <v>0.02402189975116201</v>
      </c>
      <c r="M250" s="11" t="n">
        <v>0.5609135858756988</v>
      </c>
    </row>
    <row r="251">
      <c r="A251" t="inlineStr">
        <is>
          <t>Credito</t>
        </is>
      </c>
      <c r="B251" s="8" t="n">
        <v>202412</v>
      </c>
      <c r="C251" s="9" t="n">
        <v>2250044.395175</v>
      </c>
      <c r="D251" s="9" t="n">
        <v>608650.7525295815</v>
      </c>
      <c r="E251" s="9" t="n">
        <v>55664.46805759737</v>
      </c>
      <c r="F251" s="9" t="n">
        <v>1195712.906253442</v>
      </c>
      <c r="G251" s="9" t="n">
        <v>2914359.615762179</v>
      </c>
      <c r="H251" s="9" t="n">
        <v>1718646.709508737</v>
      </c>
      <c r="I251" s="9" t="n">
        <v>3272315.874309192</v>
      </c>
      <c r="J251" s="10" t="n">
        <v>0.6876</v>
      </c>
      <c r="K251" s="10" t="n">
        <v>0.2705061081615872</v>
      </c>
      <c r="L251" s="10" t="n">
        <v>0.02473927544583759</v>
      </c>
      <c r="M251" s="10" t="n">
        <v>0.5314174728363277</v>
      </c>
    </row>
    <row r="252">
      <c r="A252" s="4" t="inlineStr">
        <is>
          <t>Credito</t>
        </is>
      </c>
      <c r="B252" s="5" t="n">
        <v>202501</v>
      </c>
      <c r="C252" s="6" t="n">
        <v>2398618.344765578</v>
      </c>
      <c r="D252" s="6" t="n">
        <v>648840.913419474</v>
      </c>
      <c r="E252" s="6" t="n">
        <v>64237.15358846818</v>
      </c>
      <c r="F252" s="6" t="n">
        <v>1316142.690372261</v>
      </c>
      <c r="G252" s="6" t="n">
        <v>3111696.411773521</v>
      </c>
      <c r="H252" s="6" t="n">
        <v>1795553.72140126</v>
      </c>
      <c r="I252" s="6" t="n">
        <v>3488392.008094209</v>
      </c>
      <c r="J252" s="11" t="n">
        <v>0.6876</v>
      </c>
      <c r="K252" s="11" t="n">
        <v>0.2705061081665689</v>
      </c>
      <c r="L252" s="11" t="n">
        <v>0.02678089814857403</v>
      </c>
      <c r="M252" s="11" t="n">
        <v>0.5487086735763668</v>
      </c>
    </row>
    <row r="253">
      <c r="A253" t="inlineStr">
        <is>
          <t>Credito</t>
        </is>
      </c>
      <c r="B253" s="8" t="n">
        <v>202502</v>
      </c>
      <c r="C253" s="9" t="n">
        <v>2981038.805629258</v>
      </c>
      <c r="D253" s="9" t="n">
        <v>806389.2055670564</v>
      </c>
      <c r="E253" s="9" t="n">
        <v>68677.55343032918</v>
      </c>
      <c r="F253" s="9" t="n">
        <v>1830502.260158809</v>
      </c>
      <c r="G253" s="9" t="n">
        <v>3856105.564626643</v>
      </c>
      <c r="H253" s="9" t="n">
        <v>2025603.304467834</v>
      </c>
      <c r="I253" s="9" t="n">
        <v>4335425.837157153</v>
      </c>
      <c r="J253" s="10" t="n">
        <v>0.6876</v>
      </c>
      <c r="K253" s="10" t="n">
        <v>0.2705061081540796</v>
      </c>
      <c r="L253" s="10" t="n">
        <v>0.02303812795078065</v>
      </c>
      <c r="M253" s="10" t="n">
        <v>0.6140484507287096</v>
      </c>
    </row>
    <row r="254">
      <c r="A254" s="4" t="inlineStr">
        <is>
          <t>Credito</t>
        </is>
      </c>
      <c r="B254" s="5" t="n">
        <v>202503</v>
      </c>
      <c r="C254" s="6" t="n">
        <v>2575923.895427264</v>
      </c>
      <c r="D254" s="6" t="n">
        <v>696803.1480322964</v>
      </c>
      <c r="E254" s="6" t="n">
        <v>55134.45582686555</v>
      </c>
      <c r="F254" s="6" t="n">
        <v>1610112.536900549</v>
      </c>
      <c r="G254" s="6" t="n">
        <v>3327861.499286426</v>
      </c>
      <c r="H254" s="6" t="n">
        <v>1717748.962385877</v>
      </c>
      <c r="I254" s="6" t="n">
        <v>3746253.483751112</v>
      </c>
      <c r="J254" s="11" t="n">
        <v>0.6876</v>
      </c>
      <c r="K254" s="11" t="n">
        <v>0.2705061082236356</v>
      </c>
      <c r="L254" s="11" t="n">
        <v>0.02140375960824747</v>
      </c>
      <c r="M254" s="11" t="n">
        <v>0.6250621533341079</v>
      </c>
    </row>
    <row r="255">
      <c r="A255" t="inlineStr">
        <is>
          <t>Credito</t>
        </is>
      </c>
      <c r="B255" s="8" t="n">
        <v>202504</v>
      </c>
      <c r="C255" s="9" t="n">
        <v>2445789.085124607</v>
      </c>
      <c r="D255" s="9" t="n">
        <v>661600.8866296855</v>
      </c>
      <c r="E255" s="9" t="n">
        <v>52361.84382265366</v>
      </c>
      <c r="F255" s="9" t="n">
        <v>1502772.416588489</v>
      </c>
      <c r="G255" s="9" t="n">
        <v>3159751.815576947</v>
      </c>
      <c r="H255" s="9" t="n">
        <v>1656979.398988457</v>
      </c>
      <c r="I255" s="9" t="n">
        <v>3556994.01559716</v>
      </c>
      <c r="J255" s="10" t="n">
        <v>0.6876</v>
      </c>
      <c r="K255" s="10" t="n">
        <v>0.2705061080914827</v>
      </c>
      <c r="L255" s="10" t="n">
        <v>0.02140897763471127</v>
      </c>
      <c r="M255" s="10" t="n">
        <v>0.614432546832601</v>
      </c>
    </row>
    <row r="256">
      <c r="A256" s="4" t="inlineStr">
        <is>
          <t>Credito</t>
        </is>
      </c>
      <c r="B256" s="5" t="n">
        <v>202505</v>
      </c>
      <c r="C256" s="6" t="n">
        <v>2430939.838211562</v>
      </c>
      <c r="D256" s="6" t="n">
        <v>657583.7386637244</v>
      </c>
      <c r="E256" s="6" t="n">
        <v>52836.1848244714</v>
      </c>
      <c r="F256" s="6" t="n">
        <v>1605652.920492687</v>
      </c>
      <c r="G256" s="6" t="n">
        <v>3141359.761699757</v>
      </c>
      <c r="H256" s="6" t="n">
        <v>1535706.841207071</v>
      </c>
      <c r="I256" s="6" t="n">
        <v>3535398.252198316</v>
      </c>
      <c r="J256" s="11" t="n">
        <v>0.6876</v>
      </c>
      <c r="K256" s="11" t="n">
        <v>0.2705059698834454</v>
      </c>
      <c r="L256" s="11" t="n">
        <v>0.02173487965187278</v>
      </c>
      <c r="M256" s="11" t="n">
        <v>0.6605070579097352</v>
      </c>
    </row>
    <row r="257">
      <c r="A257" t="inlineStr">
        <is>
          <t>Credito</t>
        </is>
      </c>
      <c r="B257" s="8" t="n">
        <v>202506</v>
      </c>
      <c r="C257" s="9" t="n">
        <v>2198384.033380583</v>
      </c>
      <c r="D257" s="9" t="n">
        <v>594674.9698913958</v>
      </c>
      <c r="E257" s="9" t="n">
        <v>44777.20805311904</v>
      </c>
      <c r="F257" s="9" t="n">
        <v>1433564.800643738</v>
      </c>
      <c r="G257" s="9" t="n">
        <v>2837836.211325098</v>
      </c>
      <c r="H257" s="9" t="n">
        <v>1404271.41068136</v>
      </c>
      <c r="I257" s="9" t="n">
        <v>3197184.458086945</v>
      </c>
      <c r="J257" s="10" t="n">
        <v>0.6876</v>
      </c>
      <c r="K257" s="10" t="n">
        <v>0.2705054989764138</v>
      </c>
      <c r="L257" s="10" t="n">
        <v>0.02036823747498862</v>
      </c>
      <c r="M257" s="10" t="n">
        <v>0.6520993506486042</v>
      </c>
    </row>
    <row r="258">
      <c r="A258" s="4" t="inlineStr">
        <is>
          <t>Credito</t>
        </is>
      </c>
      <c r="B258" s="5" t="n">
        <v>202507</v>
      </c>
      <c r="C258" s="6" t="n">
        <v>2380717.474030104</v>
      </c>
      <c r="D258" s="6" t="n">
        <v>643998.6188255246</v>
      </c>
      <c r="E258" s="6" t="n">
        <v>59945.69323722705</v>
      </c>
      <c r="F258" s="6" t="n">
        <v>1429543.924104304</v>
      </c>
      <c r="G258" s="6" t="n">
        <v>3084661.786092856</v>
      </c>
      <c r="H258" s="6" t="n">
        <v>1655117.861988552</v>
      </c>
      <c r="I258" s="6" t="n">
        <v>3462358.164674381</v>
      </c>
      <c r="J258" s="11" t="n">
        <v>0.6876</v>
      </c>
      <c r="K258" s="11" t="n">
        <v>0.2705061082848091</v>
      </c>
      <c r="L258" s="11" t="n">
        <v>0.02517967540925817</v>
      </c>
      <c r="M258" s="11" t="n">
        <v>0.6004676908110209</v>
      </c>
    </row>
    <row r="259">
      <c r="A259" t="inlineStr">
        <is>
          <t>Credito</t>
        </is>
      </c>
      <c r="B259" s="8" t="n">
        <v>202508</v>
      </c>
      <c r="C259" s="9" t="n">
        <v>2925628.04169011</v>
      </c>
      <c r="D259" s="9" t="n">
        <v>791400.2556064625</v>
      </c>
      <c r="E259" s="9" t="n">
        <v>119192.0976341666</v>
      </c>
      <c r="F259" s="9" t="n">
        <v>1890072.096562442</v>
      </c>
      <c r="G259" s="9" t="n">
        <v>3836220.394930739</v>
      </c>
      <c r="H259" s="9" t="n">
        <v>1946148.298368297</v>
      </c>
      <c r="I259" s="9" t="n">
        <v>4254840.083900684</v>
      </c>
      <c r="J259" s="10" t="n">
        <v>0.6876000000000001</v>
      </c>
      <c r="K259" s="10" t="n">
        <v>0.2705061082027629</v>
      </c>
      <c r="L259" s="10" t="n">
        <v>0.04074068744750968</v>
      </c>
      <c r="M259" s="10" t="n">
        <v>0.6460397800502907</v>
      </c>
    </row>
    <row r="260">
      <c r="A260" s="4" t="inlineStr">
        <is>
          <t>Credito</t>
        </is>
      </c>
      <c r="B260" s="5" t="n">
        <v>202509</v>
      </c>
      <c r="C260" s="6" t="n">
        <v>2544347.15993164</v>
      </c>
      <c r="D260" s="6" t="n">
        <v>688261.4479079648</v>
      </c>
      <c r="E260" s="6" t="n">
        <v>71060.49894347164</v>
      </c>
      <c r="F260" s="6" t="n">
        <v>1629834.256089371</v>
      </c>
      <c r="G260" s="6" t="n">
        <v>3303669.106783076</v>
      </c>
      <c r="H260" s="6" t="n">
        <v>1673834.850693705</v>
      </c>
      <c r="I260" s="6" t="n">
        <v>3700330.366392728</v>
      </c>
      <c r="J260" s="11" t="n">
        <v>0.6876</v>
      </c>
      <c r="K260" s="11" t="n">
        <v>0.270506108107691</v>
      </c>
      <c r="L260" s="11" t="n">
        <v>0.0279287748395863</v>
      </c>
      <c r="M260" s="11" t="n">
        <v>0.6405707058203332</v>
      </c>
    </row>
    <row r="261">
      <c r="A261" t="inlineStr">
        <is>
          <t>Credito</t>
        </is>
      </c>
      <c r="B261" s="8" t="n">
        <v>202510</v>
      </c>
      <c r="C261" s="9" t="n">
        <v>2269549.911192921</v>
      </c>
      <c r="D261" s="9" t="n">
        <v>613927.1136084739</v>
      </c>
      <c r="E261" s="9" t="n">
        <v>62495.80669120972</v>
      </c>
      <c r="F261" s="9" t="n">
        <v>1412192.669379319</v>
      </c>
      <c r="G261" s="9" t="n">
        <v>2945972.831492605</v>
      </c>
      <c r="H261" s="9" t="n">
        <v>1533780.162113285</v>
      </c>
      <c r="I261" s="9" t="n">
        <v>3300683.407784935</v>
      </c>
      <c r="J261" s="10" t="n">
        <v>0.6876</v>
      </c>
      <c r="K261" s="10" t="n">
        <v>0.2705061080969052</v>
      </c>
      <c r="L261" s="10" t="n">
        <v>0.02753665225998959</v>
      </c>
      <c r="M261" s="10" t="n">
        <v>0.6222346829275248</v>
      </c>
    </row>
    <row r="262">
      <c r="A262" s="4" t="inlineStr">
        <is>
          <t>Credito</t>
        </is>
      </c>
      <c r="B262" s="5" t="n">
        <v>202511</v>
      </c>
      <c r="C262" s="6" t="n">
        <v>2740346.213508388</v>
      </c>
      <c r="D262" s="6" t="n">
        <v>741280.3894989423</v>
      </c>
      <c r="E262" s="6" t="n">
        <v>63777.2416959547</v>
      </c>
      <c r="F262" s="6" t="n">
        <v>1779807.0859729</v>
      </c>
      <c r="G262" s="6" t="n">
        <v>3545403.844703284</v>
      </c>
      <c r="H262" s="6" t="n">
        <v>1765596.758730384</v>
      </c>
      <c r="I262" s="6" t="n">
        <v>3985378.437330407</v>
      </c>
      <c r="J262" s="11" t="n">
        <v>0.6876</v>
      </c>
      <c r="K262" s="11" t="n">
        <v>0.270506108259183</v>
      </c>
      <c r="L262" s="11" t="n">
        <v>0.02327342486200037</v>
      </c>
      <c r="M262" s="11" t="n">
        <v>0.6494825643560793</v>
      </c>
    </row>
    <row r="263">
      <c r="A263" t="inlineStr">
        <is>
          <t>Credito</t>
        </is>
      </c>
      <c r="B263" s="8" t="n">
        <v>202512</v>
      </c>
      <c r="C263" s="9" t="n">
        <v>2504381.411594847</v>
      </c>
      <c r="D263" s="9" t="n">
        <v>677450.4692358951</v>
      </c>
      <c r="E263" s="9" t="n">
        <v>67034.79620168815</v>
      </c>
      <c r="F263" s="9" t="n">
        <v>1635736.265548645</v>
      </c>
      <c r="G263" s="9" t="n">
        <v>3248866.67703243</v>
      </c>
      <c r="H263" s="9" t="n">
        <v>1613130.411483785</v>
      </c>
      <c r="I263" s="9" t="n">
        <v>3642206.823145501</v>
      </c>
      <c r="J263" s="10" t="n">
        <v>0.6876</v>
      </c>
      <c r="K263" s="10" t="n">
        <v>0.2705061082546845</v>
      </c>
      <c r="L263" s="10" t="n">
        <v>0.02676700756974509</v>
      </c>
      <c r="M263" s="10" t="n">
        <v>0.6531498189435015</v>
      </c>
    </row>
    <row r="264">
      <c r="A264" s="4" t="inlineStr">
        <is>
          <t>Credito</t>
        </is>
      </c>
      <c r="B264" s="5" t="n">
        <v>202601</v>
      </c>
      <c r="C264" s="6" t="n">
        <v>2851126.060125947</v>
      </c>
      <c r="D264" s="6" t="n">
        <v>771247.0054706918</v>
      </c>
      <c r="E264" s="6" t="n">
        <v>86342.18517689336</v>
      </c>
      <c r="F264" s="6" t="n">
        <v>1705407.258856149</v>
      </c>
      <c r="G264" s="6" t="n">
        <v>3708715.250773531</v>
      </c>
      <c r="H264" s="6" t="n">
        <v>2003307.991917382</v>
      </c>
      <c r="I264" s="6" t="n">
        <v>4146489.325372232</v>
      </c>
      <c r="J264" s="11" t="n">
        <v>0.6876</v>
      </c>
      <c r="K264" s="11" t="n">
        <v>0.2705061050287698</v>
      </c>
      <c r="L264" s="11" t="n">
        <v>0.03028353827788283</v>
      </c>
      <c r="M264" s="11" t="n">
        <v>0.5981521766809615</v>
      </c>
    </row>
    <row r="265">
      <c r="A265" t="inlineStr">
        <is>
          <t>Credito</t>
        </is>
      </c>
      <c r="B265" s="8" t="n">
        <v>202602</v>
      </c>
      <c r="C265" s="9" t="n">
        <v>2882281.658329368</v>
      </c>
      <c r="D265" s="9" t="n">
        <v>779674.7849905407</v>
      </c>
      <c r="E265" s="9" t="n">
        <v>87285.68692765701</v>
      </c>
      <c r="F265" s="9" t="n">
        <v>1724043.047737323</v>
      </c>
      <c r="G265" s="9" t="n">
        <v>3749242.130247566</v>
      </c>
      <c r="H265" s="9" t="n">
        <v>2025199.082510243</v>
      </c>
      <c r="I265" s="9" t="n">
        <v>4191799.968483665</v>
      </c>
      <c r="J265" s="10" t="n">
        <v>0.6876</v>
      </c>
      <c r="K265" s="10" t="n">
        <v>0.2705061050287698</v>
      </c>
      <c r="L265" s="10" t="n">
        <v>0.03028353827788283</v>
      </c>
      <c r="M265" s="10" t="n">
        <v>0.5981521766809615</v>
      </c>
    </row>
    <row r="266">
      <c r="A266" s="4" t="inlineStr">
        <is>
          <t>Credito</t>
        </is>
      </c>
      <c r="B266" s="5" t="n">
        <v>202603</v>
      </c>
      <c r="C266" s="6" t="n">
        <v>2378214.922009239</v>
      </c>
      <c r="D266" s="6" t="n">
        <v>643322.1459174793</v>
      </c>
      <c r="E266" s="6" t="n">
        <v>61878.96369357107</v>
      </c>
      <c r="F266" s="6" t="n">
        <v>1403691.670385825</v>
      </c>
      <c r="G266" s="6" t="n">
        <v>3083416.031620289</v>
      </c>
      <c r="H266" s="6" t="n">
        <v>1679724.361234464</v>
      </c>
      <c r="I266" s="6" t="n">
        <v>3458718.618396217</v>
      </c>
      <c r="J266" s="11" t="n">
        <v>0.6876</v>
      </c>
      <c r="K266" s="11" t="n">
        <v>0.270506311252125</v>
      </c>
      <c r="L266" s="11" t="n">
        <v>0.02601907973956051</v>
      </c>
      <c r="M266" s="11" t="n">
        <v>0.5902291073003252</v>
      </c>
    </row>
    <row r="267">
      <c r="A267" t="inlineStr">
        <is>
          <t>Credito</t>
        </is>
      </c>
      <c r="B267" s="8" t="n">
        <v>202604</v>
      </c>
      <c r="C267" s="9" t="n">
        <v>3108605.871038651</v>
      </c>
      <c r="D267" s="9" t="n">
        <v>840896.8692755083</v>
      </c>
      <c r="E267" s="9" t="n">
        <v>75615.53340813334</v>
      </c>
      <c r="F267" s="9" t="n">
        <v>1923977.133518044</v>
      </c>
      <c r="G267" s="9" t="n">
        <v>4025118.273722293</v>
      </c>
      <c r="H267" s="9" t="n">
        <v>2101141.140204249</v>
      </c>
      <c r="I267" s="9" t="n">
        <v>4520950.94682759</v>
      </c>
      <c r="J267" s="10" t="n">
        <v>0.6876</v>
      </c>
      <c r="K267" s="10" t="n">
        <v>0.2705061060038939</v>
      </c>
      <c r="L267" s="10" t="n">
        <v>0.02432458038910819</v>
      </c>
      <c r="M267" s="10" t="n">
        <v>0.618919610055038</v>
      </c>
    </row>
    <row r="268">
      <c r="A268" s="4" t="inlineStr">
        <is>
          <t>Credito</t>
        </is>
      </c>
      <c r="B268" s="5" t="n">
        <v>202605</v>
      </c>
      <c r="C268" s="6" t="n">
        <v>3735358.431035576</v>
      </c>
      <c r="D268" s="6" t="n">
        <v>1010437.266221071</v>
      </c>
      <c r="E268" s="6" t="n">
        <v>86985.047375736</v>
      </c>
      <c r="F268" s="6" t="n">
        <v>2370815.992987353</v>
      </c>
      <c r="G268" s="6" t="n">
        <v>4832780.744632384</v>
      </c>
      <c r="H268" s="6" t="n">
        <v>2461964.75164503</v>
      </c>
      <c r="I268" s="6" t="n">
        <v>5432458.45118612</v>
      </c>
      <c r="J268" s="11" t="n">
        <v>0.6876</v>
      </c>
      <c r="K268" s="11" t="n">
        <v>0.2705061066766066</v>
      </c>
      <c r="L268" s="11" t="n">
        <v>0.02328693456911995</v>
      </c>
      <c r="M268" s="11" t="n">
        <v>0.6346957157549343</v>
      </c>
    </row>
    <row r="269">
      <c r="A269" t="inlineStr">
        <is>
          <t>Diversos</t>
        </is>
      </c>
      <c r="B269" s="8" t="n">
        <v>202201</v>
      </c>
      <c r="C269" s="9" t="n">
        <v>17829429.06749979</v>
      </c>
      <c r="D269" s="9" t="n">
        <v>1119435.230481143</v>
      </c>
      <c r="E269" s="9" t="n">
        <v>1542115.372039547</v>
      </c>
      <c r="F269" s="9" t="n">
        <v>4108641.205720551</v>
      </c>
      <c r="G269" s="9" t="n">
        <v>20490979.67002048</v>
      </c>
      <c r="H269" s="9" t="n">
        <v>16382338.46429992</v>
      </c>
      <c r="I269" s="9" t="n">
        <v>29384792.66992465</v>
      </c>
      <c r="J269" s="10" t="n">
        <v>0.6067570143432802</v>
      </c>
      <c r="K269" s="10" t="n">
        <v>0.06278581474724255</v>
      </c>
      <c r="L269" s="10" t="n">
        <v>0.08649269509423486</v>
      </c>
      <c r="M269" s="10" t="n">
        <v>0.2304415463986982</v>
      </c>
    </row>
    <row r="270">
      <c r="A270" s="4" t="inlineStr">
        <is>
          <t>Diversos</t>
        </is>
      </c>
      <c r="B270" s="5" t="n">
        <v>202202</v>
      </c>
      <c r="C270" s="6" t="n">
        <v>16459513.90367035</v>
      </c>
      <c r="D270" s="6" t="n">
        <v>1086599.82847007</v>
      </c>
      <c r="E270" s="6" t="n">
        <v>1389574.41231507</v>
      </c>
      <c r="F270" s="6" t="n">
        <v>4108622.005048437</v>
      </c>
      <c r="G270" s="6" t="n">
        <v>18935688.14445549</v>
      </c>
      <c r="H270" s="6" t="n">
        <v>14827066.13940706</v>
      </c>
      <c r="I270" s="6" t="n">
        <v>28522901.50382606</v>
      </c>
      <c r="J270" s="11" t="n">
        <v>0.5770630979272033</v>
      </c>
      <c r="K270" s="11" t="n">
        <v>0.06601651997923014</v>
      </c>
      <c r="L270" s="11" t="n">
        <v>0.08442378192014557</v>
      </c>
      <c r="M270" s="11" t="n">
        <v>0.2496198872636357</v>
      </c>
    </row>
    <row r="271">
      <c r="A271" t="inlineStr">
        <is>
          <t>Diversos</t>
        </is>
      </c>
      <c r="B271" s="8" t="n">
        <v>202203</v>
      </c>
      <c r="C271" s="9" t="n">
        <v>15917307.3424798</v>
      </c>
      <c r="D271" s="9" t="n">
        <v>1054489.067975125</v>
      </c>
      <c r="E271" s="9" t="n">
        <v>1710648.874622318</v>
      </c>
      <c r="F271" s="9" t="n">
        <v>3890843.3409917</v>
      </c>
      <c r="G271" s="9" t="n">
        <v>18682445.28507724</v>
      </c>
      <c r="H271" s="9" t="n">
        <v>14791601.94408554</v>
      </c>
      <c r="I271" s="9" t="n">
        <v>27680025.90332613</v>
      </c>
      <c r="J271" s="10" t="n">
        <v>0.5750466924442842</v>
      </c>
      <c r="K271" s="10" t="n">
        <v>0.06624795546674686</v>
      </c>
      <c r="L271" s="10" t="n">
        <v>0.1074709960557821</v>
      </c>
      <c r="M271" s="10" t="n">
        <v>0.2444410513207779</v>
      </c>
    </row>
    <row r="272">
      <c r="A272" s="4" t="inlineStr">
        <is>
          <t>Diversos</t>
        </is>
      </c>
      <c r="B272" s="5" t="n">
        <v>202204</v>
      </c>
      <c r="C272" s="6" t="n">
        <v>15044299.4735885</v>
      </c>
      <c r="D272" s="6" t="n">
        <v>982902.4934505756</v>
      </c>
      <c r="E272" s="6" t="n">
        <v>854709.6611993925</v>
      </c>
      <c r="F272" s="6" t="n">
        <v>3579939.342747464</v>
      </c>
      <c r="G272" s="6" t="n">
        <v>16881911.62823846</v>
      </c>
      <c r="H272" s="6" t="n">
        <v>13301972.285491</v>
      </c>
      <c r="I272" s="6" t="n">
        <v>25800846.24003047</v>
      </c>
      <c r="J272" s="11" t="n">
        <v>0.5830932572377024</v>
      </c>
      <c r="K272" s="11" t="n">
        <v>0.06533388245668345</v>
      </c>
      <c r="L272" s="11" t="n">
        <v>0.05681285876420537</v>
      </c>
      <c r="M272" s="11" t="n">
        <v>0.2379598564248433</v>
      </c>
    </row>
    <row r="273">
      <c r="A273" t="inlineStr">
        <is>
          <t>Diversos</t>
        </is>
      </c>
      <c r="B273" s="8" t="n">
        <v>202205</v>
      </c>
      <c r="C273" s="9" t="n">
        <v>16660806.68410759</v>
      </c>
      <c r="D273" s="9" t="n">
        <v>1047376.941911559</v>
      </c>
      <c r="E273" s="9" t="n">
        <v>952262.1945086484</v>
      </c>
      <c r="F273" s="9" t="n">
        <v>3683171.281400016</v>
      </c>
      <c r="G273" s="9" t="n">
        <v>18660445.8205278</v>
      </c>
      <c r="H273" s="9" t="n">
        <v>14977274.53912779</v>
      </c>
      <c r="I273" s="9" t="n">
        <v>27493283.65863186</v>
      </c>
      <c r="J273" s="10" t="n">
        <v>0.6059955184318888</v>
      </c>
      <c r="K273" s="10" t="n">
        <v>0.06286471968434942</v>
      </c>
      <c r="L273" s="10" t="n">
        <v>0.05715582759969191</v>
      </c>
      <c r="M273" s="10" t="n">
        <v>0.2210680041629268</v>
      </c>
    </row>
    <row r="274">
      <c r="A274" s="4" t="inlineStr">
        <is>
          <t>Diversos</t>
        </is>
      </c>
      <c r="B274" s="5" t="n">
        <v>202206</v>
      </c>
      <c r="C274" s="6" t="n">
        <v>16359637.32896952</v>
      </c>
      <c r="D274" s="6" t="n">
        <v>1022354.391541223</v>
      </c>
      <c r="E274" s="6" t="n">
        <v>705627.9270733488</v>
      </c>
      <c r="F274" s="6" t="n">
        <v>3108776.640526836</v>
      </c>
      <c r="G274" s="6" t="n">
        <v>18087619.6475841</v>
      </c>
      <c r="H274" s="6" t="n">
        <v>14978843.00705726</v>
      </c>
      <c r="I274" s="6" t="n">
        <v>26836437.71314109</v>
      </c>
      <c r="J274" s="11" t="n">
        <v>0.6096053993395198</v>
      </c>
      <c r="K274" s="11" t="n">
        <v>0.06249248507061009</v>
      </c>
      <c r="L274" s="11" t="n">
        <v>0.04313224754828936</v>
      </c>
      <c r="M274" s="11" t="n">
        <v>0.1900272345904538</v>
      </c>
    </row>
    <row r="275">
      <c r="A275" t="inlineStr">
        <is>
          <t>Diversos</t>
        </is>
      </c>
      <c r="B275" s="8" t="n">
        <v>202207</v>
      </c>
      <c r="C275" s="9" t="n">
        <v>13402821.75311601</v>
      </c>
      <c r="D275" s="9" t="n">
        <v>816404.7263119641</v>
      </c>
      <c r="E275" s="9" t="n">
        <v>960114.6410576252</v>
      </c>
      <c r="F275" s="9" t="n">
        <v>2794027.519079096</v>
      </c>
      <c r="G275" s="9" t="n">
        <v>15179341.1204856</v>
      </c>
      <c r="H275" s="9" t="n">
        <v>12385313.6014065</v>
      </c>
      <c r="I275" s="9" t="n">
        <v>23107620.49565917</v>
      </c>
      <c r="J275" s="10" t="n">
        <v>0.5800173910435202</v>
      </c>
      <c r="K275" s="10" t="n">
        <v>0.06091289889176949</v>
      </c>
      <c r="L275" s="10" t="n">
        <v>0.07163526149517054</v>
      </c>
      <c r="M275" s="10" t="n">
        <v>0.2084656179531385</v>
      </c>
    </row>
    <row r="276">
      <c r="A276" s="4" t="inlineStr">
        <is>
          <t>Diversos</t>
        </is>
      </c>
      <c r="B276" s="5" t="n">
        <v>202208</v>
      </c>
      <c r="C276" s="6" t="n">
        <v>14719429.68594861</v>
      </c>
      <c r="D276" s="6" t="n">
        <v>920031.2522340048</v>
      </c>
      <c r="E276" s="6" t="n">
        <v>845044.6805869972</v>
      </c>
      <c r="F276" s="6" t="n">
        <v>2456418.028416538</v>
      </c>
      <c r="G276" s="6" t="n">
        <v>16484505.61876961</v>
      </c>
      <c r="H276" s="6" t="n">
        <v>14028087.59035307</v>
      </c>
      <c r="I276" s="6" t="n">
        <v>26040678.61647045</v>
      </c>
      <c r="J276" s="11" t="n">
        <v>0.5652475460696607</v>
      </c>
      <c r="K276" s="11" t="n">
        <v>0.06250454479987635</v>
      </c>
      <c r="L276" s="11" t="n">
        <v>0.05741015097845059</v>
      </c>
      <c r="M276" s="11" t="n">
        <v>0.1668826904864033</v>
      </c>
    </row>
    <row r="277">
      <c r="A277" t="inlineStr">
        <is>
          <t>Diversos</t>
        </is>
      </c>
      <c r="B277" s="8" t="n">
        <v>202209</v>
      </c>
      <c r="C277" s="9" t="n">
        <v>16179255.46253558</v>
      </c>
      <c r="D277" s="9" t="n">
        <v>972398.6560408605</v>
      </c>
      <c r="E277" s="9" t="n">
        <v>1391761.880747848</v>
      </c>
      <c r="F277" s="9" t="n">
        <v>2269642.198826458</v>
      </c>
      <c r="G277" s="9" t="n">
        <v>18543415.99932429</v>
      </c>
      <c r="H277" s="9" t="n">
        <v>16273773.80049783</v>
      </c>
      <c r="I277" s="9" t="n">
        <v>27522879.3700151</v>
      </c>
      <c r="J277" s="10" t="n">
        <v>0.5878474866318724</v>
      </c>
      <c r="K277" s="10" t="n">
        <v>0.06010157008105414</v>
      </c>
      <c r="L277" s="10" t="n">
        <v>0.08602137990654692</v>
      </c>
      <c r="M277" s="10" t="n">
        <v>0.1402810039115832</v>
      </c>
    </row>
    <row r="278">
      <c r="A278" s="4" t="inlineStr">
        <is>
          <t>Diversos</t>
        </is>
      </c>
      <c r="B278" s="5" t="n">
        <v>202210</v>
      </c>
      <c r="C278" s="6" t="n">
        <v>14320995.1676653</v>
      </c>
      <c r="D278" s="6" t="n">
        <v>932033.3316507068</v>
      </c>
      <c r="E278" s="6" t="n">
        <v>1630238.223550375</v>
      </c>
      <c r="F278" s="6" t="n">
        <v>2070377.137650616</v>
      </c>
      <c r="G278" s="6" t="n">
        <v>16883266.72286639</v>
      </c>
      <c r="H278" s="6" t="n">
        <v>14812889.58521577</v>
      </c>
      <c r="I278" s="6" t="n">
        <v>26380453.844055</v>
      </c>
      <c r="J278" s="11" t="n">
        <v>0.5428638662671313</v>
      </c>
      <c r="K278" s="11" t="n">
        <v>0.06508160366921292</v>
      </c>
      <c r="L278" s="11" t="n">
        <v>0.113835540370212</v>
      </c>
      <c r="M278" s="11" t="n">
        <v>0.1445693622134041</v>
      </c>
    </row>
    <row r="279">
      <c r="A279" t="inlineStr">
        <is>
          <t>Diversos</t>
        </is>
      </c>
      <c r="B279" s="8" t="n">
        <v>202211</v>
      </c>
      <c r="C279" s="9" t="n">
        <v>15281054.65271052</v>
      </c>
      <c r="D279" s="9" t="n">
        <v>881741.3070162262</v>
      </c>
      <c r="E279" s="9" t="n">
        <v>1651851.914481487</v>
      </c>
      <c r="F279" s="9" t="n">
        <v>2085078.700131033</v>
      </c>
      <c r="G279" s="9" t="n">
        <v>17814647.87420823</v>
      </c>
      <c r="H279" s="9" t="n">
        <v>15729569.1740772</v>
      </c>
      <c r="I279" s="9" t="n">
        <v>24956937.01850288</v>
      </c>
      <c r="J279" s="10" t="n">
        <v>0.6122968792757405</v>
      </c>
      <c r="K279" s="10" t="n">
        <v>0.05770160025308364</v>
      </c>
      <c r="L279" s="10" t="n">
        <v>0.1080980306675682</v>
      </c>
      <c r="M279" s="10" t="n">
        <v>0.1364486121879805</v>
      </c>
    </row>
    <row r="280">
      <c r="A280" s="4" t="inlineStr">
        <is>
          <t>Diversos</t>
        </is>
      </c>
      <c r="B280" s="5" t="n">
        <v>202212</v>
      </c>
      <c r="C280" s="6" t="n">
        <v>19019964.88987078</v>
      </c>
      <c r="D280" s="6" t="n">
        <v>985326.0978322716</v>
      </c>
      <c r="E280" s="6" t="n">
        <v>1769138.407085997</v>
      </c>
      <c r="F280" s="6" t="n">
        <v>3120398.646771473</v>
      </c>
      <c r="G280" s="6" t="n">
        <v>21774429.39478904</v>
      </c>
      <c r="H280" s="6" t="n">
        <v>18654030.74801757</v>
      </c>
      <c r="I280" s="6" t="n">
        <v>27888822.89130964</v>
      </c>
      <c r="J280" s="11" t="n">
        <v>0.6819923868424558</v>
      </c>
      <c r="K280" s="11" t="n">
        <v>0.05180483263441849</v>
      </c>
      <c r="L280" s="11" t="n">
        <v>0.09301480929800057</v>
      </c>
      <c r="M280" s="11" t="n">
        <v>0.164059117082454</v>
      </c>
    </row>
    <row r="281">
      <c r="A281" t="inlineStr">
        <is>
          <t>Diversos</t>
        </is>
      </c>
      <c r="B281" s="8" t="n">
        <v>202301</v>
      </c>
      <c r="C281" s="9" t="n">
        <v>17845838.73984819</v>
      </c>
      <c r="D281" s="9" t="n">
        <v>767778.6336854398</v>
      </c>
      <c r="E281" s="9" t="n">
        <v>1689179.323212485</v>
      </c>
      <c r="F281" s="9" t="n">
        <v>2966342.148734009</v>
      </c>
      <c r="G281" s="9" t="n">
        <v>20302796.69674611</v>
      </c>
      <c r="H281" s="9" t="n">
        <v>17336454.5480121</v>
      </c>
      <c r="I281" s="9" t="n">
        <v>26475238.05568501</v>
      </c>
      <c r="J281" s="10" t="n">
        <v>0.6740577252719417</v>
      </c>
      <c r="K281" s="10" t="n">
        <v>0.04302283825814573</v>
      </c>
      <c r="L281" s="10" t="n">
        <v>0.09465396095061063</v>
      </c>
      <c r="M281" s="10" t="n">
        <v>0.1662203829125962</v>
      </c>
    </row>
    <row r="282">
      <c r="A282" s="4" t="inlineStr">
        <is>
          <t>Diversos</t>
        </is>
      </c>
      <c r="B282" s="5" t="n">
        <v>202302</v>
      </c>
      <c r="C282" s="6" t="n">
        <v>17738979.14249698</v>
      </c>
      <c r="D282" s="6" t="n">
        <v>783015.0682389921</v>
      </c>
      <c r="E282" s="6" t="n">
        <v>1731797.870157651</v>
      </c>
      <c r="F282" s="6" t="n">
        <v>2551599.024845432</v>
      </c>
      <c r="G282" s="6" t="n">
        <v>20253792.08089363</v>
      </c>
      <c r="H282" s="6" t="n">
        <v>17702193.0560482</v>
      </c>
      <c r="I282" s="6" t="n">
        <v>27000637.33915081</v>
      </c>
      <c r="J282" s="11" t="n">
        <v>0.6569837192981937</v>
      </c>
      <c r="K282" s="11" t="n">
        <v>0.0441409317835622</v>
      </c>
      <c r="L282" s="11" t="n">
        <v>0.0976266929593942</v>
      </c>
      <c r="M282" s="11" t="n">
        <v>0.1438413678909294</v>
      </c>
    </row>
    <row r="283">
      <c r="A283" t="inlineStr">
        <is>
          <t>Diversos</t>
        </is>
      </c>
      <c r="B283" s="8" t="n">
        <v>202303</v>
      </c>
      <c r="C283" s="9" t="n">
        <v>17042856.48414825</v>
      </c>
      <c r="D283" s="9" t="n">
        <v>750384.8957552955</v>
      </c>
      <c r="E283" s="9" t="n">
        <v>1744887.526151353</v>
      </c>
      <c r="F283" s="9" t="n">
        <v>2308620.770694946</v>
      </c>
      <c r="G283" s="9" t="n">
        <v>19538128.9060549</v>
      </c>
      <c r="H283" s="9" t="n">
        <v>17229508.13535995</v>
      </c>
      <c r="I283" s="9" t="n">
        <v>25875552.87291677</v>
      </c>
      <c r="J283" s="10" t="n">
        <v>0.6586470468032606</v>
      </c>
      <c r="K283" s="10" t="n">
        <v>0.04402929147782455</v>
      </c>
      <c r="L283" s="10" t="n">
        <v>0.1023823399425027</v>
      </c>
      <c r="M283" s="10" t="n">
        <v>0.135459731931805</v>
      </c>
    </row>
    <row r="284">
      <c r="A284" s="4" t="inlineStr">
        <is>
          <t>Diversos</t>
        </is>
      </c>
      <c r="B284" s="5" t="n">
        <v>202304</v>
      </c>
      <c r="C284" s="6" t="n">
        <v>16559515.56687162</v>
      </c>
      <c r="D284" s="6" t="n">
        <v>740796.5872071692</v>
      </c>
      <c r="E284" s="6" t="n">
        <v>1667853.536207069</v>
      </c>
      <c r="F284" s="6" t="n">
        <v>2977884.252454387</v>
      </c>
      <c r="G284" s="6" t="n">
        <v>18968165.69028585</v>
      </c>
      <c r="H284" s="6" t="n">
        <v>15990281.43783147</v>
      </c>
      <c r="I284" s="6" t="n">
        <v>25544838.69043818</v>
      </c>
      <c r="J284" s="11" t="n">
        <v>0.6482528923962275</v>
      </c>
      <c r="K284" s="11" t="n">
        <v>0.0447354020844173</v>
      </c>
      <c r="L284" s="11" t="n">
        <v>0.1007187395954818</v>
      </c>
      <c r="M284" s="11" t="n">
        <v>0.1798291888690172</v>
      </c>
    </row>
    <row r="285">
      <c r="A285" t="inlineStr">
        <is>
          <t>Diversos</t>
        </is>
      </c>
      <c r="B285" s="8" t="n">
        <v>202305</v>
      </c>
      <c r="C285" s="9" t="n">
        <v>17025870.51660392</v>
      </c>
      <c r="D285" s="9" t="n">
        <v>727185.3979399161</v>
      </c>
      <c r="E285" s="9" t="n">
        <v>1682232.731250636</v>
      </c>
      <c r="F285" s="9" t="n">
        <v>2801564.965571045</v>
      </c>
      <c r="G285" s="9" t="n">
        <v>19435288.64579447</v>
      </c>
      <c r="H285" s="9" t="n">
        <v>16633723.68022342</v>
      </c>
      <c r="I285" s="9" t="n">
        <v>25075555.03137197</v>
      </c>
      <c r="J285" s="10" t="n">
        <v>0.6789827980000001</v>
      </c>
      <c r="K285" s="10" t="n">
        <v>0.04271061483938531</v>
      </c>
      <c r="L285" s="10" t="n">
        <v>0.09880450633112087</v>
      </c>
      <c r="M285" s="10" t="n">
        <v>0.1645475315249762</v>
      </c>
    </row>
    <row r="286">
      <c r="A286" s="4" t="inlineStr">
        <is>
          <t>Diversos</t>
        </is>
      </c>
      <c r="B286" s="5" t="n">
        <v>202306</v>
      </c>
      <c r="C286" s="6" t="n">
        <v>18167983.5261399</v>
      </c>
      <c r="D286" s="6" t="n">
        <v>717286.4626422678</v>
      </c>
      <c r="E286" s="6" t="n">
        <v>2960502.086984973</v>
      </c>
      <c r="F286" s="6" t="n">
        <v>3000904.067049942</v>
      </c>
      <c r="G286" s="6" t="n">
        <v>21845772.07576714</v>
      </c>
      <c r="H286" s="6" t="n">
        <v>18844868.00871719</v>
      </c>
      <c r="I286" s="6" t="n">
        <v>24734269.54260987</v>
      </c>
      <c r="J286" s="11" t="n">
        <v>0.7345267866043831</v>
      </c>
      <c r="K286" s="11" t="n">
        <v>0.03948079662281969</v>
      </c>
      <c r="L286" s="11" t="n">
        <v>0.1629516056487741</v>
      </c>
      <c r="M286" s="11" t="n">
        <v>0.1651754066560152</v>
      </c>
    </row>
    <row r="287">
      <c r="A287" t="inlineStr">
        <is>
          <t>Diversos</t>
        </is>
      </c>
      <c r="B287" s="8" t="n">
        <v>202307</v>
      </c>
      <c r="C287" s="9" t="n">
        <v>15374001.64833196</v>
      </c>
      <c r="D287" s="9" t="n">
        <v>642624.9907430633</v>
      </c>
      <c r="E287" s="9" t="n">
        <v>2120868.952831428</v>
      </c>
      <c r="F287" s="9" t="n">
        <v>2427089.216564542</v>
      </c>
      <c r="G287" s="9" t="n">
        <v>18137495.59190645</v>
      </c>
      <c r="H287" s="9" t="n">
        <v>15710406.37534191</v>
      </c>
      <c r="I287" s="9" t="n">
        <v>22051664.70160828</v>
      </c>
      <c r="J287" s="10" t="n">
        <v>0.6971810000000001</v>
      </c>
      <c r="K287" s="10" t="n">
        <v>0.0417994615483072</v>
      </c>
      <c r="L287" s="10" t="n">
        <v>0.1379516537948035</v>
      </c>
      <c r="M287" s="10" t="n">
        <v>0.1578697122637472</v>
      </c>
    </row>
    <row r="288">
      <c r="A288" s="4" t="inlineStr">
        <is>
          <t>Diversos</t>
        </is>
      </c>
      <c r="B288" s="5" t="n">
        <v>202308</v>
      </c>
      <c r="C288" s="6" t="n">
        <v>15869578.97239552</v>
      </c>
      <c r="D288" s="6" t="n">
        <v>703374.9677517707</v>
      </c>
      <c r="E288" s="6" t="n">
        <v>1712906.640203574</v>
      </c>
      <c r="F288" s="6" t="n">
        <v>2693693.0889113</v>
      </c>
      <c r="G288" s="6" t="n">
        <v>18285860.58035086</v>
      </c>
      <c r="H288" s="6" t="n">
        <v>15592167.49143956</v>
      </c>
      <c r="I288" s="6" t="n">
        <v>24571406.56756999</v>
      </c>
      <c r="J288" s="11" t="n">
        <v>0.6458555365463131</v>
      </c>
      <c r="K288" s="11" t="n">
        <v>0.04432221982544482</v>
      </c>
      <c r="L288" s="11" t="n">
        <v>0.1079364892529982</v>
      </c>
      <c r="M288" s="11" t="n">
        <v>0.1697394173844731</v>
      </c>
    </row>
    <row r="289">
      <c r="A289" t="inlineStr">
        <is>
          <t>Diversos</t>
        </is>
      </c>
      <c r="B289" s="8" t="n">
        <v>202309</v>
      </c>
      <c r="C289" s="9" t="n">
        <v>16378068.6485463</v>
      </c>
      <c r="D289" s="9" t="n">
        <v>712279.4335519483</v>
      </c>
      <c r="E289" s="9" t="n">
        <v>2126662.211167152</v>
      </c>
      <c r="F289" s="9" t="n">
        <v>2927355.096712741</v>
      </c>
      <c r="G289" s="9" t="n">
        <v>19217010.2932654</v>
      </c>
      <c r="H289" s="9" t="n">
        <v>16289655.19655266</v>
      </c>
      <c r="I289" s="9" t="n">
        <v>24561551.85996774</v>
      </c>
      <c r="J289" s="10" t="n">
        <v>0.6668173388197226</v>
      </c>
      <c r="K289" s="10" t="n">
        <v>0.04348983075090296</v>
      </c>
      <c r="L289" s="10" t="n">
        <v>0.1298481681083876</v>
      </c>
      <c r="M289" s="10" t="n">
        <v>0.178736282007987</v>
      </c>
    </row>
    <row r="290">
      <c r="A290" s="4" t="inlineStr">
        <is>
          <t>Diversos</t>
        </is>
      </c>
      <c r="B290" s="5" t="n">
        <v>202310</v>
      </c>
      <c r="C290" s="6" t="n">
        <v>17642103.71307315</v>
      </c>
      <c r="D290" s="6" t="n">
        <v>804068.6444204043</v>
      </c>
      <c r="E290" s="6" t="n">
        <v>2328444.484202935</v>
      </c>
      <c r="F290" s="6" t="n">
        <v>3137057.40645197</v>
      </c>
      <c r="G290" s="6" t="n">
        <v>20774616.84169649</v>
      </c>
      <c r="H290" s="6" t="n">
        <v>17637559.43524452</v>
      </c>
      <c r="I290" s="6" t="n">
        <v>27726718.38709291</v>
      </c>
      <c r="J290" s="11" t="n">
        <v>0.6362853139261421</v>
      </c>
      <c r="K290" s="11" t="n">
        <v>0.04557668730994783</v>
      </c>
      <c r="L290" s="11" t="n">
        <v>0.1319822466794315</v>
      </c>
      <c r="M290" s="11" t="n">
        <v>0.1778165153925124</v>
      </c>
    </row>
    <row r="291">
      <c r="A291" t="inlineStr">
        <is>
          <t>Diversos</t>
        </is>
      </c>
      <c r="B291" s="8" t="n">
        <v>202311</v>
      </c>
      <c r="C291" s="9" t="n">
        <v>19687848.75109994</v>
      </c>
      <c r="D291" s="9" t="n">
        <v>867358.5933411168</v>
      </c>
      <c r="E291" s="9" t="n">
        <v>2418017.023344625</v>
      </c>
      <c r="F291" s="9" t="n">
        <v>3835166.919533222</v>
      </c>
      <c r="G291" s="9" t="n">
        <v>22973224.36778568</v>
      </c>
      <c r="H291" s="9" t="n">
        <v>19138057.44825245</v>
      </c>
      <c r="I291" s="9" t="n">
        <v>29909237.69675642</v>
      </c>
      <c r="J291" s="10" t="n">
        <v>0.6582531106513302</v>
      </c>
      <c r="K291" s="10" t="n">
        <v>0.04405552908834991</v>
      </c>
      <c r="L291" s="10" t="n">
        <v>0.12281773666153</v>
      </c>
      <c r="M291" s="10" t="n">
        <v>0.1947986785158005</v>
      </c>
    </row>
    <row r="292">
      <c r="A292" s="4" t="inlineStr">
        <is>
          <t>Diversos</t>
        </is>
      </c>
      <c r="B292" s="5" t="n">
        <v>202312</v>
      </c>
      <c r="C292" s="6" t="n">
        <v>25437594.11372932</v>
      </c>
      <c r="D292" s="6" t="n">
        <v>987731.0445227682</v>
      </c>
      <c r="E292" s="6" t="n">
        <v>4577256.116134052</v>
      </c>
      <c r="F292" s="6" t="n">
        <v>5915779.423691251</v>
      </c>
      <c r="G292" s="6" t="n">
        <v>31002581.27438615</v>
      </c>
      <c r="H292" s="6" t="n">
        <v>25086801.85069489</v>
      </c>
      <c r="I292" s="6" t="n">
        <v>33119530.03687611</v>
      </c>
      <c r="J292" s="11" t="n">
        <v>0.768054199</v>
      </c>
      <c r="K292" s="11" t="n">
        <v>0.03882957799022606</v>
      </c>
      <c r="L292" s="11" t="n">
        <v>0.1799406066340051</v>
      </c>
      <c r="M292" s="11" t="n">
        <v>0.2325604928375814</v>
      </c>
    </row>
    <row r="293">
      <c r="A293" t="inlineStr">
        <is>
          <t>Diversos</t>
        </is>
      </c>
      <c r="B293" s="8" t="n">
        <v>202401</v>
      </c>
      <c r="C293" s="9" t="n">
        <v>23243258.02341598</v>
      </c>
      <c r="D293" s="9" t="n">
        <v>880133.891884951</v>
      </c>
      <c r="E293" s="9" t="n">
        <v>4509149.506233365</v>
      </c>
      <c r="F293" s="9" t="n">
        <v>5479526.865340617</v>
      </c>
      <c r="G293" s="9" t="n">
        <v>28632541.4215343</v>
      </c>
      <c r="H293" s="9" t="n">
        <v>23153014.55619368</v>
      </c>
      <c r="I293" s="9" t="n">
        <v>31158017.67261318</v>
      </c>
      <c r="J293" s="10" t="n">
        <v>0.74598</v>
      </c>
      <c r="K293" s="10" t="n">
        <v>0.03786620150231421</v>
      </c>
      <c r="L293" s="10" t="n">
        <v>0.1939981693483206</v>
      </c>
      <c r="M293" s="10" t="n">
        <v>0.2357469361575891</v>
      </c>
    </row>
    <row r="294">
      <c r="A294" s="4" t="inlineStr">
        <is>
          <t>Diversos</t>
        </is>
      </c>
      <c r="B294" s="5" t="n">
        <v>202402</v>
      </c>
      <c r="C294" s="6" t="n">
        <v>21983511.31503491</v>
      </c>
      <c r="D294" s="6" t="n">
        <v>852534.3180312294</v>
      </c>
      <c r="E294" s="6" t="n">
        <v>4246005.388670305</v>
      </c>
      <c r="F294" s="6" t="n">
        <v>4880878.055387789</v>
      </c>
      <c r="G294" s="6" t="n">
        <v>27082051.02173644</v>
      </c>
      <c r="H294" s="6" t="n">
        <v>22201172.96634866</v>
      </c>
      <c r="I294" s="6" t="n">
        <v>30180796.81468396</v>
      </c>
      <c r="J294" s="11" t="n">
        <v>0.728394</v>
      </c>
      <c r="K294" s="11" t="n">
        <v>0.03878062543394358</v>
      </c>
      <c r="L294" s="11" t="n">
        <v>0.1931450043545312</v>
      </c>
      <c r="M294" s="11" t="n">
        <v>0.2220244976083357</v>
      </c>
    </row>
    <row r="295">
      <c r="A295" t="inlineStr">
        <is>
          <t>Diversos</t>
        </is>
      </c>
      <c r="B295" s="8" t="n">
        <v>202403</v>
      </c>
      <c r="C295" s="9" t="n">
        <v>22516087.60332075</v>
      </c>
      <c r="D295" s="9" t="n">
        <v>857171.7397735851</v>
      </c>
      <c r="E295" s="9" t="n">
        <v>4033775.679396226</v>
      </c>
      <c r="F295" s="9" t="n">
        <v>4525406.363169812</v>
      </c>
      <c r="G295" s="9" t="n">
        <v>27407035.02249056</v>
      </c>
      <c r="H295" s="9" t="n">
        <v>22881628.65932076</v>
      </c>
      <c r="I295" s="9" t="n">
        <v>30345131.54086355</v>
      </c>
      <c r="J295" s="10" t="n">
        <v>0.742</v>
      </c>
      <c r="K295" s="10" t="n">
        <v>0.0380693020419394</v>
      </c>
      <c r="L295" s="10" t="n">
        <v>0.1791508254214338</v>
      </c>
      <c r="M295" s="10" t="n">
        <v>0.200985466165196</v>
      </c>
    </row>
    <row r="296">
      <c r="A296" s="4" t="inlineStr">
        <is>
          <t>Diversos</t>
        </is>
      </c>
      <c r="B296" s="5" t="n">
        <v>202404</v>
      </c>
      <c r="C296" s="6" t="n">
        <v>26872730.0219539</v>
      </c>
      <c r="D296" s="6" t="n">
        <v>1002497.749725576</v>
      </c>
      <c r="E296" s="6" t="n">
        <v>4807445.099493192</v>
      </c>
      <c r="F296" s="6" t="n">
        <v>5956780.371114277</v>
      </c>
      <c r="G296" s="6" t="n">
        <v>32682672.87117267</v>
      </c>
      <c r="H296" s="6" t="n">
        <v>26725892.50005839</v>
      </c>
      <c r="I296" s="6" t="n">
        <v>35489606.47379015</v>
      </c>
      <c r="J296" s="11" t="n">
        <v>0.7572</v>
      </c>
      <c r="K296" s="11" t="n">
        <v>0.03730539282412234</v>
      </c>
      <c r="L296" s="11" t="n">
        <v>0.1788967885125817</v>
      </c>
      <c r="M296" s="11" t="n">
        <v>0.2216663646100651</v>
      </c>
    </row>
    <row r="297">
      <c r="A297" t="inlineStr">
        <is>
          <t>Diversos</t>
        </is>
      </c>
      <c r="B297" s="8" t="n">
        <v>202405</v>
      </c>
      <c r="C297" s="9" t="n">
        <v>27791915.47718674</v>
      </c>
      <c r="D297" s="9" t="n">
        <v>977740.6507466908</v>
      </c>
      <c r="E297" s="9" t="n">
        <v>6213289.355382421</v>
      </c>
      <c r="F297" s="9" t="n">
        <v>6095664.166499687</v>
      </c>
      <c r="G297" s="9" t="n">
        <v>34982945.48331586</v>
      </c>
      <c r="H297" s="9" t="n">
        <v>28887281.31681617</v>
      </c>
      <c r="I297" s="9" t="n">
        <v>34613554.87120353</v>
      </c>
      <c r="J297" s="10" t="n">
        <v>0.80292</v>
      </c>
      <c r="K297" s="10" t="n">
        <v>0.03518075792758073</v>
      </c>
      <c r="L297" s="10" t="n">
        <v>0.2235646319694178</v>
      </c>
      <c r="M297" s="10" t="n">
        <v>0.2193322792559358</v>
      </c>
    </row>
    <row r="298">
      <c r="A298" s="4" t="inlineStr">
        <is>
          <t>Diversos</t>
        </is>
      </c>
      <c r="B298" s="5" t="n">
        <v>202406</v>
      </c>
      <c r="C298" s="6" t="n">
        <v>27696446.25892749</v>
      </c>
      <c r="D298" s="6" t="n">
        <v>908757.9032275706</v>
      </c>
      <c r="E298" s="6" t="n">
        <v>5196043.296037449</v>
      </c>
      <c r="F298" s="6" t="n">
        <v>6599333.418096706</v>
      </c>
      <c r="G298" s="6" t="n">
        <v>33801247.45819251</v>
      </c>
      <c r="H298" s="6" t="n">
        <v>27201914.04009581</v>
      </c>
      <c r="I298" s="6" t="n">
        <v>32171875.91786116</v>
      </c>
      <c r="J298" s="11" t="n">
        <v>0.86089</v>
      </c>
      <c r="K298" s="11" t="n">
        <v>0.03281135401747246</v>
      </c>
      <c r="L298" s="11" t="n">
        <v>0.1876068592865985</v>
      </c>
      <c r="M298" s="11" t="n">
        <v>0.2382736527423449</v>
      </c>
    </row>
    <row r="299">
      <c r="A299" t="inlineStr">
        <is>
          <t>Diversos</t>
        </is>
      </c>
      <c r="B299" s="8" t="n">
        <v>202407</v>
      </c>
      <c r="C299" s="9" t="n">
        <v>26946900.73797767</v>
      </c>
      <c r="D299" s="9" t="n">
        <v>953123.529948476</v>
      </c>
      <c r="E299" s="9" t="n">
        <v>4487557.293902962</v>
      </c>
      <c r="F299" s="9" t="n">
        <v>6142698.997960497</v>
      </c>
      <c r="G299" s="9" t="n">
        <v>32387581.56182911</v>
      </c>
      <c r="H299" s="9" t="n">
        <v>26244882.56386862</v>
      </c>
      <c r="I299" s="9" t="n">
        <v>33742253.08721112</v>
      </c>
      <c r="J299" s="10" t="n">
        <v>0.79861</v>
      </c>
      <c r="K299" s="10" t="n">
        <v>0.03537043236312476</v>
      </c>
      <c r="L299" s="10" t="n">
        <v>0.1665333367105336</v>
      </c>
      <c r="M299" s="10" t="n">
        <v>0.227955676895461</v>
      </c>
    </row>
    <row r="300">
      <c r="A300" s="4" t="inlineStr">
        <is>
          <t>Diversos</t>
        </is>
      </c>
      <c r="B300" s="5" t="n">
        <v>202408</v>
      </c>
      <c r="C300" s="6" t="n">
        <v>25987831.81746664</v>
      </c>
      <c r="D300" s="6" t="n">
        <v>1044924.872733179</v>
      </c>
      <c r="E300" s="6" t="n">
        <v>3287556.058306729</v>
      </c>
      <c r="F300" s="6" t="n">
        <v>6101598.13071305</v>
      </c>
      <c r="G300" s="6" t="n">
        <v>30320312.74850655</v>
      </c>
      <c r="H300" s="6" t="n">
        <v>24218714.6177935</v>
      </c>
      <c r="I300" s="6" t="n">
        <v>36992828.31200501</v>
      </c>
      <c r="J300" s="11" t="n">
        <v>0.7025100000000001</v>
      </c>
      <c r="K300" s="11" t="n">
        <v>0.04020823591873778</v>
      </c>
      <c r="L300" s="11" t="n">
        <v>0.1265036683859534</v>
      </c>
      <c r="M300" s="11" t="n">
        <v>0.2347867330206483</v>
      </c>
    </row>
    <row r="301">
      <c r="A301" t="inlineStr">
        <is>
          <t>Diversos</t>
        </is>
      </c>
      <c r="B301" s="8" t="n">
        <v>202409</v>
      </c>
      <c r="C301" s="9" t="n">
        <v>23791199.02651317</v>
      </c>
      <c r="D301" s="9" t="n">
        <v>967042.5317767024</v>
      </c>
      <c r="E301" s="9" t="n">
        <v>3353275.598336389</v>
      </c>
      <c r="F301" s="9" t="n">
        <v>5075719.403720275</v>
      </c>
      <c r="G301" s="9" t="n">
        <v>28111517.15662626</v>
      </c>
      <c r="H301" s="9" t="n">
        <v>23035797.75290599</v>
      </c>
      <c r="I301" s="9" t="n">
        <v>34234896.57598235</v>
      </c>
      <c r="J301" s="10" t="n">
        <v>0.6949399999999999</v>
      </c>
      <c r="K301" s="10" t="n">
        <v>0.0406470699815936</v>
      </c>
      <c r="L301" s="10" t="n">
        <v>0.1409460529752814</v>
      </c>
      <c r="M301" s="10" t="n">
        <v>0.2133444135398068</v>
      </c>
    </row>
    <row r="302">
      <c r="A302" s="4" t="inlineStr">
        <is>
          <t>Diversos</t>
        </is>
      </c>
      <c r="B302" s="5" t="n">
        <v>202410</v>
      </c>
      <c r="C302" s="6" t="n">
        <v>22533982.98777167</v>
      </c>
      <c r="D302" s="6" t="n">
        <v>913365.9930337968</v>
      </c>
      <c r="E302" s="6" t="n">
        <v>2921291.687030568</v>
      </c>
      <c r="F302" s="6" t="n">
        <v>4984876.266434792</v>
      </c>
      <c r="G302" s="6" t="n">
        <v>26368640.66783604</v>
      </c>
      <c r="H302" s="6" t="n">
        <v>21383764.40140124</v>
      </c>
      <c r="I302" s="6" t="n">
        <v>32335064.33981212</v>
      </c>
      <c r="J302" s="11" t="n">
        <v>0.69689</v>
      </c>
      <c r="K302" s="11" t="n">
        <v>0.04053282517917253</v>
      </c>
      <c r="L302" s="11" t="n">
        <v>0.1296393845959608</v>
      </c>
      <c r="M302" s="11" t="n">
        <v>0.2212159416797241</v>
      </c>
    </row>
    <row r="303">
      <c r="A303" t="inlineStr">
        <is>
          <t>Diversos</t>
        </is>
      </c>
      <c r="B303" s="8" t="n">
        <v>202411</v>
      </c>
      <c r="C303" s="9" t="n">
        <v>25497434.16760392</v>
      </c>
      <c r="D303" s="9" t="n">
        <v>1042287.264931659</v>
      </c>
      <c r="E303" s="9" t="n">
        <v>3366433.029649676</v>
      </c>
      <c r="F303" s="9" t="n">
        <v>5566951.274243533</v>
      </c>
      <c r="G303" s="9" t="n">
        <v>29906154.46218525</v>
      </c>
      <c r="H303" s="9" t="n">
        <v>24339203.18794172</v>
      </c>
      <c r="I303" s="9" t="n">
        <v>36898491.35724968</v>
      </c>
      <c r="J303" s="10" t="n">
        <v>0.691015627732278</v>
      </c>
      <c r="K303" s="10" t="n">
        <v>0.04087812358217399</v>
      </c>
      <c r="L303" s="10" t="n">
        <v>0.1320302665562694</v>
      </c>
      <c r="M303" s="10" t="n">
        <v>0.2183337836132818</v>
      </c>
    </row>
    <row r="304">
      <c r="A304" s="4" t="inlineStr">
        <is>
          <t>Diversos</t>
        </is>
      </c>
      <c r="B304" s="5" t="n">
        <v>202412</v>
      </c>
      <c r="C304" s="6" t="n">
        <v>28339082.30657619</v>
      </c>
      <c r="D304" s="6" t="n">
        <v>1173306.180176125</v>
      </c>
      <c r="E304" s="6" t="n">
        <v>4157419.216679675</v>
      </c>
      <c r="F304" s="6" t="n">
        <v>6780239.866110551</v>
      </c>
      <c r="G304" s="6" t="n">
        <v>33669807.70343199</v>
      </c>
      <c r="H304" s="6" t="n">
        <v>26889567.83732144</v>
      </c>
      <c r="I304" s="6" t="n">
        <v>38574891.07967754</v>
      </c>
      <c r="J304" s="11" t="n">
        <v>0.7346510000000002</v>
      </c>
      <c r="K304" s="11" t="n">
        <v>0.04140240560661538</v>
      </c>
      <c r="L304" s="11" t="n">
        <v>0.1467026762442103</v>
      </c>
      <c r="M304" s="11" t="n">
        <v>0.2392540376841056</v>
      </c>
    </row>
    <row r="305">
      <c r="A305" t="inlineStr">
        <is>
          <t>Diversos</t>
        </is>
      </c>
      <c r="B305" s="8" t="n">
        <v>202501</v>
      </c>
      <c r="C305" s="9" t="n">
        <v>30289420.50263208</v>
      </c>
      <c r="D305" s="9" t="n">
        <v>1177068.665496856</v>
      </c>
      <c r="E305" s="9" t="n">
        <v>4934288.552286207</v>
      </c>
      <c r="F305" s="9" t="n">
        <v>7482142.65846832</v>
      </c>
      <c r="G305" s="9" t="n">
        <v>36400777.72041514</v>
      </c>
      <c r="H305" s="9" t="n">
        <v>28918635.06194682</v>
      </c>
      <c r="I305" s="9" t="n">
        <v>41229673.00477652</v>
      </c>
      <c r="J305" s="10" t="n">
        <v>0.7346510000000001</v>
      </c>
      <c r="K305" s="10" t="n">
        <v>0.03886071922024956</v>
      </c>
      <c r="L305" s="10" t="n">
        <v>0.1629046865342778</v>
      </c>
      <c r="M305" s="10" t="n">
        <v>0.2470216509364429</v>
      </c>
    </row>
    <row r="306">
      <c r="A306" s="4" t="inlineStr">
        <is>
          <t>Diversos</t>
        </is>
      </c>
      <c r="B306" s="5" t="n">
        <v>202502</v>
      </c>
      <c r="C306" s="6" t="n">
        <v>28748839.95441778</v>
      </c>
      <c r="D306" s="6" t="n">
        <v>1124395.378118592</v>
      </c>
      <c r="E306" s="6" t="n">
        <v>5036125.938614651</v>
      </c>
      <c r="F306" s="6" t="n">
        <v>6895049.777920322</v>
      </c>
      <c r="G306" s="6" t="n">
        <v>34909361.27115102</v>
      </c>
      <c r="H306" s="6" t="n">
        <v>28014311.4932307</v>
      </c>
      <c r="I306" s="6" t="n">
        <v>39790231.21398704</v>
      </c>
      <c r="J306" s="11" t="n">
        <v>0.72251</v>
      </c>
      <c r="K306" s="11" t="n">
        <v>0.03911098256143055</v>
      </c>
      <c r="L306" s="11" t="n">
        <v>0.1751766661402544</v>
      </c>
      <c r="M306" s="11" t="n">
        <v>0.239837495664265</v>
      </c>
    </row>
    <row r="307">
      <c r="A307" t="inlineStr">
        <is>
          <t>Diversos</t>
        </is>
      </c>
      <c r="B307" s="8" t="n">
        <v>202503</v>
      </c>
      <c r="C307" s="9" t="n">
        <v>28494206.34982698</v>
      </c>
      <c r="D307" s="9" t="n">
        <v>1112974.205294129</v>
      </c>
      <c r="E307" s="9" t="n">
        <v>4751106.935837031</v>
      </c>
      <c r="F307" s="9" t="n">
        <v>6643455.539969894</v>
      </c>
      <c r="G307" s="9" t="n">
        <v>34358287.49095815</v>
      </c>
      <c r="H307" s="9" t="n">
        <v>27714831.95098825</v>
      </c>
      <c r="I307" s="9" t="n">
        <v>39386014.9141998</v>
      </c>
      <c r="J307" s="10" t="n">
        <v>0.7234599999999999</v>
      </c>
      <c r="K307" s="10" t="n">
        <v>0.03905966678383682</v>
      </c>
      <c r="L307" s="10" t="n">
        <v>0.1667394023018957</v>
      </c>
      <c r="M307" s="10" t="n">
        <v>0.2331510995044869</v>
      </c>
    </row>
    <row r="308">
      <c r="A308" s="4" t="inlineStr">
        <is>
          <t>Diversos</t>
        </is>
      </c>
      <c r="B308" s="5" t="n">
        <v>202504</v>
      </c>
      <c r="C308" s="6" t="n">
        <v>30593075.70716237</v>
      </c>
      <c r="D308" s="6" t="n">
        <v>1188919.721009911</v>
      </c>
      <c r="E308" s="6" t="n">
        <v>5113667.301260349</v>
      </c>
      <c r="F308" s="6" t="n">
        <v>6584423.685096055</v>
      </c>
      <c r="G308" s="6" t="n">
        <v>36895662.72943264</v>
      </c>
      <c r="H308" s="6" t="n">
        <v>30311239.04433658</v>
      </c>
      <c r="I308" s="6" t="n">
        <v>42073736.06805161</v>
      </c>
      <c r="J308" s="11" t="n">
        <v>0.7271300000000001</v>
      </c>
      <c r="K308" s="11" t="n">
        <v>0.03886237959171802</v>
      </c>
      <c r="L308" s="11" t="n">
        <v>0.1671511341392572</v>
      </c>
      <c r="M308" s="11" t="n">
        <v>0.2152259468162767</v>
      </c>
    </row>
    <row r="309">
      <c r="A309" t="inlineStr">
        <is>
          <t>Diversos</t>
        </is>
      </c>
      <c r="B309" s="8" t="n">
        <v>202505</v>
      </c>
      <c r="C309" s="9" t="n">
        <v>26709133.05938945</v>
      </c>
      <c r="D309" s="9" t="n">
        <v>1135806.63033559</v>
      </c>
      <c r="E309" s="9" t="n">
        <v>3957215.797831478</v>
      </c>
      <c r="F309" s="9" t="n">
        <v>5441061.704913974</v>
      </c>
      <c r="G309" s="9" t="n">
        <v>31802155.48755652</v>
      </c>
      <c r="H309" s="9" t="n">
        <v>26361093.78264254</v>
      </c>
      <c r="I309" s="9" t="n">
        <v>40194331.16537163</v>
      </c>
      <c r="J309" s="10" t="n">
        <v>0.6645</v>
      </c>
      <c r="K309" s="10" t="n">
        <v>0.04252502796740171</v>
      </c>
      <c r="L309" s="10" t="n">
        <v>0.1481596496985641</v>
      </c>
      <c r="M309" s="10" t="n">
        <v>0.2037153992537095</v>
      </c>
    </row>
    <row r="310">
      <c r="A310" s="4" t="inlineStr">
        <is>
          <t>Diversos</t>
        </is>
      </c>
      <c r="B310" s="5" t="n">
        <v>202506</v>
      </c>
      <c r="C310" s="6" t="n">
        <v>24819389.05485627</v>
      </c>
      <c r="D310" s="6" t="n">
        <v>1097383.082161851</v>
      </c>
      <c r="E310" s="6" t="n">
        <v>3933395.012629628</v>
      </c>
      <c r="F310" s="6" t="n">
        <v>4940619.422447697</v>
      </c>
      <c r="G310" s="6" t="n">
        <v>29850167.14964776</v>
      </c>
      <c r="H310" s="6" t="n">
        <v>24909547.72720006</v>
      </c>
      <c r="I310" s="6" t="n">
        <v>37350472.61829387</v>
      </c>
      <c r="J310" s="11" t="n">
        <v>0.6645</v>
      </c>
      <c r="K310" s="11" t="n">
        <v>0.04421474999793083</v>
      </c>
      <c r="L310" s="11" t="n">
        <v>0.1584807347165543</v>
      </c>
      <c r="M310" s="11" t="n">
        <v>0.199062894397918</v>
      </c>
    </row>
    <row r="311">
      <c r="A311" t="inlineStr">
        <is>
          <t>Diversos</t>
        </is>
      </c>
      <c r="B311" s="8" t="n">
        <v>202507</v>
      </c>
      <c r="C311" s="9" t="n">
        <v>24306265.2761289</v>
      </c>
      <c r="D311" s="9" t="n">
        <v>1091675.526817893</v>
      </c>
      <c r="E311" s="9" t="n">
        <v>3318229.073563706</v>
      </c>
      <c r="F311" s="9" t="n">
        <v>4717431.145855417</v>
      </c>
      <c r="G311" s="9" t="n">
        <v>28716169.87651049</v>
      </c>
      <c r="H311" s="9" t="n">
        <v>23998738.73065508</v>
      </c>
      <c r="I311" s="9" t="n">
        <v>38632576.94901798</v>
      </c>
      <c r="J311" s="10" t="n">
        <v>0.629165</v>
      </c>
      <c r="K311" s="10" t="n">
        <v>0.04491333877977643</v>
      </c>
      <c r="L311" s="10" t="n">
        <v>0.1365174384409656</v>
      </c>
      <c r="M311" s="10" t="n">
        <v>0.1940829285068484</v>
      </c>
    </row>
    <row r="312">
      <c r="A312" s="4" t="inlineStr">
        <is>
          <t>Diversos</t>
        </is>
      </c>
      <c r="B312" s="5" t="n">
        <v>202508</v>
      </c>
      <c r="C312" s="6" t="n">
        <v>23342301.5261367</v>
      </c>
      <c r="D312" s="6" t="n">
        <v>1089616.792326448</v>
      </c>
      <c r="E312" s="6" t="n">
        <v>2616699.386437317</v>
      </c>
      <c r="F312" s="6" t="n">
        <v>4716774.574926989</v>
      </c>
      <c r="G312" s="6" t="n">
        <v>27048617.70490046</v>
      </c>
      <c r="H312" s="6" t="n">
        <v>22331843.12997347</v>
      </c>
      <c r="I312" s="6" t="n">
        <v>38559626.94040646</v>
      </c>
      <c r="J312" s="11" t="n">
        <v>0.605356</v>
      </c>
      <c r="K312" s="11" t="n">
        <v>0.04667992104833316</v>
      </c>
      <c r="L312" s="11" t="n">
        <v>0.1121011732072505</v>
      </c>
      <c r="M312" s="11" t="n">
        <v>0.2020698160224497</v>
      </c>
    </row>
    <row r="313">
      <c r="A313" t="inlineStr">
        <is>
          <t>Diversos</t>
        </is>
      </c>
      <c r="B313" s="8" t="n">
        <v>202509</v>
      </c>
      <c r="C313" s="9" t="n">
        <v>21114284.10347972</v>
      </c>
      <c r="D313" s="9" t="n">
        <v>1072612.258459052</v>
      </c>
      <c r="E313" s="9" t="n">
        <v>2540878.821929925</v>
      </c>
      <c r="F313" s="9" t="n">
        <v>4318758.448131829</v>
      </c>
      <c r="G313" s="9" t="n">
        <v>24727775.1838687</v>
      </c>
      <c r="H313" s="9" t="n">
        <v>20409016.73573687</v>
      </c>
      <c r="I313" s="9" t="n">
        <v>37957798.30509821</v>
      </c>
      <c r="J313" s="10" t="n">
        <v>0.556256818</v>
      </c>
      <c r="K313" s="10" t="n">
        <v>0.05080031381609955</v>
      </c>
      <c r="L313" s="10" t="n">
        <v>0.1203393309229545</v>
      </c>
      <c r="M313" s="10" t="n">
        <v>0.2045420260031492</v>
      </c>
    </row>
    <row r="314">
      <c r="A314" s="4" t="inlineStr">
        <is>
          <t>Diversos</t>
        </is>
      </c>
      <c r="B314" s="5" t="n">
        <v>202510</v>
      </c>
      <c r="C314" s="6" t="n">
        <v>21458259.98783612</v>
      </c>
      <c r="D314" s="6" t="n">
        <v>1019108.326874637</v>
      </c>
      <c r="E314" s="6" t="n">
        <v>2118578.81116924</v>
      </c>
      <c r="F314" s="6" t="n">
        <v>4503776.087213933</v>
      </c>
      <c r="G314" s="6" t="n">
        <v>24595947.12588</v>
      </c>
      <c r="H314" s="6" t="n">
        <v>20092171.03866607</v>
      </c>
      <c r="I314" s="6" t="n">
        <v>36064363.11293989</v>
      </c>
      <c r="J314" s="11" t="n">
        <v>0.5949989999999999</v>
      </c>
      <c r="K314" s="11" t="n">
        <v>0.0474925892151708</v>
      </c>
      <c r="L314" s="11" t="n">
        <v>0.09873022380986077</v>
      </c>
      <c r="M314" s="11" t="n">
        <v>0.2098854282577877</v>
      </c>
    </row>
    <row r="315">
      <c r="A315" t="inlineStr">
        <is>
          <t>Diversos</t>
        </is>
      </c>
      <c r="B315" s="8" t="n">
        <v>202511</v>
      </c>
      <c r="C315" s="9" t="n">
        <v>23221346.24247758</v>
      </c>
      <c r="D315" s="9" t="n">
        <v>999411.0088383356</v>
      </c>
      <c r="E315" s="9" t="n">
        <v>3089879.225265505</v>
      </c>
      <c r="F315" s="9" t="n">
        <v>4216867.152219422</v>
      </c>
      <c r="G315" s="9" t="n">
        <v>27310636.47658142</v>
      </c>
      <c r="H315" s="9" t="n">
        <v>23093769.324362</v>
      </c>
      <c r="I315" s="9" t="n">
        <v>35367242.45394465</v>
      </c>
      <c r="J315" s="10" t="n">
        <v>0.6565778</v>
      </c>
      <c r="K315" s="10" t="n">
        <v>0.04303846118146958</v>
      </c>
      <c r="L315" s="10" t="n">
        <v>0.1330620194454253</v>
      </c>
      <c r="M315" s="10" t="n">
        <v>0.1815944307529307</v>
      </c>
    </row>
    <row r="316">
      <c r="A316" s="4" t="inlineStr">
        <is>
          <t>Diversos</t>
        </is>
      </c>
      <c r="B316" s="5" t="n">
        <v>202512</v>
      </c>
      <c r="C316" s="6" t="n">
        <v>24704626.70924034</v>
      </c>
      <c r="D316" s="6" t="n">
        <v>1007184.14149267</v>
      </c>
      <c r="E316" s="6" t="n">
        <v>4449212.822079076</v>
      </c>
      <c r="F316" s="6" t="n">
        <v>5696647.089626832</v>
      </c>
      <c r="G316" s="6" t="n">
        <v>30161023.67281209</v>
      </c>
      <c r="H316" s="6" t="n">
        <v>24464376.58318526</v>
      </c>
      <c r="I316" s="6" t="n">
        <v>35642280.14381252</v>
      </c>
      <c r="J316" s="11" t="n">
        <v>0.693127</v>
      </c>
      <c r="K316" s="11" t="n">
        <v>0.04076904918850485</v>
      </c>
      <c r="L316" s="11" t="n">
        <v>0.180096338813123</v>
      </c>
      <c r="M316" s="11" t="n">
        <v>0.230590292121115</v>
      </c>
    </row>
    <row r="317">
      <c r="A317" t="inlineStr">
        <is>
          <t>Diversos</t>
        </is>
      </c>
      <c r="B317" s="8" t="n">
        <v>202601</v>
      </c>
      <c r="C317" s="9" t="n">
        <v>25915926.02855322</v>
      </c>
      <c r="D317" s="9" t="n">
        <v>1083838.75006458</v>
      </c>
      <c r="E317" s="9" t="n">
        <v>4501943.560599537</v>
      </c>
      <c r="F317" s="9" t="n">
        <v>6319650.450915896</v>
      </c>
      <c r="G317" s="9" t="n">
        <v>31501708.33921733</v>
      </c>
      <c r="H317" s="9" t="n">
        <v>25182057.88830144</v>
      </c>
      <c r="I317" s="9" t="n">
        <v>38355041.22268989</v>
      </c>
      <c r="J317" s="10" t="n">
        <v>0.675685</v>
      </c>
      <c r="K317" s="10" t="n">
        <v>0.04182133985374269</v>
      </c>
      <c r="L317" s="10" t="n">
        <v>0.1737133975316746</v>
      </c>
      <c r="M317" s="10" t="n">
        <v>0.2438520021994637</v>
      </c>
    </row>
    <row r="318">
      <c r="A318" s="4" t="inlineStr">
        <is>
          <t>Diversos</t>
        </is>
      </c>
      <c r="B318" s="5" t="n">
        <v>202602</v>
      </c>
      <c r="C318" s="6" t="n">
        <v>26199121.56652236</v>
      </c>
      <c r="D318" s="6" t="n">
        <v>1095682.366903051</v>
      </c>
      <c r="E318" s="6" t="n">
        <v>4551138.419665966</v>
      </c>
      <c r="F318" s="6" t="n">
        <v>6388708.249863625</v>
      </c>
      <c r="G318" s="6" t="n">
        <v>31845942.35309137</v>
      </c>
      <c r="H318" s="6" t="n">
        <v>25457234.10322775</v>
      </c>
      <c r="I318" s="6" t="n">
        <v>39207270.59838341</v>
      </c>
      <c r="J318" s="11" t="n">
        <v>0.668221</v>
      </c>
      <c r="K318" s="11" t="n">
        <v>0.04182133985374269</v>
      </c>
      <c r="L318" s="11" t="n">
        <v>0.1737133975316745</v>
      </c>
      <c r="M318" s="11" t="n">
        <v>0.2438520021994636</v>
      </c>
    </row>
    <row r="319">
      <c r="A319" t="inlineStr">
        <is>
          <t>Diversos</t>
        </is>
      </c>
      <c r="B319" s="8" t="n">
        <v>202603</v>
      </c>
      <c r="C319" s="9" t="n">
        <v>23102655.10454555</v>
      </c>
      <c r="D319" s="9" t="n">
        <v>902648.6845335056</v>
      </c>
      <c r="E319" s="9" t="n">
        <v>3258585.530426439</v>
      </c>
      <c r="F319" s="9" t="n">
        <v>5450734.257358356</v>
      </c>
      <c r="G319" s="9" t="n">
        <v>27263889.3195055</v>
      </c>
      <c r="H319" s="9" t="n">
        <v>21813155.06214714</v>
      </c>
      <c r="I319" s="9" t="n">
        <v>34400348.88449296</v>
      </c>
      <c r="J319" s="10" t="n">
        <v>0.671582</v>
      </c>
      <c r="K319" s="10" t="n">
        <v>0.03907120980029284</v>
      </c>
      <c r="L319" s="10" t="n">
        <v>0.1410480966659671</v>
      </c>
      <c r="M319" s="10" t="n">
        <v>0.2359354036448347</v>
      </c>
    </row>
    <row r="320">
      <c r="A320" s="4" t="inlineStr">
        <is>
          <t>Diversos</t>
        </is>
      </c>
      <c r="B320" s="5" t="n">
        <v>202604</v>
      </c>
      <c r="C320" s="6" t="n">
        <v>24176576.01094522</v>
      </c>
      <c r="D320" s="6" t="n">
        <v>946877.6910835316</v>
      </c>
      <c r="E320" s="6" t="n">
        <v>3231072.825838065</v>
      </c>
      <c r="F320" s="6" t="n">
        <v>6846701.460317822</v>
      </c>
      <c r="G320" s="6" t="n">
        <v>28354526.52786681</v>
      </c>
      <c r="H320" s="6" t="n">
        <v>21507825.067549</v>
      </c>
      <c r="I320" s="6" t="n">
        <v>36086057.60100485</v>
      </c>
      <c r="J320" s="11" t="n">
        <v>0.66997</v>
      </c>
      <c r="K320" s="11" t="n">
        <v>0.0391650865141061</v>
      </c>
      <c r="L320" s="11" t="n">
        <v>0.133644765262678</v>
      </c>
      <c r="M320" s="11" t="n">
        <v>0.2831956624965497</v>
      </c>
    </row>
    <row r="321">
      <c r="A321" t="inlineStr">
        <is>
          <t>Diversos</t>
        </is>
      </c>
      <c r="B321" s="8" t="n">
        <v>202605</v>
      </c>
      <c r="C321" s="9" t="n">
        <v>23166174.20199422</v>
      </c>
      <c r="D321" s="9" t="n">
        <v>892865.779897463</v>
      </c>
      <c r="E321" s="9" t="n">
        <v>3002195.62113252</v>
      </c>
      <c r="F321" s="9" t="n">
        <v>6825908.833282392</v>
      </c>
      <c r="G321" s="9" t="n">
        <v>27061235.6030242</v>
      </c>
      <c r="H321" s="9" t="n">
        <v>20235326.76974181</v>
      </c>
      <c r="I321" s="9" t="n">
        <v>34027520.5777764</v>
      </c>
      <c r="J321" s="10" t="n">
        <v>0.6808070000000001</v>
      </c>
      <c r="K321" s="10" t="n">
        <v>0.03854178821726214</v>
      </c>
      <c r="L321" s="10" t="n">
        <v>0.1295939327294742</v>
      </c>
      <c r="M321" s="10" t="n">
        <v>0.2946498102692673</v>
      </c>
    </row>
    <row r="322">
      <c r="A322" s="4" t="inlineStr">
        <is>
          <t>Incendio</t>
        </is>
      </c>
      <c r="B322" s="5" t="n">
        <v>202201</v>
      </c>
      <c r="C322" s="6" t="n">
        <v>48473193.85739373</v>
      </c>
      <c r="D322" s="6" t="n">
        <v>2637408.748192923</v>
      </c>
      <c r="E322" s="6" t="n">
        <v>3998393.838959124</v>
      </c>
      <c r="F322" s="6" t="n">
        <v>9246525.016251566</v>
      </c>
      <c r="G322" s="6" t="n">
        <v>55108996.44454578</v>
      </c>
      <c r="H322" s="6" t="n">
        <v>45862471.42829421</v>
      </c>
      <c r="I322" s="6" t="n">
        <v>69231031.95497055</v>
      </c>
      <c r="J322" s="11" t="n">
        <v>0.7001656986555076</v>
      </c>
      <c r="K322" s="11" t="n">
        <v>0.05440963423932985</v>
      </c>
      <c r="L322" s="11" t="n">
        <v>0.08248670080874483</v>
      </c>
      <c r="M322" s="11" t="n">
        <v>0.1907554316196801</v>
      </c>
    </row>
    <row r="323">
      <c r="A323" t="inlineStr">
        <is>
          <t>Incendio</t>
        </is>
      </c>
      <c r="B323" s="8" t="n">
        <v>202202</v>
      </c>
      <c r="C323" s="9" t="n">
        <v>42967065.90160419</v>
      </c>
      <c r="D323" s="9" t="n">
        <v>2658972.642925365</v>
      </c>
      <c r="E323" s="9" t="n">
        <v>4557126.520378925</v>
      </c>
      <c r="F323" s="9" t="n">
        <v>9184473.87287293</v>
      </c>
      <c r="G323" s="9" t="n">
        <v>50183165.06490848</v>
      </c>
      <c r="H323" s="9" t="n">
        <v>40998691.19203556</v>
      </c>
      <c r="I323" s="9" t="n">
        <v>69797095.30541222</v>
      </c>
      <c r="J323" s="10" t="n">
        <v>0.615599627944294</v>
      </c>
      <c r="K323" s="10" t="n">
        <v>0.06188397059772451</v>
      </c>
      <c r="L323" s="10" t="n">
        <v>0.1060609195613886</v>
      </c>
      <c r="M323" s="10" t="n">
        <v>0.2137561334512726</v>
      </c>
    </row>
    <row r="324">
      <c r="A324" s="4" t="inlineStr">
        <is>
          <t>Incendio</t>
        </is>
      </c>
      <c r="B324" s="5" t="n">
        <v>202203</v>
      </c>
      <c r="C324" s="6" t="n">
        <v>44763197.12735847</v>
      </c>
      <c r="D324" s="6" t="n">
        <v>2805674.84402572</v>
      </c>
      <c r="E324" s="6" t="n">
        <v>2751399.578706054</v>
      </c>
      <c r="F324" s="6" t="n">
        <v>8569506.14144014</v>
      </c>
      <c r="G324" s="6" t="n">
        <v>50320271.55009024</v>
      </c>
      <c r="H324" s="6" t="n">
        <v>41750765.4086501</v>
      </c>
      <c r="I324" s="6" t="n">
        <v>73647960.12902994</v>
      </c>
      <c r="J324" s="11" t="n">
        <v>0.6077995513919751</v>
      </c>
      <c r="K324" s="11" t="n">
        <v>0.06267816027624491</v>
      </c>
      <c r="L324" s="11" t="n">
        <v>0.06146566276036722</v>
      </c>
      <c r="M324" s="11" t="n">
        <v>0.1914408865179697</v>
      </c>
    </row>
    <row r="325">
      <c r="A325" t="inlineStr">
        <is>
          <t>Incendio</t>
        </is>
      </c>
      <c r="B325" s="8" t="n">
        <v>202204</v>
      </c>
      <c r="C325" s="9" t="n">
        <v>46814565.20818076</v>
      </c>
      <c r="D325" s="9" t="n">
        <v>2983914.522764472</v>
      </c>
      <c r="E325" s="9" t="n">
        <v>4716140.858085159</v>
      </c>
      <c r="F325" s="9" t="n">
        <v>8954259.061306542</v>
      </c>
      <c r="G325" s="9" t="n">
        <v>54514620.5890304</v>
      </c>
      <c r="H325" s="9" t="n">
        <v>45560361.52772386</v>
      </c>
      <c r="I325" s="9" t="n">
        <v>78326631.65279417</v>
      </c>
      <c r="J325" s="10" t="n">
        <v>0.5976838812078642</v>
      </c>
      <c r="K325" s="10" t="n">
        <v>0.06373902031334125</v>
      </c>
      <c r="L325" s="10" t="n">
        <v>0.1007408877368153</v>
      </c>
      <c r="M325" s="10" t="n">
        <v>0.1912707940677787</v>
      </c>
    </row>
    <row r="326">
      <c r="A326" s="4" t="inlineStr">
        <is>
          <t>Incendio</t>
        </is>
      </c>
      <c r="B326" s="5" t="n">
        <v>202205</v>
      </c>
      <c r="C326" s="6" t="n">
        <v>48155411.05077341</v>
      </c>
      <c r="D326" s="6" t="n">
        <v>3118898.412029158</v>
      </c>
      <c r="E326" s="6" t="n">
        <v>4558968.01452846</v>
      </c>
      <c r="F326" s="6" t="n">
        <v>8489860.251454115</v>
      </c>
      <c r="G326" s="6" t="n">
        <v>55833277.47733104</v>
      </c>
      <c r="H326" s="6" t="n">
        <v>47343417.22587692</v>
      </c>
      <c r="I326" s="6" t="n">
        <v>81869961.9076142</v>
      </c>
      <c r="J326" s="11" t="n">
        <v>0.5881938861180145</v>
      </c>
      <c r="K326" s="11" t="n">
        <v>0.06476735104058605</v>
      </c>
      <c r="L326" s="11" t="n">
        <v>0.09467197797816823</v>
      </c>
      <c r="M326" s="11" t="n">
        <v>0.1763012726130133</v>
      </c>
    </row>
    <row r="327">
      <c r="A327" t="inlineStr">
        <is>
          <t>Incendio</t>
        </is>
      </c>
      <c r="B327" s="8" t="n">
        <v>202206</v>
      </c>
      <c r="C327" s="9" t="n">
        <v>57572528.11182351</v>
      </c>
      <c r="D327" s="9" t="n">
        <v>3146300.88948265</v>
      </c>
      <c r="E327" s="9" t="n">
        <v>5714659.386748645</v>
      </c>
      <c r="F327" s="9" t="n">
        <v>11574732.78868455</v>
      </c>
      <c r="G327" s="9" t="n">
        <v>66433488.3880548</v>
      </c>
      <c r="H327" s="9" t="n">
        <v>54858755.59937025</v>
      </c>
      <c r="I327" s="9" t="n">
        <v>82589263.61596212</v>
      </c>
      <c r="J327" s="10" t="n">
        <v>0.6970945809558762</v>
      </c>
      <c r="K327" s="10" t="n">
        <v>0.05464934392617897</v>
      </c>
      <c r="L327" s="10" t="n">
        <v>0.09926017797323444</v>
      </c>
      <c r="M327" s="10" t="n">
        <v>0.2010461094604508</v>
      </c>
    </row>
    <row r="328">
      <c r="A328" s="4" t="inlineStr">
        <is>
          <t>Incendio</t>
        </is>
      </c>
      <c r="B328" s="5" t="n">
        <v>202207</v>
      </c>
      <c r="C328" s="6" t="n">
        <v>57264165.99697484</v>
      </c>
      <c r="D328" s="6" t="n">
        <v>2631164.782493395</v>
      </c>
      <c r="E328" s="6" t="n">
        <v>2252993.165411097</v>
      </c>
      <c r="F328" s="6" t="n">
        <v>11465827.99495153</v>
      </c>
      <c r="G328" s="6" t="n">
        <v>62148323.94487934</v>
      </c>
      <c r="H328" s="6" t="n">
        <v>50682495.94992781</v>
      </c>
      <c r="I328" s="6" t="n">
        <v>74472719.61560909</v>
      </c>
      <c r="J328" s="11" t="n">
        <v>0.7689280892727405</v>
      </c>
      <c r="K328" s="11" t="n">
        <v>0.04594784079510377</v>
      </c>
      <c r="L328" s="11" t="n">
        <v>0.0393438571257655</v>
      </c>
      <c r="M328" s="11" t="n">
        <v>0.2002269271774123</v>
      </c>
    </row>
    <row r="329">
      <c r="A329" t="inlineStr">
        <is>
          <t>Incendio</t>
        </is>
      </c>
      <c r="B329" s="8" t="n">
        <v>202208</v>
      </c>
      <c r="C329" s="9" t="n">
        <v>52969094.97746138</v>
      </c>
      <c r="D329" s="9" t="n">
        <v>2659275.651832877</v>
      </c>
      <c r="E329" s="9" t="n">
        <v>2436848.526549902</v>
      </c>
      <c r="F329" s="9" t="n">
        <v>11720698.90434489</v>
      </c>
      <c r="G329" s="9" t="n">
        <v>58065219.15584416</v>
      </c>
      <c r="H329" s="9" t="n">
        <v>46344520.25149927</v>
      </c>
      <c r="I329" s="9" t="n">
        <v>75268364.37363349</v>
      </c>
      <c r="J329" s="10" t="n">
        <v>0.7037364956480501</v>
      </c>
      <c r="K329" s="10" t="n">
        <v>0.05020428710296848</v>
      </c>
      <c r="L329" s="10" t="n">
        <v>0.04600510028700309</v>
      </c>
      <c r="M329" s="10" t="n">
        <v>0.2212742904014522</v>
      </c>
    </row>
    <row r="330">
      <c r="A330" s="4" t="inlineStr">
        <is>
          <t>Incendio</t>
        </is>
      </c>
      <c r="B330" s="5" t="n">
        <v>202209</v>
      </c>
      <c r="C330" s="6" t="n">
        <v>51852654.25520815</v>
      </c>
      <c r="D330" s="6" t="n">
        <v>2965594.166074596</v>
      </c>
      <c r="E330" s="6" t="n">
        <v>1675184.331076012</v>
      </c>
      <c r="F330" s="6" t="n">
        <v>13414944.07589767</v>
      </c>
      <c r="G330" s="6" t="n">
        <v>56493432.75235876</v>
      </c>
      <c r="H330" s="6" t="n">
        <v>43078488.67646109</v>
      </c>
      <c r="I330" s="6" t="n">
        <v>83938447.45215976</v>
      </c>
      <c r="J330" s="11" t="n">
        <v>0.6177461679257443</v>
      </c>
      <c r="K330" s="11" t="n">
        <v>0.05719271672147291</v>
      </c>
      <c r="L330" s="11" t="n">
        <v>0.03230662644251724</v>
      </c>
      <c r="M330" s="11" t="n">
        <v>0.2587127750466169</v>
      </c>
    </row>
    <row r="331">
      <c r="A331" t="inlineStr">
        <is>
          <t>Incendio</t>
        </is>
      </c>
      <c r="B331" s="8" t="n">
        <v>202210</v>
      </c>
      <c r="C331" s="9" t="n">
        <v>48419264.04193778</v>
      </c>
      <c r="D331" s="9" t="n">
        <v>2772304.999419494</v>
      </c>
      <c r="E331" s="9" t="n">
        <v>1863621.251066364</v>
      </c>
      <c r="F331" s="9" t="n">
        <v>12160308.43147251</v>
      </c>
      <c r="G331" s="9" t="n">
        <v>53055190.29242364</v>
      </c>
      <c r="H331" s="9" t="n">
        <v>40894881.86095113</v>
      </c>
      <c r="I331" s="9" t="n">
        <v>78467562.86805663</v>
      </c>
      <c r="J331" s="10" t="n">
        <v>0.6170608882469674</v>
      </c>
      <c r="K331" s="10" t="n">
        <v>0.05725623993413643</v>
      </c>
      <c r="L331" s="10" t="n">
        <v>0.03848925191122712</v>
      </c>
      <c r="M331" s="10" t="n">
        <v>0.2511460814633615</v>
      </c>
    </row>
    <row r="332">
      <c r="A332" s="4" t="inlineStr">
        <is>
          <t>Incendio</t>
        </is>
      </c>
      <c r="B332" s="5" t="n">
        <v>202211</v>
      </c>
      <c r="C332" s="6" t="n">
        <v>45544861.85745879</v>
      </c>
      <c r="D332" s="6" t="n">
        <v>2694448.617937549</v>
      </c>
      <c r="E332" s="6" t="n">
        <v>2254701.78681486</v>
      </c>
      <c r="F332" s="6" t="n">
        <v>11561548.50917491</v>
      </c>
      <c r="G332" s="6" t="n">
        <v>50494012.2622112</v>
      </c>
      <c r="H332" s="6" t="n">
        <v>38932463.75303629</v>
      </c>
      <c r="I332" s="6" t="n">
        <v>76263906.25522931</v>
      </c>
      <c r="J332" s="11" t="n">
        <v>0.597200747953241</v>
      </c>
      <c r="K332" s="11" t="n">
        <v>0.05916032035337669</v>
      </c>
      <c r="L332" s="11" t="n">
        <v>0.04950507466399554</v>
      </c>
      <c r="M332" s="11" t="n">
        <v>0.2538496778266436</v>
      </c>
    </row>
    <row r="333">
      <c r="A333" t="inlineStr">
        <is>
          <t>Incendio</t>
        </is>
      </c>
      <c r="B333" s="8" t="n">
        <v>202212</v>
      </c>
      <c r="C333" s="9" t="n">
        <v>47360435.70626739</v>
      </c>
      <c r="D333" s="9" t="n">
        <v>2805134.323308849</v>
      </c>
      <c r="E333" s="9" t="n">
        <v>2283515.91324985</v>
      </c>
      <c r="F333" s="9" t="n">
        <v>11678978.18021518</v>
      </c>
      <c r="G333" s="9" t="n">
        <v>52449085.94282609</v>
      </c>
      <c r="H333" s="9" t="n">
        <v>40770107.76261091</v>
      </c>
      <c r="I333" s="9" t="n">
        <v>79396734.07371768</v>
      </c>
      <c r="J333" s="10" t="n">
        <v>0.5965035748484885</v>
      </c>
      <c r="K333" s="10" t="n">
        <v>0.05922948726034702</v>
      </c>
      <c r="L333" s="10" t="n">
        <v>0.04821568634656086</v>
      </c>
      <c r="M333" s="10" t="n">
        <v>0.2465977773652462</v>
      </c>
    </row>
    <row r="334">
      <c r="A334" s="4" t="inlineStr">
        <is>
          <t>Incendio</t>
        </is>
      </c>
      <c r="B334" s="5" t="n">
        <v>202301</v>
      </c>
      <c r="C334" s="6" t="n">
        <v>49930751.22830299</v>
      </c>
      <c r="D334" s="6" t="n">
        <v>2410608.036519986</v>
      </c>
      <c r="E334" s="6" t="n">
        <v>2590295.474812889</v>
      </c>
      <c r="F334" s="6" t="n">
        <v>11513783.65677584</v>
      </c>
      <c r="G334" s="6" t="n">
        <v>54931654.73963586</v>
      </c>
      <c r="H334" s="6" t="n">
        <v>43417871.08286002</v>
      </c>
      <c r="I334" s="6" t="n">
        <v>83124525.253491</v>
      </c>
      <c r="J334" s="11" t="n">
        <v>0.6006741220600961</v>
      </c>
      <c r="K334" s="11" t="n">
        <v>0.04827902599537787</v>
      </c>
      <c r="L334" s="11" t="n">
        <v>0.05187775891792697</v>
      </c>
      <c r="M334" s="11" t="n">
        <v>0.2305950416033258</v>
      </c>
    </row>
    <row r="335">
      <c r="A335" t="inlineStr">
        <is>
          <t>Incendio</t>
        </is>
      </c>
      <c r="B335" s="8" t="n">
        <v>202302</v>
      </c>
      <c r="C335" s="9" t="n">
        <v>47049452.54484238</v>
      </c>
      <c r="D335" s="9" t="n">
        <v>2240075.41868346</v>
      </c>
      <c r="E335" s="9" t="n">
        <v>2442229.627891494</v>
      </c>
      <c r="F335" s="9" t="n">
        <v>10548500.70121635</v>
      </c>
      <c r="G335" s="9" t="n">
        <v>51731757.59141733</v>
      </c>
      <c r="H335" s="9" t="n">
        <v>41183256.89020098</v>
      </c>
      <c r="I335" s="9" t="n">
        <v>77244078.96156003</v>
      </c>
      <c r="J335" s="10" t="n">
        <v>0.609101088100956</v>
      </c>
      <c r="K335" s="10" t="n">
        <v>0.04761108360503165</v>
      </c>
      <c r="L335" s="10" t="n">
        <v>0.05190771615384534</v>
      </c>
      <c r="M335" s="10" t="n">
        <v>0.2242002856709688</v>
      </c>
    </row>
    <row r="336">
      <c r="A336" s="4" t="inlineStr">
        <is>
          <t>Incendio</t>
        </is>
      </c>
      <c r="B336" s="5" t="n">
        <v>202303</v>
      </c>
      <c r="C336" s="6" t="n">
        <v>52153184.71873075</v>
      </c>
      <c r="D336" s="6" t="n">
        <v>2517127.687415719</v>
      </c>
      <c r="E336" s="6" t="n">
        <v>2504531.697382368</v>
      </c>
      <c r="F336" s="6" t="n">
        <v>13464260.39644619</v>
      </c>
      <c r="G336" s="6" t="n">
        <v>57174844.10352884</v>
      </c>
      <c r="H336" s="6" t="n">
        <v>43710583.70708264</v>
      </c>
      <c r="I336" s="6" t="n">
        <v>86797756.4301884</v>
      </c>
      <c r="J336" s="11" t="n">
        <v>0.600858672662555</v>
      </c>
      <c r="K336" s="11" t="n">
        <v>0.0482641223348283</v>
      </c>
      <c r="L336" s="11" t="n">
        <v>0.04802260323870249</v>
      </c>
      <c r="M336" s="11" t="n">
        <v>0.2581675590677883</v>
      </c>
    </row>
    <row r="337">
      <c r="A337" t="inlineStr">
        <is>
          <t>Incendio</t>
        </is>
      </c>
      <c r="B337" s="8" t="n">
        <v>202304</v>
      </c>
      <c r="C337" s="9" t="n">
        <v>53768756.77610879</v>
      </c>
      <c r="D337" s="9" t="n">
        <v>2641310.202243693</v>
      </c>
      <c r="E337" s="9" t="n">
        <v>2446072.93447927</v>
      </c>
      <c r="F337" s="9" t="n">
        <v>13293967.8216831</v>
      </c>
      <c r="G337" s="9" t="n">
        <v>58856139.91283175</v>
      </c>
      <c r="H337" s="9" t="n">
        <v>45562172.09114865</v>
      </c>
      <c r="I337" s="9" t="n">
        <v>91079816.18636197</v>
      </c>
      <c r="J337" s="10" t="n">
        <v>0.5903476645812551</v>
      </c>
      <c r="K337" s="10" t="n">
        <v>0.04912351262354858</v>
      </c>
      <c r="L337" s="10" t="n">
        <v>0.04549245846737041</v>
      </c>
      <c r="M337" s="10" t="n">
        <v>0.2472433550405251</v>
      </c>
    </row>
    <row r="338">
      <c r="A338" s="4" t="inlineStr">
        <is>
          <t>Incendio</t>
        </is>
      </c>
      <c r="B338" s="5" t="n">
        <v>202305</v>
      </c>
      <c r="C338" s="6" t="n">
        <v>49200096.06469704</v>
      </c>
      <c r="D338" s="6" t="n">
        <v>2458122.150989903</v>
      </c>
      <c r="E338" s="6" t="n">
        <v>2220626.606967199</v>
      </c>
      <c r="F338" s="6" t="n">
        <v>12664887.96682609</v>
      </c>
      <c r="G338" s="6" t="n">
        <v>53878844.82265414</v>
      </c>
      <c r="H338" s="6" t="n">
        <v>41213956.85582805</v>
      </c>
      <c r="I338" s="6" t="n">
        <v>84763029.70906182</v>
      </c>
      <c r="J338" s="11" t="n">
        <v>0.580442868</v>
      </c>
      <c r="K338" s="11" t="n">
        <v>0.04996173478518267</v>
      </c>
      <c r="L338" s="11" t="n">
        <v>0.04513459900661828</v>
      </c>
      <c r="M338" s="11" t="n">
        <v>0.2574159194764994</v>
      </c>
    </row>
    <row r="339">
      <c r="A339" t="inlineStr">
        <is>
          <t>Incendio</t>
        </is>
      </c>
      <c r="B339" s="8" t="n">
        <v>202306</v>
      </c>
      <c r="C339" s="9" t="n">
        <v>57896521.87478089</v>
      </c>
      <c r="D339" s="9" t="n">
        <v>2532552.993175816</v>
      </c>
      <c r="E339" s="9" t="n">
        <v>3730299.712542943</v>
      </c>
      <c r="F339" s="9" t="n">
        <v>14351817.16971652</v>
      </c>
      <c r="G339" s="9" t="n">
        <v>64159374.58049966</v>
      </c>
      <c r="H339" s="9" t="n">
        <v>49807557.41078314</v>
      </c>
      <c r="I339" s="9" t="n">
        <v>87329625.5861994</v>
      </c>
      <c r="J339" s="10" t="n">
        <v>0.6629654196517042</v>
      </c>
      <c r="K339" s="10" t="n">
        <v>0.04374274846169937</v>
      </c>
      <c r="L339" s="10" t="n">
        <v>0.06443046303560114</v>
      </c>
      <c r="M339" s="10" t="n">
        <v>0.2478873808819941</v>
      </c>
    </row>
    <row r="340">
      <c r="A340" s="4" t="inlineStr">
        <is>
          <t>Incendio</t>
        </is>
      </c>
      <c r="B340" s="5" t="n">
        <v>202307</v>
      </c>
      <c r="C340" s="6" t="n">
        <v>54367339.01231472</v>
      </c>
      <c r="D340" s="6" t="n">
        <v>2340796.30498919</v>
      </c>
      <c r="E340" s="6" t="n">
        <v>3900861.823795703</v>
      </c>
      <c r="F340" s="6" t="n">
        <v>10897862.90894758</v>
      </c>
      <c r="G340" s="6" t="n">
        <v>60608997.14109961</v>
      </c>
      <c r="H340" s="6" t="n">
        <v>49711134.23215203</v>
      </c>
      <c r="I340" s="6" t="n">
        <v>81419556.64426991</v>
      </c>
      <c r="J340" s="11" t="n">
        <v>0.667743</v>
      </c>
      <c r="K340" s="11" t="n">
        <v>0.04305519356867876</v>
      </c>
      <c r="L340" s="11" t="n">
        <v>0.07175009655911466</v>
      </c>
      <c r="M340" s="11" t="n">
        <v>0.2004487088558648</v>
      </c>
    </row>
    <row r="341">
      <c r="A341" t="inlineStr">
        <is>
          <t>Incendio</t>
        </is>
      </c>
      <c r="B341" s="8" t="n">
        <v>202308</v>
      </c>
      <c r="C341" s="9" t="n">
        <v>57473685.42204137</v>
      </c>
      <c r="D341" s="9" t="n">
        <v>2511960.029199306</v>
      </c>
      <c r="E341" s="9" t="n">
        <v>2438914.98545898</v>
      </c>
      <c r="F341" s="9" t="n">
        <v>13462674.20141658</v>
      </c>
      <c r="G341" s="9" t="n">
        <v>62424560.43669966</v>
      </c>
      <c r="H341" s="9" t="n">
        <v>48961886.23528308</v>
      </c>
      <c r="I341" s="9" t="n">
        <v>95709590.48277542</v>
      </c>
      <c r="J341" s="10" t="n">
        <v>0.6005007975912795</v>
      </c>
      <c r="K341" s="10" t="n">
        <v>0.04370626332300521</v>
      </c>
      <c r="L341" s="10" t="n">
        <v>0.04243533310156664</v>
      </c>
      <c r="M341" s="10" t="n">
        <v>0.2342406634019957</v>
      </c>
    </row>
    <row r="342">
      <c r="A342" s="4" t="inlineStr">
        <is>
          <t>Incendio</t>
        </is>
      </c>
      <c r="B342" s="5" t="n">
        <v>202309</v>
      </c>
      <c r="C342" s="6" t="n">
        <v>54073274.73017403</v>
      </c>
      <c r="D342" s="6" t="n">
        <v>2600664.396743153</v>
      </c>
      <c r="E342" s="6" t="n">
        <v>2562861.725164822</v>
      </c>
      <c r="F342" s="6" t="n">
        <v>14489874.34401161</v>
      </c>
      <c r="G342" s="6" t="n">
        <v>59236800.85208201</v>
      </c>
      <c r="H342" s="6" t="n">
        <v>44746926.5080704</v>
      </c>
      <c r="I342" s="6" t="n">
        <v>89678238.9842836</v>
      </c>
      <c r="J342" s="11" t="n">
        <v>0.6029698547007658</v>
      </c>
      <c r="K342" s="11" t="n">
        <v>0.04809518953162139</v>
      </c>
      <c r="L342" s="11" t="n">
        <v>0.04739608869545109</v>
      </c>
      <c r="M342" s="11" t="n">
        <v>0.2679673908472563</v>
      </c>
    </row>
    <row r="343">
      <c r="A343" t="inlineStr">
        <is>
          <t>Incendio</t>
        </is>
      </c>
      <c r="B343" s="8" t="n">
        <v>202310</v>
      </c>
      <c r="C343" s="9" t="n">
        <v>53847947.15819256</v>
      </c>
      <c r="D343" s="9" t="n">
        <v>2666386.507447782</v>
      </c>
      <c r="E343" s="9" t="n">
        <v>2817666.850295415</v>
      </c>
      <c r="F343" s="9" t="n">
        <v>13912700.9847161</v>
      </c>
      <c r="G343" s="9" t="n">
        <v>59332000.51593576</v>
      </c>
      <c r="H343" s="9" t="n">
        <v>45419299.53121966</v>
      </c>
      <c r="I343" s="9" t="n">
        <v>91944598.13236476</v>
      </c>
      <c r="J343" s="10" t="n">
        <v>0.5856564523852971</v>
      </c>
      <c r="K343" s="10" t="n">
        <v>0.04951695743599228</v>
      </c>
      <c r="L343" s="10" t="n">
        <v>0.05232635595221067</v>
      </c>
      <c r="M343" s="10" t="n">
        <v>0.2583701277198899</v>
      </c>
    </row>
    <row r="344">
      <c r="A344" s="4" t="inlineStr">
        <is>
          <t>Incendio</t>
        </is>
      </c>
      <c r="B344" s="5" t="n">
        <v>202311</v>
      </c>
      <c r="C344" s="6" t="n">
        <v>61308004.95361557</v>
      </c>
      <c r="D344" s="6" t="n">
        <v>3141235.639806065</v>
      </c>
      <c r="E344" s="6" t="n">
        <v>2613766.48473311</v>
      </c>
      <c r="F344" s="6" t="n">
        <v>17433416.78063874</v>
      </c>
      <c r="G344" s="6" t="n">
        <v>67063007.07815474</v>
      </c>
      <c r="H344" s="6" t="n">
        <v>49629590.297516</v>
      </c>
      <c r="I344" s="6" t="n">
        <v>108318706.0002931</v>
      </c>
      <c r="J344" s="11" t="n">
        <v>0.5659964674379482</v>
      </c>
      <c r="K344" s="11" t="n">
        <v>0.05123695742803345</v>
      </c>
      <c r="L344" s="11" t="n">
        <v>0.04263336389286577</v>
      </c>
      <c r="M344" s="11" t="n">
        <v>0.2843579202068069</v>
      </c>
    </row>
    <row r="345">
      <c r="A345" t="inlineStr">
        <is>
          <t>Incendio</t>
        </is>
      </c>
      <c r="B345" s="8" t="n">
        <v>202312</v>
      </c>
      <c r="C345" s="9" t="n">
        <v>67816715.85055344</v>
      </c>
      <c r="D345" s="9" t="n">
        <v>3418824.877111501</v>
      </c>
      <c r="E345" s="9" t="n">
        <v>3698337.969304398</v>
      </c>
      <c r="F345" s="9" t="n">
        <v>18889599.7889972</v>
      </c>
      <c r="G345" s="9" t="n">
        <v>74933878.69696933</v>
      </c>
      <c r="H345" s="9" t="n">
        <v>56044278.90797213</v>
      </c>
      <c r="I345" s="9" t="n">
        <v>118097690.8752038</v>
      </c>
      <c r="J345" s="10" t="n">
        <v>0.574242522</v>
      </c>
      <c r="K345" s="10" t="n">
        <v>0.05041271660287278</v>
      </c>
      <c r="L345" s="10" t="n">
        <v>0.0545343124172271</v>
      </c>
      <c r="M345" s="10" t="n">
        <v>0.2785389936991921</v>
      </c>
    </row>
    <row r="346">
      <c r="A346" s="4" t="inlineStr">
        <is>
          <t>Incendio</t>
        </is>
      </c>
      <c r="B346" s="5" t="n">
        <v>202401</v>
      </c>
      <c r="C346" s="6" t="n">
        <v>62399486.18854181</v>
      </c>
      <c r="D346" s="6" t="n">
        <v>3055857.931199514</v>
      </c>
      <c r="E346" s="6" t="n">
        <v>3866961.257412336</v>
      </c>
      <c r="F346" s="6" t="n">
        <v>17199020.57127516</v>
      </c>
      <c r="G346" s="6" t="n">
        <v>69322305.37715365</v>
      </c>
      <c r="H346" s="6" t="n">
        <v>52123284.80587849</v>
      </c>
      <c r="I346" s="6" t="n">
        <v>108180312.7347685</v>
      </c>
      <c r="J346" s="11" t="n">
        <v>0.57681</v>
      </c>
      <c r="K346" s="11" t="n">
        <v>0.04897248547794374</v>
      </c>
      <c r="L346" s="11" t="n">
        <v>0.06197104325071209</v>
      </c>
      <c r="M346" s="11" t="n">
        <v>0.2756275992290679</v>
      </c>
    </row>
    <row r="347">
      <c r="A347" t="inlineStr">
        <is>
          <t>Incendio</t>
        </is>
      </c>
      <c r="B347" s="8" t="n">
        <v>202402</v>
      </c>
      <c r="C347" s="9" t="n">
        <v>59093666.54743965</v>
      </c>
      <c r="D347" s="9" t="n">
        <v>2864984.345883443</v>
      </c>
      <c r="E347" s="9" t="n">
        <v>3885657.135737028</v>
      </c>
      <c r="F347" s="9" t="n">
        <v>15816710.52989568</v>
      </c>
      <c r="G347" s="9" t="n">
        <v>65844308.02906013</v>
      </c>
      <c r="H347" s="9" t="n">
        <v>50027597.49916444</v>
      </c>
      <c r="I347" s="9" t="n">
        <v>101423107.6340476</v>
      </c>
      <c r="J347" s="10" t="n">
        <v>0.582645</v>
      </c>
      <c r="K347" s="10" t="n">
        <v>0.04848208806917522</v>
      </c>
      <c r="L347" s="10" t="n">
        <v>0.06575420620782892</v>
      </c>
      <c r="M347" s="10" t="n">
        <v>0.2676549189446255</v>
      </c>
    </row>
    <row r="348">
      <c r="A348" s="4" t="inlineStr">
        <is>
          <t>Incendio</t>
        </is>
      </c>
      <c r="B348" s="5" t="n">
        <v>202403</v>
      </c>
      <c r="C348" s="6" t="n">
        <v>57787891.35275471</v>
      </c>
      <c r="D348" s="6" t="n">
        <v>2784515.789886793</v>
      </c>
      <c r="E348" s="6" t="n">
        <v>3605922.096905661</v>
      </c>
      <c r="F348" s="6" t="n">
        <v>14827257.88679245</v>
      </c>
      <c r="G348" s="6" t="n">
        <v>64178329.23954717</v>
      </c>
      <c r="H348" s="6" t="n">
        <v>49351071.35275472</v>
      </c>
      <c r="I348" s="6" t="n">
        <v>98575459.03954883</v>
      </c>
      <c r="J348" s="11" t="n">
        <v>0.58623</v>
      </c>
      <c r="K348" s="11" t="n">
        <v>0.04818510806856178</v>
      </c>
      <c r="L348" s="11" t="n">
        <v>0.06239926760597692</v>
      </c>
      <c r="M348" s="11" t="n">
        <v>0.2565807047064998</v>
      </c>
    </row>
    <row r="349">
      <c r="A349" t="inlineStr">
        <is>
          <t>Incendio</t>
        </is>
      </c>
      <c r="B349" s="8" t="n">
        <v>202404</v>
      </c>
      <c r="C349" s="9" t="n">
        <v>67972323.46264334</v>
      </c>
      <c r="D349" s="9" t="n">
        <v>3284545.265315179</v>
      </c>
      <c r="E349" s="9" t="n">
        <v>4079571.950977416</v>
      </c>
      <c r="F349" s="9" t="n">
        <v>18756706.71579046</v>
      </c>
      <c r="G349" s="9" t="n">
        <v>75336440.67893593</v>
      </c>
      <c r="H349" s="9" t="n">
        <v>56579733.96314546</v>
      </c>
      <c r="I349" s="9" t="n">
        <v>116275485.7549751</v>
      </c>
      <c r="J349" s="10" t="n">
        <v>0.58458</v>
      </c>
      <c r="K349" s="10" t="n">
        <v>0.04832180361055805</v>
      </c>
      <c r="L349" s="10" t="n">
        <v>0.06001813301585156</v>
      </c>
      <c r="M349" s="10" t="n">
        <v>0.275946234589125</v>
      </c>
    </row>
    <row r="350">
      <c r="A350" s="4" t="inlineStr">
        <is>
          <t>Incendio</t>
        </is>
      </c>
      <c r="B350" s="5" t="n">
        <v>202405</v>
      </c>
      <c r="C350" s="6" t="n">
        <v>68214682.3788027</v>
      </c>
      <c r="D350" s="6" t="n">
        <v>3312032.768944261</v>
      </c>
      <c r="E350" s="6" t="n">
        <v>3723820.700486793</v>
      </c>
      <c r="F350" s="6" t="n">
        <v>19300844.94878656</v>
      </c>
      <c r="G350" s="6" t="n">
        <v>75250535.84823376</v>
      </c>
      <c r="H350" s="6" t="n">
        <v>55949690.8994472</v>
      </c>
      <c r="I350" s="6" t="n">
        <v>117249664.6191971</v>
      </c>
      <c r="J350" s="11" t="n">
        <v>0.58179</v>
      </c>
      <c r="K350" s="11" t="n">
        <v>0.04855307762854078</v>
      </c>
      <c r="L350" s="11" t="n">
        <v>0.05458972424452639</v>
      </c>
      <c r="M350" s="11" t="n">
        <v>0.2829426785513287</v>
      </c>
    </row>
    <row r="351">
      <c r="A351" t="inlineStr">
        <is>
          <t>Incendio</t>
        </is>
      </c>
      <c r="B351" s="8" t="n">
        <v>202406</v>
      </c>
      <c r="C351" s="9" t="n">
        <v>73248538.00024061</v>
      </c>
      <c r="D351" s="9" t="n">
        <v>3233051.076768273</v>
      </c>
      <c r="E351" s="9" t="n">
        <v>5924271.686298958</v>
      </c>
      <c r="F351" s="9" t="n">
        <v>19719347.00539204</v>
      </c>
      <c r="G351" s="9" t="n">
        <v>82405860.76330784</v>
      </c>
      <c r="H351" s="9" t="n">
        <v>62686513.7579158</v>
      </c>
      <c r="I351" s="9" t="n">
        <v>114452628.9477033</v>
      </c>
      <c r="J351" s="10" t="n">
        <v>0.6399899999999999</v>
      </c>
      <c r="K351" s="10" t="n">
        <v>0.04413809701918765</v>
      </c>
      <c r="L351" s="10" t="n">
        <v>0.08087904343264159</v>
      </c>
      <c r="M351" s="10" t="n">
        <v>0.269211475665593</v>
      </c>
    </row>
    <row r="352">
      <c r="A352" s="4" t="inlineStr">
        <is>
          <t>Incendio</t>
        </is>
      </c>
      <c r="B352" s="5" t="n">
        <v>202407</v>
      </c>
      <c r="C352" s="6" t="n">
        <v>80134056.80120224</v>
      </c>
      <c r="D352" s="6" t="n">
        <v>3394151.7169386</v>
      </c>
      <c r="E352" s="6" t="n">
        <v>6858518.62548304</v>
      </c>
      <c r="F352" s="6" t="n">
        <v>22307001.73894375</v>
      </c>
      <c r="G352" s="6" t="n">
        <v>90386727.14362387</v>
      </c>
      <c r="H352" s="6" t="n">
        <v>68079725.40468013</v>
      </c>
      <c r="I352" s="6" t="n">
        <v>120157227.8136514</v>
      </c>
      <c r="J352" s="11" t="n">
        <v>0.66691</v>
      </c>
      <c r="K352" s="11" t="n">
        <v>0.04235592022202073</v>
      </c>
      <c r="L352" s="11" t="n">
        <v>0.08558806204580101</v>
      </c>
      <c r="M352" s="11" t="n">
        <v>0.2783710525761012</v>
      </c>
    </row>
    <row r="353">
      <c r="A353" t="inlineStr">
        <is>
          <t>Incendio</t>
        </is>
      </c>
      <c r="B353" s="8" t="n">
        <v>202408</v>
      </c>
      <c r="C353" s="9" t="n">
        <v>78197772.44134052</v>
      </c>
      <c r="D353" s="9" t="n">
        <v>3615315.596847133</v>
      </c>
      <c r="E353" s="9" t="n">
        <v>4241327.212006476</v>
      </c>
      <c r="F353" s="9" t="n">
        <v>23194153.82511026</v>
      </c>
      <c r="G353" s="9" t="n">
        <v>86054415.25019413</v>
      </c>
      <c r="H353" s="9" t="n">
        <v>62860261.42508387</v>
      </c>
      <c r="I353" s="9" t="n">
        <v>127985355.6381291</v>
      </c>
      <c r="J353" s="10" t="n">
        <v>0.61099</v>
      </c>
      <c r="K353" s="10" t="n">
        <v>0.04623297421367258</v>
      </c>
      <c r="L353" s="10" t="n">
        <v>0.05423846587430704</v>
      </c>
      <c r="M353" s="10" t="n">
        <v>0.2966088815702415</v>
      </c>
    </row>
    <row r="354">
      <c r="A354" s="4" t="inlineStr">
        <is>
          <t>Incendio</t>
        </is>
      </c>
      <c r="B354" s="5" t="n">
        <v>202409</v>
      </c>
      <c r="C354" s="6" t="n">
        <v>75776056.16617832</v>
      </c>
      <c r="D354" s="6" t="n">
        <v>3426363.834735757</v>
      </c>
      <c r="E354" s="6" t="n">
        <v>4305213.899482533</v>
      </c>
      <c r="F354" s="6" t="n">
        <v>22972361.51146906</v>
      </c>
      <c r="G354" s="6" t="n">
        <v>83507633.9003966</v>
      </c>
      <c r="H354" s="6" t="n">
        <v>60535272.38892753</v>
      </c>
      <c r="I354" s="6" t="n">
        <v>121297972.1249513</v>
      </c>
      <c r="J354" s="11" t="n">
        <v>0.62471</v>
      </c>
      <c r="K354" s="11" t="n">
        <v>0.04521697232727019</v>
      </c>
      <c r="L354" s="11" t="n">
        <v>0.05681496395168836</v>
      </c>
      <c r="M354" s="11" t="n">
        <v>0.3031612183813082</v>
      </c>
    </row>
    <row r="355">
      <c r="A355" t="inlineStr">
        <is>
          <t>Incendio</t>
        </is>
      </c>
      <c r="B355" s="8" t="n">
        <v>202410</v>
      </c>
      <c r="C355" s="9" t="n">
        <v>74755484.5554173</v>
      </c>
      <c r="D355" s="9" t="n">
        <v>3348226.592507084</v>
      </c>
      <c r="E355" s="9" t="n">
        <v>4614406.044705636</v>
      </c>
      <c r="F355" s="9" t="n">
        <v>23979024.07288028</v>
      </c>
      <c r="G355" s="9" t="n">
        <v>82718117.19263001</v>
      </c>
      <c r="H355" s="9" t="n">
        <v>58739093.11974972</v>
      </c>
      <c r="I355" s="9" t="n">
        <v>118529681.0721865</v>
      </c>
      <c r="J355" s="10" t="n">
        <v>0.63069</v>
      </c>
      <c r="K355" s="10" t="n">
        <v>0.04478904273605499</v>
      </c>
      <c r="L355" s="10" t="n">
        <v>0.06172665553769385</v>
      </c>
      <c r="M355" s="10" t="n">
        <v>0.3207660844617266</v>
      </c>
    </row>
    <row r="356">
      <c r="A356" s="4" t="inlineStr">
        <is>
          <t>Incendio</t>
        </is>
      </c>
      <c r="B356" s="5" t="n">
        <v>202411</v>
      </c>
      <c r="C356" s="6" t="n">
        <v>83857551.52324776</v>
      </c>
      <c r="D356" s="6" t="n">
        <v>3679466.933515379</v>
      </c>
      <c r="E356" s="6" t="n">
        <v>4373682.676770901</v>
      </c>
      <c r="F356" s="6" t="n">
        <v>27980511.64868302</v>
      </c>
      <c r="G356" s="6" t="n">
        <v>91910701.13353404</v>
      </c>
      <c r="H356" s="6" t="n">
        <v>63930189.48485102</v>
      </c>
      <c r="I356" s="6" t="n">
        <v>130251059.2235935</v>
      </c>
      <c r="J356" s="11" t="n">
        <v>0.6438147376544171</v>
      </c>
      <c r="K356" s="11" t="n">
        <v>0.04387758605729531</v>
      </c>
      <c r="L356" s="11" t="n">
        <v>0.05215609801770075</v>
      </c>
      <c r="M356" s="11" t="n">
        <v>0.3336671670043456</v>
      </c>
    </row>
    <row r="357">
      <c r="A357" t="inlineStr">
        <is>
          <t>Incendio</t>
        </is>
      </c>
      <c r="B357" s="8" t="n">
        <v>202412</v>
      </c>
      <c r="C357" s="9" t="n">
        <v>93265604.28340892</v>
      </c>
      <c r="D357" s="9" t="n">
        <v>4259164.346426981</v>
      </c>
      <c r="E357" s="9" t="n">
        <v>4992924.897404096</v>
      </c>
      <c r="F357" s="9" t="n">
        <v>29787278.56044898</v>
      </c>
      <c r="G357" s="9" t="n">
        <v>102517693.52724</v>
      </c>
      <c r="H357" s="9" t="n">
        <v>72730414.966791</v>
      </c>
      <c r="I357" s="9" t="n">
        <v>140027722.0264048</v>
      </c>
      <c r="J357" s="10" t="n">
        <v>0.6660510000000001</v>
      </c>
      <c r="K357" s="10" t="n">
        <v>0.04566704284126583</v>
      </c>
      <c r="L357" s="10" t="n">
        <v>0.05353447217510057</v>
      </c>
      <c r="M357" s="10" t="n">
        <v>0.3193811779735379</v>
      </c>
    </row>
    <row r="358">
      <c r="A358" s="4" t="inlineStr">
        <is>
          <t>Incendio</t>
        </is>
      </c>
      <c r="B358" s="5" t="n">
        <v>202501</v>
      </c>
      <c r="C358" s="6" t="n">
        <v>90546562.85559601</v>
      </c>
      <c r="D358" s="6" t="n">
        <v>3947814.674845677</v>
      </c>
      <c r="E358" s="6" t="n">
        <v>5331121.658424815</v>
      </c>
      <c r="F358" s="6" t="n">
        <v>28901177.58989901</v>
      </c>
      <c r="G358" s="6" t="n">
        <v>99825499.18886648</v>
      </c>
      <c r="H358" s="6" t="n">
        <v>70924321.59896746</v>
      </c>
      <c r="I358" s="6" t="n">
        <v>135945389.8509213</v>
      </c>
      <c r="J358" s="11" t="n">
        <v>0.6660510000000001</v>
      </c>
      <c r="K358" s="11" t="n">
        <v>0.04359982919662744</v>
      </c>
      <c r="L358" s="11" t="n">
        <v>0.0588771289632154</v>
      </c>
      <c r="M358" s="11" t="n">
        <v>0.3191858053849125</v>
      </c>
    </row>
    <row r="359">
      <c r="A359" t="inlineStr">
        <is>
          <t>Incendio</t>
        </is>
      </c>
      <c r="B359" s="8" t="n">
        <v>202502</v>
      </c>
      <c r="C359" s="9" t="n">
        <v>87696966.87951328</v>
      </c>
      <c r="D359" s="9" t="n">
        <v>4004705.832385729</v>
      </c>
      <c r="E359" s="9" t="n">
        <v>4652824.03174233</v>
      </c>
      <c r="F359" s="9" t="n">
        <v>29236727.58501715</v>
      </c>
      <c r="G359" s="9" t="n">
        <v>96354496.74364136</v>
      </c>
      <c r="H359" s="9" t="n">
        <v>67117769.1586242</v>
      </c>
      <c r="I359" s="9" t="n">
        <v>141718729.3022305</v>
      </c>
      <c r="J359" s="10" t="n">
        <v>0.61881</v>
      </c>
      <c r="K359" s="10" t="n">
        <v>0.04566527184329862</v>
      </c>
      <c r="L359" s="10" t="n">
        <v>0.05305570075342329</v>
      </c>
      <c r="M359" s="10" t="n">
        <v>0.333383566448603</v>
      </c>
    </row>
    <row r="360">
      <c r="A360" s="4" t="inlineStr">
        <is>
          <t>Incendio</t>
        </is>
      </c>
      <c r="B360" s="5" t="n">
        <v>202503</v>
      </c>
      <c r="C360" s="6" t="n">
        <v>86160433.87323806</v>
      </c>
      <c r="D360" s="6" t="n">
        <v>3883813.342358897</v>
      </c>
      <c r="E360" s="6" t="n">
        <v>4647216.542198589</v>
      </c>
      <c r="F360" s="6" t="n">
        <v>28070669.73666204</v>
      </c>
      <c r="G360" s="6" t="n">
        <v>94691463.75779554</v>
      </c>
      <c r="H360" s="6" t="n">
        <v>66620794.02113351</v>
      </c>
      <c r="I360" s="6" t="n">
        <v>137438880.0019749</v>
      </c>
      <c r="J360" s="11" t="n">
        <v>0.6269</v>
      </c>
      <c r="K360" s="11" t="n">
        <v>0.045076529536433</v>
      </c>
      <c r="L360" s="11" t="n">
        <v>0.05393678203890803</v>
      </c>
      <c r="M360" s="11" t="n">
        <v>0.3257953619170546</v>
      </c>
    </row>
    <row r="361">
      <c r="A361" t="inlineStr">
        <is>
          <t>Incendio</t>
        </is>
      </c>
      <c r="B361" s="8" t="n">
        <v>202504</v>
      </c>
      <c r="C361" s="9" t="n">
        <v>92199522.17135048</v>
      </c>
      <c r="D361" s="9" t="n">
        <v>4177205.028653586</v>
      </c>
      <c r="E361" s="9" t="n">
        <v>4521600.791287677</v>
      </c>
      <c r="F361" s="9" t="n">
        <v>35203373.40008973</v>
      </c>
      <c r="G361" s="9" t="n">
        <v>100898327.9912918</v>
      </c>
      <c r="H361" s="9" t="n">
        <v>65694954.59120201</v>
      </c>
      <c r="I361" s="9" t="n">
        <v>147821974.8787124</v>
      </c>
      <c r="J361" s="10" t="n">
        <v>0.6237200000000001</v>
      </c>
      <c r="K361" s="10" t="n">
        <v>0.04530614617384194</v>
      </c>
      <c r="L361" s="10" t="n">
        <v>0.04904147749143858</v>
      </c>
      <c r="M361" s="10" t="n">
        <v>0.3818173084960804</v>
      </c>
    </row>
    <row r="362">
      <c r="A362" s="4" t="inlineStr">
        <is>
          <t>Incendio</t>
        </is>
      </c>
      <c r="B362" s="5" t="n">
        <v>202505</v>
      </c>
      <c r="C362" s="6" t="n">
        <v>91146125.0447264</v>
      </c>
      <c r="D362" s="6" t="n">
        <v>4116246.141670576</v>
      </c>
      <c r="E362" s="6" t="n">
        <v>4975978.884495016</v>
      </c>
      <c r="F362" s="6" t="n">
        <v>34550352.34304511</v>
      </c>
      <c r="G362" s="6" t="n">
        <v>100238350.070892</v>
      </c>
      <c r="H362" s="6" t="n">
        <v>65687997.72784688</v>
      </c>
      <c r="I362" s="6" t="n">
        <v>145663664.9109462</v>
      </c>
      <c r="J362" s="11" t="n">
        <v>0.62573</v>
      </c>
      <c r="K362" s="11" t="n">
        <v>0.04516095598853696</v>
      </c>
      <c r="L362" s="11" t="n">
        <v>0.05459342217843324</v>
      </c>
      <c r="M362" s="11" t="n">
        <v>0.3790655096537661</v>
      </c>
    </row>
    <row r="363">
      <c r="A363" t="inlineStr">
        <is>
          <t>Incendio</t>
        </is>
      </c>
      <c r="B363" s="8" t="n">
        <v>202506</v>
      </c>
      <c r="C363" s="9" t="n">
        <v>97893626.82916433</v>
      </c>
      <c r="D363" s="9" t="n">
        <v>4306733.154102763</v>
      </c>
      <c r="E363" s="9" t="n">
        <v>7988166.083323563</v>
      </c>
      <c r="F363" s="9" t="n">
        <v>37460360.44049155</v>
      </c>
      <c r="G363" s="9" t="n">
        <v>110188526.0665906</v>
      </c>
      <c r="H363" s="9" t="n">
        <v>72728165.62609911</v>
      </c>
      <c r="I363" s="9" t="n">
        <v>156447072.7456959</v>
      </c>
      <c r="J363" s="10" t="n">
        <v>0.62573</v>
      </c>
      <c r="K363" s="10" t="n">
        <v>0.04399400955507052</v>
      </c>
      <c r="L363" s="10" t="n">
        <v>0.0816004712672852</v>
      </c>
      <c r="M363" s="10" t="n">
        <v>0.382663934863341</v>
      </c>
    </row>
    <row r="364">
      <c r="A364" s="4" t="inlineStr">
        <is>
          <t>Incendio</t>
        </is>
      </c>
      <c r="B364" s="5" t="n">
        <v>202507</v>
      </c>
      <c r="C364" s="6" t="n">
        <v>96999531.66790332</v>
      </c>
      <c r="D364" s="6" t="n">
        <v>4500232.138541446</v>
      </c>
      <c r="E364" s="6" t="n">
        <v>7375061.534873862</v>
      </c>
      <c r="F364" s="6" t="n">
        <v>35278957.91922832</v>
      </c>
      <c r="G364" s="6" t="n">
        <v>108874825.3413186</v>
      </c>
      <c r="H364" s="6" t="n">
        <v>73595867.42209032</v>
      </c>
      <c r="I364" s="6" t="n">
        <v>159253200.1311848</v>
      </c>
      <c r="J364" s="11" t="n">
        <v>0.60909</v>
      </c>
      <c r="K364" s="11" t="n">
        <v>0.04639436975787535</v>
      </c>
      <c r="L364" s="11" t="n">
        <v>0.07603192930996629</v>
      </c>
      <c r="M364" s="11" t="n">
        <v>0.3637023531207622</v>
      </c>
    </row>
    <row r="365">
      <c r="A365" t="inlineStr">
        <is>
          <t>Incendio</t>
        </is>
      </c>
      <c r="B365" s="8" t="n">
        <v>202508</v>
      </c>
      <c r="C365" s="9" t="n">
        <v>95052688.07062668</v>
      </c>
      <c r="D365" s="9" t="n">
        <v>4438215.816520643</v>
      </c>
      <c r="E365" s="9" t="n">
        <v>7309448.802615008</v>
      </c>
      <c r="F365" s="9" t="n">
        <v>34950757.48734024</v>
      </c>
      <c r="G365" s="9" t="n">
        <v>106800352.6897623</v>
      </c>
      <c r="H365" s="9" t="n">
        <v>71849595.2024221</v>
      </c>
      <c r="I365" s="9" t="n">
        <v>157058662.8838603</v>
      </c>
      <c r="J365" s="10" t="n">
        <v>0.605205</v>
      </c>
      <c r="K365" s="10" t="n">
        <v>0.04669216522548979</v>
      </c>
      <c r="L365" s="10" t="n">
        <v>0.07689891733712878</v>
      </c>
      <c r="M365" s="10" t="n">
        <v>0.3676987805055119</v>
      </c>
    </row>
    <row r="366">
      <c r="A366" s="4" t="inlineStr">
        <is>
          <t>Incendio</t>
        </is>
      </c>
      <c r="B366" s="5" t="n">
        <v>202509</v>
      </c>
      <c r="C366" s="6" t="n">
        <v>101998995.051516</v>
      </c>
      <c r="D366" s="6" t="n">
        <v>4591495.524360213</v>
      </c>
      <c r="E366" s="6" t="n">
        <v>8440566.786242746</v>
      </c>
      <c r="F366" s="6" t="n">
        <v>36219449.04093434</v>
      </c>
      <c r="G366" s="6" t="n">
        <v>115031057.362119</v>
      </c>
      <c r="H366" s="6" t="n">
        <v>78811608.32118462</v>
      </c>
      <c r="I366" s="6" t="n">
        <v>162482787.4696315</v>
      </c>
      <c r="J366" s="11" t="n">
        <v>0.627752617</v>
      </c>
      <c r="K366" s="11" t="n">
        <v>0.04501510551198289</v>
      </c>
      <c r="L366" s="11" t="n">
        <v>0.08275147007065826</v>
      </c>
      <c r="M366" s="11" t="n">
        <v>0.3550961362182167</v>
      </c>
    </row>
    <row r="367">
      <c r="A367" t="inlineStr">
        <is>
          <t>Incendio</t>
        </is>
      </c>
      <c r="B367" s="8" t="n">
        <v>202510</v>
      </c>
      <c r="C367" s="9" t="n">
        <v>107543791.4266184</v>
      </c>
      <c r="D367" s="9" t="n">
        <v>4752767.571960646</v>
      </c>
      <c r="E367" s="9" t="n">
        <v>9190841.393786734</v>
      </c>
      <c r="F367" s="9" t="n">
        <v>41939534.72625891</v>
      </c>
      <c r="G367" s="9" t="n">
        <v>121487400.3923658</v>
      </c>
      <c r="H367" s="9" t="n">
        <v>79547865.66610691</v>
      </c>
      <c r="I367" s="9" t="n">
        <v>168189858.9604288</v>
      </c>
      <c r="J367" s="10" t="n">
        <v>0.639419</v>
      </c>
      <c r="K367" s="10" t="n">
        <v>0.0441937884922316</v>
      </c>
      <c r="L367" s="10" t="n">
        <v>0.08546138528190188</v>
      </c>
      <c r="M367" s="10" t="n">
        <v>0.3899763451698277</v>
      </c>
    </row>
    <row r="368">
      <c r="A368" s="4" t="inlineStr">
        <is>
          <t>Incendio</t>
        </is>
      </c>
      <c r="B368" s="5" t="n">
        <v>202511</v>
      </c>
      <c r="C368" s="6" t="n">
        <v>111007947.845075</v>
      </c>
      <c r="D368" s="6" t="n">
        <v>4840056.52435325</v>
      </c>
      <c r="E368" s="6" t="n">
        <v>7746949.877837476</v>
      </c>
      <c r="F368" s="6" t="n">
        <v>43572517.6843233</v>
      </c>
      <c r="G368" s="6" t="n">
        <v>123594954.2472657</v>
      </c>
      <c r="H368" s="6" t="n">
        <v>80022436.56294239</v>
      </c>
      <c r="I368" s="6" t="n">
        <v>171278825.5820941</v>
      </c>
      <c r="J368" s="11" t="n">
        <v>0.6481125</v>
      </c>
      <c r="K368" s="11" t="n">
        <v>0.04360099090479661</v>
      </c>
      <c r="L368" s="11" t="n">
        <v>0.06978734431384394</v>
      </c>
      <c r="M368" s="11" t="n">
        <v>0.3925170992723334</v>
      </c>
    </row>
    <row r="369">
      <c r="A369" t="inlineStr">
        <is>
          <t>Incendio</t>
        </is>
      </c>
      <c r="B369" s="8" t="n">
        <v>202512</v>
      </c>
      <c r="C369" s="9" t="n">
        <v>109107835.3859396</v>
      </c>
      <c r="D369" s="9" t="n">
        <v>4728784.437472234</v>
      </c>
      <c r="E369" s="9" t="n">
        <v>8160198.095846291</v>
      </c>
      <c r="F369" s="9" t="n">
        <v>42628256.40770768</v>
      </c>
      <c r="G369" s="9" t="n">
        <v>121996817.9192581</v>
      </c>
      <c r="H369" s="9" t="n">
        <v>79368561.51155043</v>
      </c>
      <c r="I369" s="9" t="n">
        <v>167341252.5397535</v>
      </c>
      <c r="J369" s="10" t="n">
        <v>0.652008</v>
      </c>
      <c r="K369" s="10" t="n">
        <v>0.04334046606960383</v>
      </c>
      <c r="L369" s="10" t="n">
        <v>0.07479021160104393</v>
      </c>
      <c r="M369" s="10" t="n">
        <v>0.3906983972042127</v>
      </c>
    </row>
    <row r="370">
      <c r="A370" s="4" t="inlineStr">
        <is>
          <t>Incendio</t>
        </is>
      </c>
      <c r="B370" s="5" t="n">
        <v>202601</v>
      </c>
      <c r="C370" s="6" t="n">
        <v>104096908.8116601</v>
      </c>
      <c r="D370" s="6" t="n">
        <v>4730966.455990493</v>
      </c>
      <c r="E370" s="6" t="n">
        <v>6954663.373918634</v>
      </c>
      <c r="F370" s="6" t="n">
        <v>39078805.34382696</v>
      </c>
      <c r="G370" s="6" t="n">
        <v>115782538.6415692</v>
      </c>
      <c r="H370" s="6" t="n">
        <v>76703733.29774225</v>
      </c>
      <c r="I370" s="6" t="n">
        <v>167418397.2898002</v>
      </c>
      <c r="J370" s="11" t="n">
        <v>0.621777</v>
      </c>
      <c r="K370" s="11" t="n">
        <v>0.04544771319338706</v>
      </c>
      <c r="L370" s="11" t="n">
        <v>0.0668095090748711</v>
      </c>
      <c r="M370" s="11" t="n">
        <v>0.3754079327613009</v>
      </c>
    </row>
    <row r="371">
      <c r="A371" t="inlineStr">
        <is>
          <t>Incendio</t>
        </is>
      </c>
      <c r="B371" s="8" t="n">
        <v>202602</v>
      </c>
      <c r="C371" s="9" t="n">
        <v>105234424.7954364</v>
      </c>
      <c r="D371" s="9" t="n">
        <v>4782663.95617405</v>
      </c>
      <c r="E371" s="9" t="n">
        <v>7030660.258359545</v>
      </c>
      <c r="F371" s="9" t="n">
        <v>39505837.86777934</v>
      </c>
      <c r="G371" s="9" t="n">
        <v>117047749.00997</v>
      </c>
      <c r="H371" s="9" t="n">
        <v>77541911.14219061</v>
      </c>
      <c r="I371" s="9" t="n">
        <v>162396046.9736415</v>
      </c>
      <c r="J371" s="10" t="n">
        <v>0.648011</v>
      </c>
      <c r="K371" s="10" t="n">
        <v>0.04544771319338705</v>
      </c>
      <c r="L371" s="10" t="n">
        <v>0.06680950907487108</v>
      </c>
      <c r="M371" s="10" t="n">
        <v>0.3754079327613007</v>
      </c>
    </row>
    <row r="372">
      <c r="A372" s="4" t="inlineStr">
        <is>
          <t>Incendio</t>
        </is>
      </c>
      <c r="B372" s="5" t="n">
        <v>202603</v>
      </c>
      <c r="C372" s="6" t="n">
        <v>105162520.242452</v>
      </c>
      <c r="D372" s="6" t="n">
        <v>4248097.270881218</v>
      </c>
      <c r="E372" s="6" t="n">
        <v>6585815.391739004</v>
      </c>
      <c r="F372" s="6" t="n">
        <v>36986194.4402294</v>
      </c>
      <c r="G372" s="6" t="n">
        <v>115996432.9050722</v>
      </c>
      <c r="H372" s="6" t="n">
        <v>79010238.4648428</v>
      </c>
      <c r="I372" s="6" t="n">
        <v>161885125.6480052</v>
      </c>
      <c r="J372" s="11" t="n">
        <v>0.649612</v>
      </c>
      <c r="K372" s="11" t="n">
        <v>0.04039554454464613</v>
      </c>
      <c r="L372" s="11" t="n">
        <v>0.06262511944897689</v>
      </c>
      <c r="M372" s="11" t="n">
        <v>0.3517050975476606</v>
      </c>
    </row>
    <row r="373">
      <c r="A373" t="inlineStr">
        <is>
          <t>Incendio</t>
        </is>
      </c>
      <c r="B373" s="8" t="n">
        <v>202604</v>
      </c>
      <c r="C373" s="9" t="n">
        <v>109848254.0208829</v>
      </c>
      <c r="D373" s="9" t="n">
        <v>4412059.429382671</v>
      </c>
      <c r="E373" s="9" t="n">
        <v>6649397.405660377</v>
      </c>
      <c r="F373" s="9" t="n">
        <v>44137221.48630701</v>
      </c>
      <c r="G373" s="9" t="n">
        <v>120909710.855926</v>
      </c>
      <c r="H373" s="9" t="n">
        <v>76772489.36961897</v>
      </c>
      <c r="I373" s="9" t="n">
        <v>173041425.0914573</v>
      </c>
      <c r="J373" s="10" t="n">
        <v>0.634809</v>
      </c>
      <c r="K373" s="10" t="n">
        <v>0.04016503920530141</v>
      </c>
      <c r="L373" s="10" t="n">
        <v>0.0605325725468179</v>
      </c>
      <c r="M373" s="10" t="n">
        <v>0.4018017571577989</v>
      </c>
    </row>
    <row r="374">
      <c r="A374" s="4" t="inlineStr">
        <is>
          <t>Incendio</t>
        </is>
      </c>
      <c r="B374" s="5" t="n">
        <v>202605</v>
      </c>
      <c r="C374" s="6" t="n">
        <v>106756519.3637868</v>
      </c>
      <c r="D374" s="6" t="n">
        <v>4243808.18334381</v>
      </c>
      <c r="E374" s="6" t="n">
        <v>6152652.163482333</v>
      </c>
      <c r="F374" s="6" t="n">
        <v>43922169.95519057</v>
      </c>
      <c r="G374" s="6" t="n">
        <v>117152979.710613</v>
      </c>
      <c r="H374" s="6" t="n">
        <v>73230809.7554224</v>
      </c>
      <c r="I374" s="6" t="n">
        <v>161731718.0295036</v>
      </c>
      <c r="J374" s="11" t="n">
        <v>0.660084</v>
      </c>
      <c r="K374" s="11" t="n">
        <v>0.03975221568326406</v>
      </c>
      <c r="L374" s="11" t="n">
        <v>0.0576325661434911</v>
      </c>
      <c r="M374" s="11" t="n">
        <v>0.411423772683334</v>
      </c>
    </row>
    <row r="375">
      <c r="A375" t="inlineStr">
        <is>
          <t>MyT</t>
        </is>
      </c>
      <c r="B375" s="8" t="n">
        <v>202201</v>
      </c>
      <c r="C375" s="9" t="n">
        <v>10714841.61710344</v>
      </c>
      <c r="D375" s="9" t="n">
        <v>464692.250671893</v>
      </c>
      <c r="E375" s="9" t="n">
        <v>1985789.152201966</v>
      </c>
      <c r="F375" s="9" t="n">
        <v>172798.9283669846</v>
      </c>
      <c r="G375" s="9" t="n">
        <v>13165323.0199773</v>
      </c>
      <c r="H375" s="9" t="n">
        <v>12992524.09161031</v>
      </c>
      <c r="I375" s="9" t="n">
        <v>12197989.23707859</v>
      </c>
      <c r="J375" s="10" t="n">
        <v>0.8784104829780647</v>
      </c>
      <c r="K375" s="10" t="n">
        <v>0.04336902655939715</v>
      </c>
      <c r="L375" s="10" t="n">
        <v>0.1853307051251391</v>
      </c>
      <c r="M375" s="10" t="n">
        <v>0.01612706324012819</v>
      </c>
    </row>
    <row r="376">
      <c r="A376" s="4" t="inlineStr">
        <is>
          <t>MyT</t>
        </is>
      </c>
      <c r="B376" s="5" t="n">
        <v>202202</v>
      </c>
      <c r="C376" s="6" t="n">
        <v>10907053.6372142</v>
      </c>
      <c r="D376" s="6" t="n">
        <v>486728.0729197123</v>
      </c>
      <c r="E376" s="6" t="n">
        <v>2213246.44513966</v>
      </c>
      <c r="F376" s="6" t="n">
        <v>172050.3182075122</v>
      </c>
      <c r="G376" s="6" t="n">
        <v>13607028.15527357</v>
      </c>
      <c r="H376" s="6" t="n">
        <v>13434977.83706606</v>
      </c>
      <c r="I376" s="6" t="n">
        <v>12776421.25601015</v>
      </c>
      <c r="J376" s="11" t="n">
        <v>0.853686131559212</v>
      </c>
      <c r="K376" s="11" t="n">
        <v>0.04462507374668316</v>
      </c>
      <c r="L376" s="11" t="n">
        <v>0.2029188192114687</v>
      </c>
      <c r="M376" s="11" t="n">
        <v>0.01577422500431162</v>
      </c>
    </row>
    <row r="377">
      <c r="A377" t="inlineStr">
        <is>
          <t>MyT</t>
        </is>
      </c>
      <c r="B377" s="8" t="n">
        <v>202203</v>
      </c>
      <c r="C377" s="9" t="n">
        <v>11736276.19085923</v>
      </c>
      <c r="D377" s="9" t="n">
        <v>500719.3186902685</v>
      </c>
      <c r="E377" s="9" t="n">
        <v>2617536.870761296</v>
      </c>
      <c r="F377" s="9" t="n">
        <v>160724.5109621891</v>
      </c>
      <c r="G377" s="9" t="n">
        <v>14854532.38031079</v>
      </c>
      <c r="H377" s="9" t="n">
        <v>14693807.8693486</v>
      </c>
      <c r="I377" s="9" t="n">
        <v>13143703.88322653</v>
      </c>
      <c r="J377" s="10" t="n">
        <v>0.8929200090878947</v>
      </c>
      <c r="K377" s="10" t="n">
        <v>0.04266424124206046</v>
      </c>
      <c r="L377" s="10" t="n">
        <v>0.2230295903226918</v>
      </c>
      <c r="M377" s="10" t="n">
        <v>0.01369467694423969</v>
      </c>
    </row>
    <row r="378">
      <c r="A378" s="4" t="inlineStr">
        <is>
          <t>MyT</t>
        </is>
      </c>
      <c r="B378" s="5" t="n">
        <v>202204</v>
      </c>
      <c r="C378" s="6" t="n">
        <v>13022787.5528992</v>
      </c>
      <c r="D378" s="6" t="n">
        <v>527863.0897553734</v>
      </c>
      <c r="E378" s="6" t="n">
        <v>2002339.887836502</v>
      </c>
      <c r="F378" s="6" t="n">
        <v>132098.1818896748</v>
      </c>
      <c r="G378" s="6" t="n">
        <v>15552990.53049107</v>
      </c>
      <c r="H378" s="6" t="n">
        <v>15420892.3486014</v>
      </c>
      <c r="I378" s="6" t="n">
        <v>13856203.36544077</v>
      </c>
      <c r="J378" s="11" t="n">
        <v>0.9398525129459184</v>
      </c>
      <c r="K378" s="11" t="n">
        <v>0.04053380181556121</v>
      </c>
      <c r="L378" s="11" t="n">
        <v>0.1537566269666076</v>
      </c>
      <c r="M378" s="11" t="n">
        <v>0.01014361797373147</v>
      </c>
    </row>
    <row r="379">
      <c r="A379" t="inlineStr">
        <is>
          <t>MyT</t>
        </is>
      </c>
      <c r="B379" s="8" t="n">
        <v>202205</v>
      </c>
      <c r="C379" s="9" t="n">
        <v>16023998.42879276</v>
      </c>
      <c r="D379" s="9" t="n">
        <v>637852.6478880392</v>
      </c>
      <c r="E379" s="9" t="n">
        <v>2460737.483934876</v>
      </c>
      <c r="F379" s="9" t="n">
        <v>608458.3856137766</v>
      </c>
      <c r="G379" s="9" t="n">
        <v>19122588.56061568</v>
      </c>
      <c r="H379" s="9" t="n">
        <v>18514130.1750019</v>
      </c>
      <c r="I379" s="9" t="n">
        <v>16743411.59928638</v>
      </c>
      <c r="J379" s="10" t="n">
        <v>0.9570330594677446</v>
      </c>
      <c r="K379" s="10" t="n">
        <v>0.03980608527406693</v>
      </c>
      <c r="L379" s="10" t="n">
        <v>0.1535657591873757</v>
      </c>
      <c r="M379" s="10" t="n">
        <v>0.03797169528676854</v>
      </c>
    </row>
    <row r="380">
      <c r="A380" s="4" t="inlineStr">
        <is>
          <t>MyT</t>
        </is>
      </c>
      <c r="B380" s="5" t="n">
        <v>202206</v>
      </c>
      <c r="C380" s="6" t="n">
        <v>14343317.61483564</v>
      </c>
      <c r="D380" s="6" t="n">
        <v>578837.5738131539</v>
      </c>
      <c r="E380" s="6" t="n">
        <v>1629160.030394382</v>
      </c>
      <c r="F380" s="6" t="n">
        <v>530819.1891851623</v>
      </c>
      <c r="G380" s="6" t="n">
        <v>16551315.21904317</v>
      </c>
      <c r="H380" s="6" t="n">
        <v>16020496.02985801</v>
      </c>
      <c r="I380" s="6" t="n">
        <v>15194276.31582804</v>
      </c>
      <c r="J380" s="11" t="n">
        <v>0.9439947857137526</v>
      </c>
      <c r="K380" s="11" t="n">
        <v>0.04035590575045541</v>
      </c>
      <c r="L380" s="11" t="n">
        <v>0.1135832081630335</v>
      </c>
      <c r="M380" s="11" t="n">
        <v>0.0370081178873236</v>
      </c>
    </row>
    <row r="381">
      <c r="A381" t="inlineStr">
        <is>
          <t>MyT</t>
        </is>
      </c>
      <c r="B381" s="8" t="n">
        <v>202207</v>
      </c>
      <c r="C381" s="9" t="n">
        <v>11669425.55763999</v>
      </c>
      <c r="D381" s="9" t="n">
        <v>463073.647274906</v>
      </c>
      <c r="E381" s="9" t="n">
        <v>1679793.931521515</v>
      </c>
      <c r="F381" s="9" t="n">
        <v>905128.9358922732</v>
      </c>
      <c r="G381" s="9" t="n">
        <v>13812293.13643641</v>
      </c>
      <c r="H381" s="9" t="n">
        <v>12907164.20054414</v>
      </c>
      <c r="I381" s="9" t="n">
        <v>13106890.49442875</v>
      </c>
      <c r="J381" s="10" t="n">
        <v>0.8903275389841876</v>
      </c>
      <c r="K381" s="10" t="n">
        <v>0.03968264290196625</v>
      </c>
      <c r="L381" s="10" t="n">
        <v>0.1439482966170303</v>
      </c>
      <c r="M381" s="10" t="n">
        <v>0.07756413813357627</v>
      </c>
    </row>
    <row r="382">
      <c r="A382" s="4" t="inlineStr">
        <is>
          <t>MyT</t>
        </is>
      </c>
      <c r="B382" s="5" t="n">
        <v>202208</v>
      </c>
      <c r="C382" s="6" t="n">
        <v>11144881.99144128</v>
      </c>
      <c r="D382" s="6" t="n">
        <v>468762.8256682156</v>
      </c>
      <c r="E382" s="6" t="n">
        <v>854903.2596608285</v>
      </c>
      <c r="F382" s="6" t="n">
        <v>817451.2535247628</v>
      </c>
      <c r="G382" s="6" t="n">
        <v>12468548.07677033</v>
      </c>
      <c r="H382" s="6" t="n">
        <v>11651096.82324556</v>
      </c>
      <c r="I382" s="6" t="n">
        <v>13267904.55730052</v>
      </c>
      <c r="J382" s="11" t="n">
        <v>0.8399881038719812</v>
      </c>
      <c r="K382" s="11" t="n">
        <v>0.0420608155409992</v>
      </c>
      <c r="L382" s="11" t="n">
        <v>0.07670814821703378</v>
      </c>
      <c r="M382" s="11" t="n">
        <v>0.07334768139784027</v>
      </c>
    </row>
    <row r="383">
      <c r="A383" t="inlineStr">
        <is>
          <t>MyT</t>
        </is>
      </c>
      <c r="B383" s="8" t="n">
        <v>202209</v>
      </c>
      <c r="C383" s="9" t="n">
        <v>16607421.46657988</v>
      </c>
      <c r="D383" s="9" t="n">
        <v>653926.800681668</v>
      </c>
      <c r="E383" s="9" t="n">
        <v>2081164.08325094</v>
      </c>
      <c r="F383" s="9" t="n">
        <v>2577643.64960675</v>
      </c>
      <c r="G383" s="9" t="n">
        <v>19342512.35051249</v>
      </c>
      <c r="H383" s="9" t="n">
        <v>16764868.70090574</v>
      </c>
      <c r="I383" s="9" t="n">
        <v>18508817.46552542</v>
      </c>
      <c r="J383" s="10" t="n">
        <v>0.8972708006609779</v>
      </c>
      <c r="K383" s="10" t="n">
        <v>0.03937557687673576</v>
      </c>
      <c r="L383" s="10" t="n">
        <v>0.1253153048135132</v>
      </c>
      <c r="M383" s="10" t="n">
        <v>0.155210347060433</v>
      </c>
    </row>
    <row r="384">
      <c r="A384" s="4" t="inlineStr">
        <is>
          <t>MyT</t>
        </is>
      </c>
      <c r="B384" s="5" t="n">
        <v>202210</v>
      </c>
      <c r="C384" s="6" t="n">
        <v>16348092.99859164</v>
      </c>
      <c r="D384" s="6" t="n">
        <v>590492.9733522459</v>
      </c>
      <c r="E384" s="6" t="n">
        <v>2466640.125086444</v>
      </c>
      <c r="F384" s="6" t="n">
        <v>2541499.835943928</v>
      </c>
      <c r="G384" s="6" t="n">
        <v>19405226.09703033</v>
      </c>
      <c r="H384" s="6" t="n">
        <v>16863726.2610864</v>
      </c>
      <c r="I384" s="6" t="n">
        <v>16713378.49942196</v>
      </c>
      <c r="J384" s="11" t="n">
        <v>0.9781441256270862</v>
      </c>
      <c r="K384" s="11" t="n">
        <v>0.03611999108416596</v>
      </c>
      <c r="L384" s="11" t="n">
        <v>0.1508824378047605</v>
      </c>
      <c r="M384" s="11" t="n">
        <v>0.1554615474821971</v>
      </c>
    </row>
    <row r="385">
      <c r="A385" t="inlineStr">
        <is>
          <t>MyT</t>
        </is>
      </c>
      <c r="B385" s="8" t="n">
        <v>202211</v>
      </c>
      <c r="C385" s="9" t="n">
        <v>20024898.53688348</v>
      </c>
      <c r="D385" s="9" t="n">
        <v>751024.2556232876</v>
      </c>
      <c r="E385" s="9" t="n">
        <v>2851566.189319509</v>
      </c>
      <c r="F385" s="9" t="n">
        <v>5653099.569610681</v>
      </c>
      <c r="G385" s="9" t="n">
        <v>23627488.98182628</v>
      </c>
      <c r="H385" s="9" t="n">
        <v>17974389.4122156</v>
      </c>
      <c r="I385" s="9" t="n">
        <v>21257067.15329352</v>
      </c>
      <c r="J385" s="10" t="n">
        <v>0.9420348720957432</v>
      </c>
      <c r="K385" s="10" t="n">
        <v>0.03750452239445759</v>
      </c>
      <c r="L385" s="10" t="n">
        <v>0.142401030600343</v>
      </c>
      <c r="M385" s="10" t="n">
        <v>0.2823035312362928</v>
      </c>
    </row>
    <row r="386">
      <c r="A386" s="4" t="inlineStr">
        <is>
          <t>MyT</t>
        </is>
      </c>
      <c r="B386" s="5" t="n">
        <v>202212</v>
      </c>
      <c r="C386" s="6" t="n">
        <v>22773069.79839971</v>
      </c>
      <c r="D386" s="6" t="n">
        <v>761007.788240239</v>
      </c>
      <c r="E386" s="6" t="n">
        <v>3629055.973940099</v>
      </c>
      <c r="F386" s="6" t="n">
        <v>6414510.354248574</v>
      </c>
      <c r="G386" s="6" t="n">
        <v>27163133.56058004</v>
      </c>
      <c r="H386" s="6" t="n">
        <v>20748623.20633147</v>
      </c>
      <c r="I386" s="6" t="n">
        <v>21539631.44411812</v>
      </c>
      <c r="J386" s="11" t="n">
        <v>1.057263670340952</v>
      </c>
      <c r="K386" s="11" t="n">
        <v>0.03341700504047619</v>
      </c>
      <c r="L386" s="11" t="n">
        <v>0.1593573464652147</v>
      </c>
      <c r="M386" s="11" t="n">
        <v>0.2816708687512709</v>
      </c>
    </row>
    <row r="387">
      <c r="A387" t="inlineStr">
        <is>
          <t>MyT</t>
        </is>
      </c>
      <c r="B387" s="8" t="n">
        <v>202301</v>
      </c>
      <c r="C387" s="9" t="n">
        <v>21979798.40649716</v>
      </c>
      <c r="D387" s="9" t="n">
        <v>631420.2999097618</v>
      </c>
      <c r="E387" s="9" t="n">
        <v>3429085.816126122</v>
      </c>
      <c r="F387" s="9" t="n">
        <v>5840548.434630289</v>
      </c>
      <c r="G387" s="9" t="n">
        <v>26040304.52253305</v>
      </c>
      <c r="H387" s="9" t="n">
        <v>20199756.08790276</v>
      </c>
      <c r="I387" s="9" t="n">
        <v>21773124.51200397</v>
      </c>
      <c r="J387" s="10" t="n">
        <v>1.009492156000819</v>
      </c>
      <c r="K387" s="10" t="n">
        <v>0.02872730169004261</v>
      </c>
      <c r="L387" s="10" t="n">
        <v>0.1560107946719154</v>
      </c>
      <c r="M387" s="10" t="n">
        <v>0.2657234760125844</v>
      </c>
    </row>
    <row r="388">
      <c r="A388" s="4" t="inlineStr">
        <is>
          <t>MyT</t>
        </is>
      </c>
      <c r="B388" s="5" t="n">
        <v>202302</v>
      </c>
      <c r="C388" s="6" t="n">
        <v>25805227.5455245</v>
      </c>
      <c r="D388" s="6" t="n">
        <v>710682.9847260346</v>
      </c>
      <c r="E388" s="6" t="n">
        <v>4250525.416227837</v>
      </c>
      <c r="F388" s="6" t="n">
        <v>5867124.694275129</v>
      </c>
      <c r="G388" s="6" t="n">
        <v>30766435.94647837</v>
      </c>
      <c r="H388" s="6" t="n">
        <v>24899311.25220324</v>
      </c>
      <c r="I388" s="6" t="n">
        <v>24506329.8545672</v>
      </c>
      <c r="J388" s="11" t="n">
        <v>1.05300253847335</v>
      </c>
      <c r="K388" s="11" t="n">
        <v>0.02754027196513875</v>
      </c>
      <c r="L388" s="11" t="n">
        <v>0.1647156727732487</v>
      </c>
      <c r="M388" s="11" t="n">
        <v>0.2273618662701034</v>
      </c>
    </row>
    <row r="389">
      <c r="A389" t="inlineStr">
        <is>
          <t>MyT</t>
        </is>
      </c>
      <c r="B389" s="8" t="n">
        <v>202303</v>
      </c>
      <c r="C389" s="9" t="n">
        <v>24055820.76403572</v>
      </c>
      <c r="D389" s="9" t="n">
        <v>659860.7355120116</v>
      </c>
      <c r="E389" s="9" t="n">
        <v>4026282.077235977</v>
      </c>
      <c r="F389" s="9" t="n">
        <v>5761776.059511323</v>
      </c>
      <c r="G389" s="9" t="n">
        <v>28741963.57678371</v>
      </c>
      <c r="H389" s="9" t="n">
        <v>22980187.51727238</v>
      </c>
      <c r="I389" s="9" t="n">
        <v>22753906.78930116</v>
      </c>
      <c r="J389" s="10" t="n">
        <v>1.057217162168684</v>
      </c>
      <c r="K389" s="10" t="n">
        <v>0.02743039790596237</v>
      </c>
      <c r="L389" s="10" t="n">
        <v>0.1673724674260713</v>
      </c>
      <c r="M389" s="10" t="n">
        <v>0.2395169184218972</v>
      </c>
    </row>
    <row r="390">
      <c r="A390" s="4" t="inlineStr">
        <is>
          <t>MyT</t>
        </is>
      </c>
      <c r="B390" s="5" t="n">
        <v>202304</v>
      </c>
      <c r="C390" s="6" t="n">
        <v>25235408.82356211</v>
      </c>
      <c r="D390" s="6" t="n">
        <v>650712.1985523845</v>
      </c>
      <c r="E390" s="6" t="n">
        <v>4590689.474766792</v>
      </c>
      <c r="F390" s="6" t="n">
        <v>6266794.124481604</v>
      </c>
      <c r="G390" s="6" t="n">
        <v>30476810.49688129</v>
      </c>
      <c r="H390" s="6" t="n">
        <v>24210016.37239968</v>
      </c>
      <c r="I390" s="6" t="n">
        <v>22438398.16049759</v>
      </c>
      <c r="J390" s="11" t="n">
        <v>1.124652867065556</v>
      </c>
      <c r="K390" s="11" t="n">
        <v>0.02578568087015969</v>
      </c>
      <c r="L390" s="11" t="n">
        <v>0.1819146068472051</v>
      </c>
      <c r="M390" s="11" t="n">
        <v>0.248333370316963</v>
      </c>
    </row>
    <row r="391">
      <c r="A391" t="inlineStr">
        <is>
          <t>MyT</t>
        </is>
      </c>
      <c r="B391" s="8" t="n">
        <v>202305</v>
      </c>
      <c r="C391" s="9" t="n">
        <v>26480275.35644426</v>
      </c>
      <c r="D391" s="9" t="n">
        <v>707491.8139366597</v>
      </c>
      <c r="E391" s="9" t="n">
        <v>5029942.530217202</v>
      </c>
      <c r="F391" s="9" t="n">
        <v>5691269.80484606</v>
      </c>
      <c r="G391" s="9" t="n">
        <v>32217709.70059812</v>
      </c>
      <c r="H391" s="9" t="n">
        <v>26526439.89575206</v>
      </c>
      <c r="I391" s="9" t="n">
        <v>24396304.57138089</v>
      </c>
      <c r="J391" s="10" t="n">
        <v>1.085421576</v>
      </c>
      <c r="K391" s="10" t="n">
        <v>0.02671769097614327</v>
      </c>
      <c r="L391" s="10" t="n">
        <v>0.189950537239905</v>
      </c>
      <c r="M391" s="10" t="n">
        <v>0.2149248725036777</v>
      </c>
    </row>
    <row r="392">
      <c r="A392" s="4" t="inlineStr">
        <is>
          <t>MyT</t>
        </is>
      </c>
      <c r="B392" s="5" t="n">
        <v>202306</v>
      </c>
      <c r="C392" s="6" t="n">
        <v>29039527.82782958</v>
      </c>
      <c r="D392" s="6" t="n">
        <v>767931.2854939351</v>
      </c>
      <c r="E392" s="6" t="n">
        <v>4696051.334455119</v>
      </c>
      <c r="F392" s="6" t="n">
        <v>6517723.196966509</v>
      </c>
      <c r="G392" s="6" t="n">
        <v>34503510.44777863</v>
      </c>
      <c r="H392" s="6" t="n">
        <v>27985787.25081212</v>
      </c>
      <c r="I392" s="6" t="n">
        <v>26480409.07663483</v>
      </c>
      <c r="J392" s="11" t="n">
        <v>1.096641964396721</v>
      </c>
      <c r="K392" s="11" t="n">
        <v>0.02644434475818164</v>
      </c>
      <c r="L392" s="11" t="n">
        <v>0.1617123860379965</v>
      </c>
      <c r="M392" s="11" t="n">
        <v>0.2244431533325535</v>
      </c>
    </row>
    <row r="393">
      <c r="A393" t="inlineStr">
        <is>
          <t>MyT</t>
        </is>
      </c>
      <c r="B393" s="8" t="n">
        <v>202307</v>
      </c>
      <c r="C393" s="9" t="n">
        <v>28551803.733233</v>
      </c>
      <c r="D393" s="9" t="n">
        <v>754079.4418365762</v>
      </c>
      <c r="E393" s="9" t="n">
        <v>4100616.436139083</v>
      </c>
      <c r="F393" s="9" t="n">
        <v>6791815.48297321</v>
      </c>
      <c r="G393" s="9" t="n">
        <v>33406499.61120865</v>
      </c>
      <c r="H393" s="9" t="n">
        <v>26614684.12823544</v>
      </c>
      <c r="I393" s="9" t="n">
        <v>28451540.50449516</v>
      </c>
      <c r="J393" s="10" t="n">
        <v>1.003524</v>
      </c>
      <c r="K393" s="10" t="n">
        <v>0.02641092131629015</v>
      </c>
      <c r="L393" s="10" t="n">
        <v>0.1436202235926045</v>
      </c>
      <c r="M393" s="10" t="n">
        <v>0.2378769322747846</v>
      </c>
    </row>
    <row r="394">
      <c r="A394" s="4" t="inlineStr">
        <is>
          <t>MyT</t>
        </is>
      </c>
      <c r="B394" s="5" t="n">
        <v>202308</v>
      </c>
      <c r="C394" s="6" t="n">
        <v>27220534.36547212</v>
      </c>
      <c r="D394" s="6" t="n">
        <v>696924.7168019139</v>
      </c>
      <c r="E394" s="6" t="n">
        <v>3890307.374876871</v>
      </c>
      <c r="F394" s="6" t="n">
        <v>6076903.501571369</v>
      </c>
      <c r="G394" s="6" t="n">
        <v>31807766.4571509</v>
      </c>
      <c r="H394" s="6" t="n">
        <v>25730862.95557953</v>
      </c>
      <c r="I394" s="6" t="n">
        <v>26697386.48360197</v>
      </c>
      <c r="J394" s="11" t="n">
        <v>1.019595471721229</v>
      </c>
      <c r="K394" s="11" t="n">
        <v>0.02560290358171395</v>
      </c>
      <c r="L394" s="11" t="n">
        <v>0.1429181118432241</v>
      </c>
      <c r="M394" s="11" t="n">
        <v>0.2232470318172599</v>
      </c>
    </row>
    <row r="395">
      <c r="A395" t="inlineStr">
        <is>
          <t>MyT</t>
        </is>
      </c>
      <c r="B395" s="8" t="n">
        <v>202309</v>
      </c>
      <c r="C395" s="9" t="n">
        <v>23202483.82937704</v>
      </c>
      <c r="D395" s="9" t="n">
        <v>656230.9486513004</v>
      </c>
      <c r="E395" s="9" t="n">
        <v>3588698.733065946</v>
      </c>
      <c r="F395" s="9" t="n">
        <v>5510194.505362091</v>
      </c>
      <c r="G395" s="9" t="n">
        <v>27447413.51109428</v>
      </c>
      <c r="H395" s="9" t="n">
        <v>21937219.00573218</v>
      </c>
      <c r="I395" s="9" t="n">
        <v>22628678.14824208</v>
      </c>
      <c r="J395" s="10" t="n">
        <v>1.025357454703095</v>
      </c>
      <c r="K395" s="10" t="n">
        <v>0.0282827887512817</v>
      </c>
      <c r="L395" s="10" t="n">
        <v>0.1546687311348208</v>
      </c>
      <c r="M395" s="10" t="n">
        <v>0.2374829585436687</v>
      </c>
    </row>
    <row r="396">
      <c r="A396" s="4" t="inlineStr">
        <is>
          <t>MyT</t>
        </is>
      </c>
      <c r="B396" s="5" t="n">
        <v>202310</v>
      </c>
      <c r="C396" s="6" t="n">
        <v>26203080.7162076</v>
      </c>
      <c r="D396" s="6" t="n">
        <v>684887.1437685501</v>
      </c>
      <c r="E396" s="6" t="n">
        <v>5376629.343984911</v>
      </c>
      <c r="F396" s="6" t="n">
        <v>5279342.860946992</v>
      </c>
      <c r="G396" s="6" t="n">
        <v>32264597.20396106</v>
      </c>
      <c r="H396" s="6" t="n">
        <v>26985254.34301407</v>
      </c>
      <c r="I396" s="6" t="n">
        <v>23616816.7349274</v>
      </c>
      <c r="J396" s="11" t="n">
        <v>1.10950942331933</v>
      </c>
      <c r="K396" s="11" t="n">
        <v>0.02613765729252291</v>
      </c>
      <c r="L396" s="11" t="n">
        <v>0.2051907331896002</v>
      </c>
      <c r="M396" s="11" t="n">
        <v>0.201477945212813</v>
      </c>
    </row>
    <row r="397">
      <c r="A397" t="inlineStr">
        <is>
          <t>MyT</t>
        </is>
      </c>
      <c r="B397" s="8" t="n">
        <v>202311</v>
      </c>
      <c r="C397" s="9" t="n">
        <v>24475874.74133419</v>
      </c>
      <c r="D397" s="9" t="n">
        <v>675899.2114934463</v>
      </c>
      <c r="E397" s="9" t="n">
        <v>4777337.964491324</v>
      </c>
      <c r="F397" s="9" t="n">
        <v>4421442.968143415</v>
      </c>
      <c r="G397" s="9" t="n">
        <v>29929111.91731896</v>
      </c>
      <c r="H397" s="9" t="n">
        <v>25507668.94917555</v>
      </c>
      <c r="I397" s="9" t="n">
        <v>23306913.44220096</v>
      </c>
      <c r="J397" s="10" t="n">
        <v>1.050155131095851</v>
      </c>
      <c r="K397" s="10" t="n">
        <v>0.02761491544782283</v>
      </c>
      <c r="L397" s="10" t="n">
        <v>0.1951855864184288</v>
      </c>
      <c r="M397" s="10" t="n">
        <v>0.1806449417996327</v>
      </c>
    </row>
    <row r="398">
      <c r="A398" s="4" t="inlineStr">
        <is>
          <t>MyT</t>
        </is>
      </c>
      <c r="B398" s="5" t="n">
        <v>202312</v>
      </c>
      <c r="C398" s="6" t="n">
        <v>28727159.32655924</v>
      </c>
      <c r="D398" s="6" t="n">
        <v>732774.5977390874</v>
      </c>
      <c r="E398" s="6" t="n">
        <v>5916750.671908338</v>
      </c>
      <c r="F398" s="6" t="n">
        <v>5305264.545636722</v>
      </c>
      <c r="G398" s="6" t="n">
        <v>35376684.59620667</v>
      </c>
      <c r="H398" s="6" t="n">
        <v>30071420.05056994</v>
      </c>
      <c r="I398" s="6" t="n">
        <v>25458768.30359082</v>
      </c>
      <c r="J398" s="11" t="n">
        <v>1.128379778</v>
      </c>
      <c r="K398" s="11" t="n">
        <v>0.02550807719653687</v>
      </c>
      <c r="L398" s="11" t="n">
        <v>0.2059636528850278</v>
      </c>
      <c r="M398" s="11" t="n">
        <v>0.1846776593998914</v>
      </c>
    </row>
    <row r="399">
      <c r="A399" t="inlineStr">
        <is>
          <t>MyT</t>
        </is>
      </c>
      <c r="B399" s="8" t="n">
        <v>202401</v>
      </c>
      <c r="C399" s="9" t="n">
        <v>24777100.28540412</v>
      </c>
      <c r="D399" s="9" t="n">
        <v>653485.4683195591</v>
      </c>
      <c r="E399" s="9" t="n">
        <v>5222556.511766352</v>
      </c>
      <c r="F399" s="9" t="n">
        <v>4870827.514941402</v>
      </c>
      <c r="G399" s="9" t="n">
        <v>30653142.26549003</v>
      </c>
      <c r="H399" s="9" t="n">
        <v>25782314.75054862</v>
      </c>
      <c r="I399" s="9" t="n">
        <v>23133899.41029114</v>
      </c>
      <c r="J399" s="10" t="n">
        <v>1.07103</v>
      </c>
      <c r="K399" s="10" t="n">
        <v>0.0263745741346706</v>
      </c>
      <c r="L399" s="10" t="n">
        <v>0.2107815866912762</v>
      </c>
      <c r="M399" s="10" t="n">
        <v>0.196585857862098</v>
      </c>
    </row>
    <row r="400">
      <c r="A400" s="4" t="inlineStr">
        <is>
          <t>MyT</t>
        </is>
      </c>
      <c r="B400" s="5" t="n">
        <v>202402</v>
      </c>
      <c r="C400" s="6" t="n">
        <v>24754826.80438365</v>
      </c>
      <c r="D400" s="6" t="n">
        <v>633552.7087010314</v>
      </c>
      <c r="E400" s="6" t="n">
        <v>5761145.592607141</v>
      </c>
      <c r="F400" s="6" t="n">
        <v>4329352.451287944</v>
      </c>
      <c r="G400" s="6" t="n">
        <v>31149525.10569182</v>
      </c>
      <c r="H400" s="6" t="n">
        <v>26820172.65440388</v>
      </c>
      <c r="I400" s="6" t="n">
        <v>22428355.87756021</v>
      </c>
      <c r="J400" s="11" t="n">
        <v>1.103729</v>
      </c>
      <c r="K400" s="11" t="n">
        <v>0.02559309801306468</v>
      </c>
      <c r="L400" s="11" t="n">
        <v>0.2327281720907432</v>
      </c>
      <c r="M400" s="11" t="n">
        <v>0.1748892240490768</v>
      </c>
    </row>
    <row r="401">
      <c r="A401" t="inlineStr">
        <is>
          <t>MyT</t>
        </is>
      </c>
      <c r="B401" s="8" t="n">
        <v>202403</v>
      </c>
      <c r="C401" s="9" t="n">
        <v>29009012.62007548</v>
      </c>
      <c r="D401" s="9" t="n">
        <v>733834.0021132076</v>
      </c>
      <c r="E401" s="9" t="n">
        <v>6632141.798037736</v>
      </c>
      <c r="F401" s="9" t="n">
        <v>4309191.387169811</v>
      </c>
      <c r="G401" s="9" t="n">
        <v>36374988.42022642</v>
      </c>
      <c r="H401" s="9" t="n">
        <v>32065797.03305661</v>
      </c>
      <c r="I401" s="9" t="n">
        <v>25978375.35156223</v>
      </c>
      <c r="J401" s="10" t="n">
        <v>1.11666</v>
      </c>
      <c r="K401" s="10" t="n">
        <v>0.02529675903568545</v>
      </c>
      <c r="L401" s="10" t="n">
        <v>0.2286234931501257</v>
      </c>
      <c r="M401" s="10" t="n">
        <v>0.1485466411286148</v>
      </c>
    </row>
    <row r="402">
      <c r="A402" s="4" t="inlineStr">
        <is>
          <t>MyT</t>
        </is>
      </c>
      <c r="B402" s="5" t="n">
        <v>202404</v>
      </c>
      <c r="C402" s="6" t="n">
        <v>33277016.65459982</v>
      </c>
      <c r="D402" s="6" t="n">
        <v>989879.2354672212</v>
      </c>
      <c r="E402" s="6" t="n">
        <v>5862475.637013335</v>
      </c>
      <c r="F402" s="6" t="n">
        <v>3742594.366139617</v>
      </c>
      <c r="G402" s="6" t="n">
        <v>40129371.52708037</v>
      </c>
      <c r="H402" s="6" t="n">
        <v>36386777.16094075</v>
      </c>
      <c r="I402" s="6" t="n">
        <v>35042824.58546121</v>
      </c>
      <c r="J402" s="11" t="n">
        <v>0.9496099999999998</v>
      </c>
      <c r="K402" s="11" t="n">
        <v>0.02974663401294996</v>
      </c>
      <c r="L402" s="11" t="n">
        <v>0.1761719116188553</v>
      </c>
      <c r="M402" s="11" t="n">
        <v>0.1124678454497899</v>
      </c>
    </row>
    <row r="403">
      <c r="A403" t="inlineStr">
        <is>
          <t>MyT</t>
        </is>
      </c>
      <c r="B403" s="8" t="n">
        <v>202405</v>
      </c>
      <c r="C403" s="9" t="n">
        <v>30224266.55390672</v>
      </c>
      <c r="D403" s="9" t="n">
        <v>927049.9557996724</v>
      </c>
      <c r="E403" s="9" t="n">
        <v>4805348.002145189</v>
      </c>
      <c r="F403" s="9" t="n">
        <v>3301964.619700381</v>
      </c>
      <c r="G403" s="9" t="n">
        <v>35956664.51185158</v>
      </c>
      <c r="H403" s="9" t="n">
        <v>32654699.8921512</v>
      </c>
      <c r="I403" s="9" t="n">
        <v>32818574.89973041</v>
      </c>
      <c r="J403" s="10" t="n">
        <v>0.92095</v>
      </c>
      <c r="K403" s="10" t="n">
        <v>0.03067237228556813</v>
      </c>
      <c r="L403" s="10" t="n">
        <v>0.1589897307706235</v>
      </c>
      <c r="M403" s="10" t="n">
        <v>0.1092487923176279</v>
      </c>
    </row>
    <row r="404">
      <c r="A404" s="4" t="inlineStr">
        <is>
          <t>MyT</t>
        </is>
      </c>
      <c r="B404" s="5" t="n">
        <v>202406</v>
      </c>
      <c r="C404" s="6" t="n">
        <v>27771079.16406908</v>
      </c>
      <c r="D404" s="6" t="n">
        <v>874468.3034200654</v>
      </c>
      <c r="E404" s="6" t="n">
        <v>3192016.304645033</v>
      </c>
      <c r="F404" s="6" t="n">
        <v>2962272.149489779</v>
      </c>
      <c r="G404" s="6" t="n">
        <v>31837563.77213418</v>
      </c>
      <c r="H404" s="6" t="n">
        <v>28875291.6226444</v>
      </c>
      <c r="I404" s="6" t="n">
        <v>30957193.52127913</v>
      </c>
      <c r="J404" s="11" t="n">
        <v>0.89708</v>
      </c>
      <c r="K404" s="11" t="n">
        <v>0.03148845236635509</v>
      </c>
      <c r="L404" s="11" t="n">
        <v>0.11494030483248</v>
      </c>
      <c r="M404" s="11" t="n">
        <v>0.1066675202641185</v>
      </c>
    </row>
    <row r="405">
      <c r="A405" t="inlineStr">
        <is>
          <t>MyT</t>
        </is>
      </c>
      <c r="B405" s="8" t="n">
        <v>202407</v>
      </c>
      <c r="C405" s="9" t="n">
        <v>29823269.92915414</v>
      </c>
      <c r="D405" s="9" t="n">
        <v>942564.3870759982</v>
      </c>
      <c r="E405" s="9" t="n">
        <v>3216799.726277372</v>
      </c>
      <c r="F405" s="9" t="n">
        <v>3631967.657256333</v>
      </c>
      <c r="G405" s="9" t="n">
        <v>33982634.04250751</v>
      </c>
      <c r="H405" s="9" t="n">
        <v>30350666.38525118</v>
      </c>
      <c r="I405" s="9" t="n">
        <v>33367946.93170966</v>
      </c>
      <c r="J405" s="10" t="n">
        <v>0.89377</v>
      </c>
      <c r="K405" s="10" t="n">
        <v>0.03160499802050819</v>
      </c>
      <c r="L405" s="10" t="n">
        <v>0.1078620732709375</v>
      </c>
      <c r="M405" s="10" t="n">
        <v>0.1217830125899727</v>
      </c>
    </row>
    <row r="406">
      <c r="A406" s="4" t="inlineStr">
        <is>
          <t>MyT</t>
        </is>
      </c>
      <c r="B406" s="5" t="n">
        <v>202408</v>
      </c>
      <c r="C406" s="6" t="n">
        <v>47339857.19825201</v>
      </c>
      <c r="D406" s="6" t="n">
        <v>1502484.783303811</v>
      </c>
      <c r="E406" s="6" t="n">
        <v>5495162.429007192</v>
      </c>
      <c r="F406" s="6" t="n">
        <v>6539394.953991077</v>
      </c>
      <c r="G406" s="6" t="n">
        <v>54337504.41056302</v>
      </c>
      <c r="H406" s="6" t="n">
        <v>47798109.45657194</v>
      </c>
      <c r="I406" s="6" t="n">
        <v>53189655.51139526</v>
      </c>
      <c r="J406" s="11" t="n">
        <v>0.8900200000000001</v>
      </c>
      <c r="K406" s="11" t="n">
        <v>0.03173826184163667</v>
      </c>
      <c r="L406" s="11" t="n">
        <v>0.1160789819452623</v>
      </c>
      <c r="M406" s="11" t="n">
        <v>0.13813719223117</v>
      </c>
    </row>
    <row r="407">
      <c r="A407" t="inlineStr">
        <is>
          <t>MyT</t>
        </is>
      </c>
      <c r="B407" s="8" t="n">
        <v>202409</v>
      </c>
      <c r="C407" s="9" t="n">
        <v>41948463.76871944</v>
      </c>
      <c r="D407" s="9" t="n">
        <v>1334365.226156682</v>
      </c>
      <c r="E407" s="9" t="n">
        <v>4548237.834461535</v>
      </c>
      <c r="F407" s="9" t="n">
        <v>5793941.595360575</v>
      </c>
      <c r="G407" s="9" t="n">
        <v>47831066.82933765</v>
      </c>
      <c r="H407" s="9" t="n">
        <v>42037125.23397707</v>
      </c>
      <c r="I407" s="9" t="n">
        <v>47238197.07745258</v>
      </c>
      <c r="J407" s="10" t="n">
        <v>0.8880200000000001</v>
      </c>
      <c r="K407" s="10" t="n">
        <v>0.03180963273205027</v>
      </c>
      <c r="L407" s="10" t="n">
        <v>0.1084244195338832</v>
      </c>
      <c r="M407" s="10" t="n">
        <v>0.138120471522036</v>
      </c>
    </row>
    <row r="408">
      <c r="A408" s="4" t="inlineStr">
        <is>
          <t>MyT</t>
        </is>
      </c>
      <c r="B408" s="5" t="n">
        <v>202410</v>
      </c>
      <c r="C408" s="6" t="n">
        <v>40457645.70758936</v>
      </c>
      <c r="D408" s="6" t="n">
        <v>1214969.16930273</v>
      </c>
      <c r="E408" s="6" t="n">
        <v>5481300.924496149</v>
      </c>
      <c r="F408" s="6" t="n">
        <v>5662653.959092295</v>
      </c>
      <c r="G408" s="6" t="n">
        <v>47153915.80138824</v>
      </c>
      <c r="H408" s="6" t="n">
        <v>41491261.84229594</v>
      </c>
      <c r="I408" s="6" t="n">
        <v>43011221.95506135</v>
      </c>
      <c r="J408" s="11" t="n">
        <v>0.94063</v>
      </c>
      <c r="K408" s="11" t="n">
        <v>0.0300306443455462</v>
      </c>
      <c r="L408" s="11" t="n">
        <v>0.1354824490805189</v>
      </c>
      <c r="M408" s="11" t="n">
        <v>0.1399649895601822</v>
      </c>
    </row>
    <row r="409">
      <c r="A409" t="inlineStr">
        <is>
          <t>MyT</t>
        </is>
      </c>
      <c r="B409" s="8" t="n">
        <v>202411</v>
      </c>
      <c r="C409" s="9" t="n">
        <v>45569980.08015285</v>
      </c>
      <c r="D409" s="9" t="n">
        <v>1368524.375893248</v>
      </c>
      <c r="E409" s="9" t="n">
        <v>6142020.689451945</v>
      </c>
      <c r="F409" s="9" t="n">
        <v>5205017.729395759</v>
      </c>
      <c r="G409" s="9" t="n">
        <v>53080525.14549804</v>
      </c>
      <c r="H409" s="9" t="n">
        <v>47875507.41610228</v>
      </c>
      <c r="I409" s="9" t="n">
        <v>48445364.88326663</v>
      </c>
      <c r="J409" s="10" t="n">
        <v>0.9406468542441103</v>
      </c>
      <c r="K409" s="10" t="n">
        <v>0.03003127000464244</v>
      </c>
      <c r="L409" s="10" t="n">
        <v>0.1347821675289033</v>
      </c>
      <c r="M409" s="10" t="n">
        <v>0.1142203204881959</v>
      </c>
    </row>
    <row r="410">
      <c r="A410" s="4" t="inlineStr">
        <is>
          <t>MyT</t>
        </is>
      </c>
      <c r="B410" s="5" t="n">
        <v>202412</v>
      </c>
      <c r="C410" s="6" t="n">
        <v>49937132.02955528</v>
      </c>
      <c r="D410" s="6" t="n">
        <v>1491452.868614991</v>
      </c>
      <c r="E410" s="6" t="n">
        <v>7456493.127391311</v>
      </c>
      <c r="F410" s="6" t="n">
        <v>5904185.642319793</v>
      </c>
      <c r="G410" s="6" t="n">
        <v>58885078.02556159</v>
      </c>
      <c r="H410" s="6" t="n">
        <v>52980892.3832418</v>
      </c>
      <c r="I410" s="6" t="n">
        <v>49034215.97656286</v>
      </c>
      <c r="J410" s="11" t="n">
        <v>1.018414</v>
      </c>
      <c r="K410" s="11" t="n">
        <v>0.02986661043594324</v>
      </c>
      <c r="L410" s="11" t="n">
        <v>0.1493176084477216</v>
      </c>
      <c r="M410" s="11" t="n">
        <v>0.1182323734335685</v>
      </c>
    </row>
    <row r="411">
      <c r="A411" t="inlineStr">
        <is>
          <t>MyT</t>
        </is>
      </c>
      <c r="B411" s="8" t="n">
        <v>202501</v>
      </c>
      <c r="C411" s="9" t="n">
        <v>48155911.25870711</v>
      </c>
      <c r="D411" s="9" t="n">
        <v>1342433.553760557</v>
      </c>
      <c r="E411" s="9" t="n">
        <v>7997979.440327547</v>
      </c>
      <c r="F411" s="9" t="n">
        <v>5803511.952376119</v>
      </c>
      <c r="G411" s="9" t="n">
        <v>57496324.25279522</v>
      </c>
      <c r="H411" s="9" t="n">
        <v>51692812.3004191</v>
      </c>
      <c r="I411" s="9" t="n">
        <v>47285201.55723225</v>
      </c>
      <c r="J411" s="10" t="n">
        <v>1.018414</v>
      </c>
      <c r="K411" s="10" t="n">
        <v>0.02787681758421361</v>
      </c>
      <c r="L411" s="10" t="n">
        <v>0.1660851021458228</v>
      </c>
      <c r="M411" s="10" t="n">
        <v>0.1205150479075771</v>
      </c>
    </row>
    <row r="412">
      <c r="A412" s="4" t="inlineStr">
        <is>
          <t>MyT</t>
        </is>
      </c>
      <c r="B412" s="5" t="n">
        <v>202502</v>
      </c>
      <c r="C412" s="6" t="n">
        <v>48051179.27029575</v>
      </c>
      <c r="D412" s="6" t="n">
        <v>1378854.154882351</v>
      </c>
      <c r="E412" s="6" t="n">
        <v>8141432.151014182</v>
      </c>
      <c r="F412" s="6" t="n">
        <v>5256141.963339845</v>
      </c>
      <c r="G412" s="6" t="n">
        <v>57571465.57619228</v>
      </c>
      <c r="H412" s="6" t="n">
        <v>52315323.61285243</v>
      </c>
      <c r="I412" s="6" t="n">
        <v>48794812.20835102</v>
      </c>
      <c r="J412" s="11" t="n">
        <v>0.98476</v>
      </c>
      <c r="K412" s="11" t="n">
        <v>0.02869553205189973</v>
      </c>
      <c r="L412" s="11" t="n">
        <v>0.1694325149694515</v>
      </c>
      <c r="M412" s="11" t="n">
        <v>0.1093863260623259</v>
      </c>
    </row>
    <row r="413">
      <c r="A413" t="inlineStr">
        <is>
          <t>MyT</t>
        </is>
      </c>
      <c r="B413" s="8" t="n">
        <v>202503</v>
      </c>
      <c r="C413" s="9" t="n">
        <v>56010634.15475748</v>
      </c>
      <c r="D413" s="9" t="n">
        <v>1603952.117749409</v>
      </c>
      <c r="E413" s="9" t="n">
        <v>8736479.518973237</v>
      </c>
      <c r="F413" s="9" t="n">
        <v>7440792.197122247</v>
      </c>
      <c r="G413" s="9" t="n">
        <v>66351065.79148013</v>
      </c>
      <c r="H413" s="9" t="n">
        <v>58910273.59435788</v>
      </c>
      <c r="I413" s="9" t="n">
        <v>56760439.56136309</v>
      </c>
      <c r="J413" s="10" t="n">
        <v>0.9867899999999999</v>
      </c>
      <c r="K413" s="10" t="n">
        <v>0.02863656414454595</v>
      </c>
      <c r="L413" s="10" t="n">
        <v>0.1559789431205926</v>
      </c>
      <c r="M413" s="10" t="n">
        <v>0.1328460623488626</v>
      </c>
    </row>
    <row r="414">
      <c r="A414" s="4" t="inlineStr">
        <is>
          <t>MyT</t>
        </is>
      </c>
      <c r="B414" s="5" t="n">
        <v>202504</v>
      </c>
      <c r="C414" s="6" t="n">
        <v>55425028.09479135</v>
      </c>
      <c r="D414" s="6" t="n">
        <v>1600401.801810988</v>
      </c>
      <c r="E414" s="6" t="n">
        <v>10560419.30293266</v>
      </c>
      <c r="F414" s="6" t="n">
        <v>6720374.959211973</v>
      </c>
      <c r="G414" s="6" t="n">
        <v>67585849.199535</v>
      </c>
      <c r="H414" s="6" t="n">
        <v>60865474.24032302</v>
      </c>
      <c r="I414" s="6" t="n">
        <v>56634746.27523027</v>
      </c>
      <c r="J414" s="11" t="n">
        <v>0.97864</v>
      </c>
      <c r="K414" s="11" t="n">
        <v>0.02887507425479119</v>
      </c>
      <c r="L414" s="11" t="n">
        <v>0.190535208838714</v>
      </c>
      <c r="M414" s="11" t="n">
        <v>0.1212516292769102</v>
      </c>
    </row>
    <row r="415">
      <c r="A415" t="inlineStr">
        <is>
          <t>MyT</t>
        </is>
      </c>
      <c r="B415" s="8" t="n">
        <v>202505</v>
      </c>
      <c r="C415" s="9" t="n">
        <v>51962553.73716855</v>
      </c>
      <c r="D415" s="9" t="n">
        <v>1485459.570420248</v>
      </c>
      <c r="E415" s="9" t="n">
        <v>8749855.19883273</v>
      </c>
      <c r="F415" s="9" t="n">
        <v>6294526.841516417</v>
      </c>
      <c r="G415" s="9" t="n">
        <v>62197868.50642153</v>
      </c>
      <c r="H415" s="9" t="n">
        <v>55903341.66490511</v>
      </c>
      <c r="I415" s="9" t="n">
        <v>52567075.10082807</v>
      </c>
      <c r="J415" s="10" t="n">
        <v>0.9884999999999999</v>
      </c>
      <c r="K415" s="10" t="n">
        <v>0.02858711636717935</v>
      </c>
      <c r="L415" s="10" t="n">
        <v>0.1683877055598598</v>
      </c>
      <c r="M415" s="10" t="n">
        <v>0.1211358254899234</v>
      </c>
    </row>
    <row r="416">
      <c r="A416" s="4" t="inlineStr">
        <is>
          <t>MyT</t>
        </is>
      </c>
      <c r="B416" s="5" t="n">
        <v>202506</v>
      </c>
      <c r="C416" s="6" t="n">
        <v>51491802.2893197</v>
      </c>
      <c r="D416" s="6" t="n">
        <v>1650331.006533301</v>
      </c>
      <c r="E416" s="6" t="n">
        <v>7022675.330128854</v>
      </c>
      <c r="F416" s="6" t="n">
        <v>5704694.683300116</v>
      </c>
      <c r="G416" s="6" t="n">
        <v>60164808.62598186</v>
      </c>
      <c r="H416" s="6" t="n">
        <v>54460113.94268175</v>
      </c>
      <c r="I416" s="6" t="n">
        <v>52090847.03016662</v>
      </c>
      <c r="J416" s="11" t="n">
        <v>0.9884999999999999</v>
      </c>
      <c r="K416" s="11" t="n">
        <v>0.03205036400280765</v>
      </c>
      <c r="L416" s="11" t="n">
        <v>0.1363843372712064</v>
      </c>
      <c r="M416" s="11" t="n">
        <v>0.110788405720329</v>
      </c>
    </row>
    <row r="417">
      <c r="A417" t="inlineStr">
        <is>
          <t>MyT</t>
        </is>
      </c>
      <c r="B417" s="8" t="n">
        <v>202507</v>
      </c>
      <c r="C417" s="9" t="n">
        <v>56852219.04176383</v>
      </c>
      <c r="D417" s="9" t="n">
        <v>1813327.513249947</v>
      </c>
      <c r="E417" s="9" t="n">
        <v>8039733.601865592</v>
      </c>
      <c r="F417" s="9" t="n">
        <v>8130299.219313124</v>
      </c>
      <c r="G417" s="9" t="n">
        <v>66705280.15687937</v>
      </c>
      <c r="H417" s="9" t="n">
        <v>58574980.93756624</v>
      </c>
      <c r="I417" s="9" t="n">
        <v>64169607.75306086</v>
      </c>
      <c r="J417" s="10" t="n">
        <v>0.885968</v>
      </c>
      <c r="K417" s="10" t="n">
        <v>0.03189545709584125</v>
      </c>
      <c r="L417" s="10" t="n">
        <v>0.1414145962527791</v>
      </c>
      <c r="M417" s="10" t="n">
        <v>0.1430075968246829</v>
      </c>
    </row>
    <row r="418">
      <c r="A418" s="4" t="inlineStr">
        <is>
          <t>MyT</t>
        </is>
      </c>
      <c r="B418" s="5" t="n">
        <v>202508</v>
      </c>
      <c r="C418" s="6" t="n">
        <v>61284390.84853844</v>
      </c>
      <c r="D418" s="6" t="n">
        <v>1876912.576159472</v>
      </c>
      <c r="E418" s="6" t="n">
        <v>9093877.523243042</v>
      </c>
      <c r="F418" s="6" t="n">
        <v>8655178.12823192</v>
      </c>
      <c r="G418" s="6" t="n">
        <v>72255180.94794096</v>
      </c>
      <c r="H418" s="6" t="n">
        <v>63600002.81970904</v>
      </c>
      <c r="I418" s="6" t="n">
        <v>66419768.05526756</v>
      </c>
      <c r="J418" s="11" t="n">
        <v>0.922683</v>
      </c>
      <c r="K418" s="11" t="n">
        <v>0.03062627449130033</v>
      </c>
      <c r="L418" s="11" t="n">
        <v>0.1483881523064844</v>
      </c>
      <c r="M418" s="11" t="n">
        <v>0.1412297325369978</v>
      </c>
    </row>
    <row r="419">
      <c r="A419" t="inlineStr">
        <is>
          <t>MyT</t>
        </is>
      </c>
      <c r="B419" s="8" t="n">
        <v>202509</v>
      </c>
      <c r="C419" s="9" t="n">
        <v>59994888.74237634</v>
      </c>
      <c r="D419" s="9" t="n">
        <v>1871641.401715561</v>
      </c>
      <c r="E419" s="9" t="n">
        <v>10068754.32357614</v>
      </c>
      <c r="F419" s="9" t="n">
        <v>8544471.390194762</v>
      </c>
      <c r="G419" s="9" t="n">
        <v>71935284.46766806</v>
      </c>
      <c r="H419" s="9" t="n">
        <v>63390813.0774733</v>
      </c>
      <c r="I419" s="9" t="n">
        <v>66233210.51363032</v>
      </c>
      <c r="J419" s="10" t="n">
        <v>0.905812783</v>
      </c>
      <c r="K419" s="10" t="n">
        <v>0.03119668093314689</v>
      </c>
      <c r="L419" s="10" t="n">
        <v>0.1678268688323153</v>
      </c>
      <c r="M419" s="10" t="n">
        <v>0.1424199889241485</v>
      </c>
    </row>
    <row r="420">
      <c r="A420" s="4" t="inlineStr">
        <is>
          <t>MyT</t>
        </is>
      </c>
      <c r="B420" s="5" t="n">
        <v>202510</v>
      </c>
      <c r="C420" s="6" t="n">
        <v>58803065.96213052</v>
      </c>
      <c r="D420" s="6" t="n">
        <v>1764028.933884476</v>
      </c>
      <c r="E420" s="6" t="n">
        <v>10697603.73366488</v>
      </c>
      <c r="F420" s="6" t="n">
        <v>6926907.25419277</v>
      </c>
      <c r="G420" s="6" t="n">
        <v>71264698.62967987</v>
      </c>
      <c r="H420" s="6" t="n">
        <v>64337791.3754871</v>
      </c>
      <c r="I420" s="6" t="n">
        <v>62425094.81339322</v>
      </c>
      <c r="J420" s="11" t="n">
        <v>0.941978</v>
      </c>
      <c r="K420" s="11" t="n">
        <v>0.02999892786237574</v>
      </c>
      <c r="L420" s="11" t="n">
        <v>0.1819225504424241</v>
      </c>
      <c r="M420" s="11" t="n">
        <v>0.1177984028699071</v>
      </c>
    </row>
    <row r="421">
      <c r="A421" t="inlineStr">
        <is>
          <t>MyT</t>
        </is>
      </c>
      <c r="B421" s="8" t="n">
        <v>202511</v>
      </c>
      <c r="C421" s="9" t="n">
        <v>54107291.68092352</v>
      </c>
      <c r="D421" s="9" t="n">
        <v>1672877.439014392</v>
      </c>
      <c r="E421" s="9" t="n">
        <v>8888749.519275442</v>
      </c>
      <c r="F421" s="9" t="n">
        <v>5972669.124310615</v>
      </c>
      <c r="G421" s="9" t="n">
        <v>64668918.63921335</v>
      </c>
      <c r="H421" s="9" t="n">
        <v>58696249.51490273</v>
      </c>
      <c r="I421" s="9" t="n">
        <v>59199431.41294105</v>
      </c>
      <c r="J421" s="10" t="n">
        <v>0.9139833000000001</v>
      </c>
      <c r="K421" s="10" t="n">
        <v>0.03091778181912206</v>
      </c>
      <c r="L421" s="10" t="n">
        <v>0.1642800673094737</v>
      </c>
      <c r="M421" s="10" t="n">
        <v>0.1103856603936505</v>
      </c>
    </row>
    <row r="422">
      <c r="A422" s="4" t="inlineStr">
        <is>
          <t>MyT</t>
        </is>
      </c>
      <c r="B422" s="5" t="n">
        <v>202512</v>
      </c>
      <c r="C422" s="6" t="n">
        <v>48141453.07141271</v>
      </c>
      <c r="D422" s="6" t="n">
        <v>1559719.447467792</v>
      </c>
      <c r="E422" s="6" t="n">
        <v>8640879.980008885</v>
      </c>
      <c r="F422" s="6" t="n">
        <v>5391156.652043536</v>
      </c>
      <c r="G422" s="6" t="n">
        <v>58342052.49888938</v>
      </c>
      <c r="H422" s="6" t="n">
        <v>52950895.84684584</v>
      </c>
      <c r="I422" s="6" t="n">
        <v>55194985.90519534</v>
      </c>
      <c r="J422" s="11" t="n">
        <v>0.872207</v>
      </c>
      <c r="K422" s="11" t="n">
        <v>0.03239867822755817</v>
      </c>
      <c r="L422" s="11" t="n">
        <v>0.1794893886395797</v>
      </c>
      <c r="M422" s="11" t="n">
        <v>0.1119857484161587</v>
      </c>
    </row>
    <row r="423">
      <c r="A423" t="inlineStr">
        <is>
          <t>MyT</t>
        </is>
      </c>
      <c r="B423" s="8" t="n">
        <v>202601</v>
      </c>
      <c r="C423" s="9" t="n">
        <v>50616970.14770294</v>
      </c>
      <c r="D423" s="9" t="n">
        <v>1657581.602287013</v>
      </c>
      <c r="E423" s="9" t="n">
        <v>9166179.446731076</v>
      </c>
      <c r="F423" s="9" t="n">
        <v>6096110.420720891</v>
      </c>
      <c r="G423" s="9" t="n">
        <v>61440731.19672103</v>
      </c>
      <c r="H423" s="9" t="n">
        <v>55344620.77600014</v>
      </c>
      <c r="I423" s="9" t="n">
        <v>58658118.29404164</v>
      </c>
      <c r="J423" s="10" t="n">
        <v>0.862915</v>
      </c>
      <c r="K423" s="10" t="n">
        <v>0.03274754686916471</v>
      </c>
      <c r="L423" s="10" t="n">
        <v>0.1810890580764453</v>
      </c>
      <c r="M423" s="10" t="n">
        <v>0.1204360988603649</v>
      </c>
    </row>
    <row r="424">
      <c r="A424" s="4" t="inlineStr">
        <is>
          <t>MyT</t>
        </is>
      </c>
      <c r="B424" s="5" t="n">
        <v>202602</v>
      </c>
      <c r="C424" s="6" t="n">
        <v>51170085.63643961</v>
      </c>
      <c r="D424" s="6" t="n">
        <v>1675694.777678478</v>
      </c>
      <c r="E424" s="6" t="n">
        <v>9266342.609593891</v>
      </c>
      <c r="F424" s="6" t="n">
        <v>6162725.49240358</v>
      </c>
      <c r="G424" s="6" t="n">
        <v>62112123.02371198</v>
      </c>
      <c r="H424" s="6" t="n">
        <v>55949397.5313084</v>
      </c>
      <c r="I424" s="6" t="n">
        <v>58432683.92097796</v>
      </c>
      <c r="J424" s="11" t="n">
        <v>0.87571</v>
      </c>
      <c r="K424" s="11" t="n">
        <v>0.03274754686916471</v>
      </c>
      <c r="L424" s="11" t="n">
        <v>0.1810890580764453</v>
      </c>
      <c r="M424" s="11" t="n">
        <v>0.1204360988603649</v>
      </c>
    </row>
    <row r="425">
      <c r="A425" t="inlineStr">
        <is>
          <t>MyT</t>
        </is>
      </c>
      <c r="B425" s="8" t="n">
        <v>202603</v>
      </c>
      <c r="C425" s="9" t="n">
        <v>54353740.9780644</v>
      </c>
      <c r="D425" s="9" t="n">
        <v>1597155.97594448</v>
      </c>
      <c r="E425" s="9" t="n">
        <v>10085457.92013478</v>
      </c>
      <c r="F425" s="9" t="n">
        <v>7804086.927900382</v>
      </c>
      <c r="G425" s="9" t="n">
        <v>66036354.87414367</v>
      </c>
      <c r="H425" s="9" t="n">
        <v>58232267.94624329</v>
      </c>
      <c r="I425" s="9" t="n">
        <v>60864065.77353004</v>
      </c>
      <c r="J425" s="10" t="n">
        <v>0.893035</v>
      </c>
      <c r="K425" s="10" t="n">
        <v>0.02938447192786687</v>
      </c>
      <c r="L425" s="10" t="n">
        <v>0.1855522313396051</v>
      </c>
      <c r="M425" s="10" t="n">
        <v>0.1435795731346236</v>
      </c>
    </row>
    <row r="426">
      <c r="A426" s="4" t="inlineStr">
        <is>
          <t>MyT</t>
        </is>
      </c>
      <c r="B426" s="5" t="n">
        <v>202604</v>
      </c>
      <c r="C426" s="6" t="n">
        <v>53177369.2634869</v>
      </c>
      <c r="D426" s="6" t="n">
        <v>1550302.100888441</v>
      </c>
      <c r="E426" s="6" t="n">
        <v>9576211.964187579</v>
      </c>
      <c r="F426" s="6" t="n">
        <v>8242256.320411245</v>
      </c>
      <c r="G426" s="6" t="n">
        <v>64303883.32856292</v>
      </c>
      <c r="H426" s="6" t="n">
        <v>56061627.00815167</v>
      </c>
      <c r="I426" s="6" t="n">
        <v>59082289.61696483</v>
      </c>
      <c r="J426" s="11" t="n">
        <v>0.900056</v>
      </c>
      <c r="K426" s="11" t="n">
        <v>0.02915341850039435</v>
      </c>
      <c r="L426" s="11" t="n">
        <v>0.1800805887319981</v>
      </c>
      <c r="M426" s="11" t="n">
        <v>0.1549955636122567</v>
      </c>
    </row>
    <row r="427">
      <c r="A427" t="inlineStr">
        <is>
          <t>MyT</t>
        </is>
      </c>
      <c r="B427" s="8" t="n">
        <v>202605</v>
      </c>
      <c r="C427" s="9" t="n">
        <v>54792359.2118846</v>
      </c>
      <c r="D427" s="9" t="n">
        <v>1497348.61505989</v>
      </c>
      <c r="E427" s="9" t="n">
        <v>10125411.65737222</v>
      </c>
      <c r="F427" s="9" t="n">
        <v>8816759.750520468</v>
      </c>
      <c r="G427" s="9" t="n">
        <v>66415119.48431671</v>
      </c>
      <c r="H427" s="9" t="n">
        <v>57598359.73379624</v>
      </c>
      <c r="I427" s="9" t="n">
        <v>57064020.8165715</v>
      </c>
      <c r="J427" s="10" t="n">
        <v>0.960191</v>
      </c>
      <c r="K427" s="10" t="n">
        <v>0.02732769014872262</v>
      </c>
      <c r="L427" s="10" t="n">
        <v>0.1847960519133111</v>
      </c>
      <c r="M427" s="10" t="n">
        <v>0.160912212529956</v>
      </c>
    </row>
    <row r="428">
      <c r="A428" s="4" t="inlineStr">
        <is>
          <t>RC</t>
        </is>
      </c>
      <c r="B428" s="5" t="n">
        <v>202201</v>
      </c>
      <c r="C428" s="6" t="n">
        <v>4164369.889974483</v>
      </c>
      <c r="D428" s="6" t="n">
        <v>251813.5635072332</v>
      </c>
      <c r="E428" s="6" t="n">
        <v>610555.6958095221</v>
      </c>
      <c r="F428" s="6" t="n">
        <v>1609026.504603802</v>
      </c>
      <c r="G428" s="6" t="n">
        <v>5026739.149291238</v>
      </c>
      <c r="H428" s="6" t="n">
        <v>3417712.644687436</v>
      </c>
      <c r="I428" s="6" t="n">
        <v>6610014.772479422</v>
      </c>
      <c r="J428" s="11" t="n">
        <v>0.6300091653823073</v>
      </c>
      <c r="K428" s="11" t="n">
        <v>0.06046858712369956</v>
      </c>
      <c r="L428" s="11" t="n">
        <v>0.1466141846043515</v>
      </c>
      <c r="M428" s="11" t="n">
        <v>0.3863793436018866</v>
      </c>
    </row>
    <row r="429">
      <c r="A429" t="inlineStr">
        <is>
          <t>RC</t>
        </is>
      </c>
      <c r="B429" s="8" t="n">
        <v>202202</v>
      </c>
      <c r="C429" s="9" t="n">
        <v>4584218.182659883</v>
      </c>
      <c r="D429" s="9" t="n">
        <v>296907.2846617157</v>
      </c>
      <c r="E429" s="9" t="n">
        <v>517415.4640079528</v>
      </c>
      <c r="F429" s="9" t="n">
        <v>2020587.547024541</v>
      </c>
      <c r="G429" s="9" t="n">
        <v>5398540.931329552</v>
      </c>
      <c r="H429" s="9" t="n">
        <v>3377953.384305011</v>
      </c>
      <c r="I429" s="9" t="n">
        <v>7793699.251973287</v>
      </c>
      <c r="J429" s="10" t="n">
        <v>0.5881954171504892</v>
      </c>
      <c r="K429" s="10" t="n">
        <v>0.06476726735755896</v>
      </c>
      <c r="L429" s="10" t="n">
        <v>0.1128688564530179</v>
      </c>
      <c r="M429" s="10" t="n">
        <v>0.4407703705437823</v>
      </c>
    </row>
    <row r="430">
      <c r="A430" s="4" t="inlineStr">
        <is>
          <t>RC</t>
        </is>
      </c>
      <c r="B430" s="5" t="n">
        <v>202203</v>
      </c>
      <c r="C430" s="6" t="n">
        <v>4944522.522635751</v>
      </c>
      <c r="D430" s="6" t="n">
        <v>308162.3605532122</v>
      </c>
      <c r="E430" s="6" t="n">
        <v>860173.4293226618</v>
      </c>
      <c r="F430" s="6" t="n">
        <v>2072838.560964452</v>
      </c>
      <c r="G430" s="6" t="n">
        <v>6112858.312511625</v>
      </c>
      <c r="H430" s="6" t="n">
        <v>4040019.751547174</v>
      </c>
      <c r="I430" s="6" t="n">
        <v>8089174.666750041</v>
      </c>
      <c r="J430" s="11" t="n">
        <v>0.6112517934567353</v>
      </c>
      <c r="K430" s="11" t="n">
        <v>0.06232398763327742</v>
      </c>
      <c r="L430" s="11" t="n">
        <v>0.1739649127665685</v>
      </c>
      <c r="M430" s="11" t="n">
        <v>0.4192191564453618</v>
      </c>
    </row>
    <row r="431">
      <c r="A431" t="inlineStr">
        <is>
          <t>RC</t>
        </is>
      </c>
      <c r="B431" s="8" t="n">
        <v>202204</v>
      </c>
      <c r="C431" s="9" t="n">
        <v>4639535.76354244</v>
      </c>
      <c r="D431" s="9" t="n">
        <v>300202.7726305338</v>
      </c>
      <c r="E431" s="9" t="n">
        <v>428039.6322492173</v>
      </c>
      <c r="F431" s="9" t="n">
        <v>1935949.87441817</v>
      </c>
      <c r="G431" s="9" t="n">
        <v>5367778.168422191</v>
      </c>
      <c r="H431" s="9" t="n">
        <v>3431828.294004021</v>
      </c>
      <c r="I431" s="9" t="n">
        <v>7880212.575349913</v>
      </c>
      <c r="J431" s="10" t="n">
        <v>0.5887576913921546</v>
      </c>
      <c r="K431" s="10" t="n">
        <v>0.06470534724390593</v>
      </c>
      <c r="L431" s="10" t="n">
        <v>0.092259151360091</v>
      </c>
      <c r="M431" s="10" t="n">
        <v>0.4172723248801963</v>
      </c>
    </row>
    <row r="432">
      <c r="A432" s="4" t="inlineStr">
        <is>
          <t>RC</t>
        </is>
      </c>
      <c r="B432" s="5" t="n">
        <v>202205</v>
      </c>
      <c r="C432" s="6" t="n">
        <v>4682958.727997764</v>
      </c>
      <c r="D432" s="6" t="n">
        <v>287298.4074572655</v>
      </c>
      <c r="E432" s="6" t="n">
        <v>496102.7111325595</v>
      </c>
      <c r="F432" s="6" t="n">
        <v>1843610.056640674</v>
      </c>
      <c r="G432" s="6" t="n">
        <v>5466359.846587589</v>
      </c>
      <c r="H432" s="6" t="n">
        <v>3622749.789946914</v>
      </c>
      <c r="I432" s="6" t="n">
        <v>7541493.425625021</v>
      </c>
      <c r="J432" s="11" t="n">
        <v>0.6209590678798015</v>
      </c>
      <c r="K432" s="11" t="n">
        <v>0.06134976286244192</v>
      </c>
      <c r="L432" s="11" t="n">
        <v>0.1059378781552218</v>
      </c>
      <c r="M432" s="11" t="n">
        <v>0.3936848825120704</v>
      </c>
    </row>
    <row r="433">
      <c r="A433" t="inlineStr">
        <is>
          <t>RC</t>
        </is>
      </c>
      <c r="B433" s="8" t="n">
        <v>202206</v>
      </c>
      <c r="C433" s="9" t="n">
        <v>6916842.634577085</v>
      </c>
      <c r="D433" s="9" t="n">
        <v>339641.8116442268</v>
      </c>
      <c r="E433" s="9" t="n">
        <v>699552.3786583761</v>
      </c>
      <c r="F433" s="9" t="n">
        <v>2618438.858124786</v>
      </c>
      <c r="G433" s="9" t="n">
        <v>7956036.824879688</v>
      </c>
      <c r="H433" s="9" t="n">
        <v>5337597.966754902</v>
      </c>
      <c r="I433" s="9" t="n">
        <v>8915476.323235003</v>
      </c>
      <c r="J433" s="10" t="n">
        <v>0.7758242390875748</v>
      </c>
      <c r="K433" s="10" t="n">
        <v>0.0491035909862063</v>
      </c>
      <c r="L433" s="10" t="n">
        <v>0.1011375298841317</v>
      </c>
      <c r="M433" s="10" t="n">
        <v>0.3785598424684826</v>
      </c>
    </row>
    <row r="434">
      <c r="A434" s="4" t="inlineStr">
        <is>
          <t>RC</t>
        </is>
      </c>
      <c r="B434" s="5" t="n">
        <v>202207</v>
      </c>
      <c r="C434" s="6" t="n">
        <v>5606443.050985631</v>
      </c>
      <c r="D434" s="6" t="n">
        <v>286807.2485831868</v>
      </c>
      <c r="E434" s="6" t="n">
        <v>844001.6967381375</v>
      </c>
      <c r="F434" s="6" t="n">
        <v>1956801.173229352</v>
      </c>
      <c r="G434" s="6" t="n">
        <v>6737251.996306955</v>
      </c>
      <c r="H434" s="6" t="n">
        <v>4780450.823077603</v>
      </c>
      <c r="I434" s="6" t="n">
        <v>8117840.665785667</v>
      </c>
      <c r="J434" s="11" t="n">
        <v>0.6906323099706988</v>
      </c>
      <c r="K434" s="11" t="n">
        <v>0.05115672200269031</v>
      </c>
      <c r="L434" s="11" t="n">
        <v>0.1505413840937454</v>
      </c>
      <c r="M434" s="11" t="n">
        <v>0.3490272094862963</v>
      </c>
    </row>
    <row r="435">
      <c r="A435" t="inlineStr">
        <is>
          <t>RC</t>
        </is>
      </c>
      <c r="B435" s="8" t="n">
        <v>202208</v>
      </c>
      <c r="C435" s="9" t="n">
        <v>7730569.186127327</v>
      </c>
      <c r="D435" s="9" t="n">
        <v>308422.2045156678</v>
      </c>
      <c r="E435" s="9" t="n">
        <v>1394155.152607332</v>
      </c>
      <c r="F435" s="9" t="n">
        <v>2909449.073136344</v>
      </c>
      <c r="G435" s="9" t="n">
        <v>9433146.543250326</v>
      </c>
      <c r="H435" s="9" t="n">
        <v>6523697.470113982</v>
      </c>
      <c r="I435" s="9" t="n">
        <v>8729640.160213081</v>
      </c>
      <c r="J435" s="10" t="n">
        <v>0.8855541630869047</v>
      </c>
      <c r="K435" s="10" t="n">
        <v>0.03989644191648114</v>
      </c>
      <c r="L435" s="10" t="n">
        <v>0.1803431440868769</v>
      </c>
      <c r="M435" s="10" t="n">
        <v>0.3763563850327364</v>
      </c>
    </row>
    <row r="436">
      <c r="A436" s="4" t="inlineStr">
        <is>
          <t>RC</t>
        </is>
      </c>
      <c r="B436" s="5" t="n">
        <v>202209</v>
      </c>
      <c r="C436" s="6" t="n">
        <v>6786227.846535269</v>
      </c>
      <c r="D436" s="6" t="n">
        <v>342688.207441708</v>
      </c>
      <c r="E436" s="6" t="n">
        <v>1254072.198677405</v>
      </c>
      <c r="F436" s="6" t="n">
        <v>2408925.278356048</v>
      </c>
      <c r="G436" s="6" t="n">
        <v>8382988.252654382</v>
      </c>
      <c r="H436" s="6" t="n">
        <v>5974062.974298335</v>
      </c>
      <c r="I436" s="6" t="n">
        <v>9699475.398137452</v>
      </c>
      <c r="J436" s="11" t="n">
        <v>0.6996489570805446</v>
      </c>
      <c r="K436" s="11" t="n">
        <v>0.05049759825212303</v>
      </c>
      <c r="L436" s="11" t="n">
        <v>0.184796653905111</v>
      </c>
      <c r="M436" s="11" t="n">
        <v>0.3549726494352724</v>
      </c>
    </row>
    <row r="437">
      <c r="A437" t="inlineStr">
        <is>
          <t>RC</t>
        </is>
      </c>
      <c r="B437" s="8" t="n">
        <v>202210</v>
      </c>
      <c r="C437" s="9" t="n">
        <v>7557518.774072072</v>
      </c>
      <c r="D437" s="9" t="n">
        <v>361166.7041892349</v>
      </c>
      <c r="E437" s="9" t="n">
        <v>1562398.293816853</v>
      </c>
      <c r="F437" s="9" t="n">
        <v>2701299.017177932</v>
      </c>
      <c r="G437" s="9" t="n">
        <v>9481083.77207816</v>
      </c>
      <c r="H437" s="9" t="n">
        <v>6779784.754900228</v>
      </c>
      <c r="I437" s="9" t="n">
        <v>10222529.38203002</v>
      </c>
      <c r="J437" s="10" t="n">
        <v>0.7393002740943241</v>
      </c>
      <c r="K437" s="10" t="n">
        <v>0.04778905815335929</v>
      </c>
      <c r="L437" s="10" t="n">
        <v>0.2067342921035201</v>
      </c>
      <c r="M437" s="10" t="n">
        <v>0.3574319955969416</v>
      </c>
    </row>
    <row r="438">
      <c r="A438" s="4" t="inlineStr">
        <is>
          <t>RC</t>
        </is>
      </c>
      <c r="B438" s="5" t="n">
        <v>202211</v>
      </c>
      <c r="C438" s="6" t="n">
        <v>6136544.791046245</v>
      </c>
      <c r="D438" s="6" t="n">
        <v>355955.0307901865</v>
      </c>
      <c r="E438" s="6" t="n">
        <v>1391760.466332782</v>
      </c>
      <c r="F438" s="6" t="n">
        <v>2207493.270699862</v>
      </c>
      <c r="G438" s="6" t="n">
        <v>7884260.288169215</v>
      </c>
      <c r="H438" s="6" t="n">
        <v>5676767.017469352</v>
      </c>
      <c r="I438" s="6" t="n">
        <v>10075036.84396934</v>
      </c>
      <c r="J438" s="11" t="n">
        <v>0.6090841042154032</v>
      </c>
      <c r="K438" s="11" t="n">
        <v>0.05800577408145965</v>
      </c>
      <c r="L438" s="11" t="n">
        <v>0.226798713889204</v>
      </c>
      <c r="M438" s="11" t="n">
        <v>0.3597290243722799</v>
      </c>
    </row>
    <row r="439">
      <c r="A439" t="inlineStr">
        <is>
          <t>RC</t>
        </is>
      </c>
      <c r="B439" s="8" t="n">
        <v>202212</v>
      </c>
      <c r="C439" s="9" t="n">
        <v>6474596.370887133</v>
      </c>
      <c r="D439" s="9" t="n">
        <v>342680.8205485701</v>
      </c>
      <c r="E439" s="9" t="n">
        <v>1450790.787794289</v>
      </c>
      <c r="F439" s="9" t="n">
        <v>2277239.850017172</v>
      </c>
      <c r="G439" s="9" t="n">
        <v>8268067.979229992</v>
      </c>
      <c r="H439" s="9" t="n">
        <v>5990828.129212821</v>
      </c>
      <c r="I439" s="9" t="n">
        <v>9699348.464883462</v>
      </c>
      <c r="J439" s="10" t="n">
        <v>0.6675289989145602</v>
      </c>
      <c r="K439" s="10" t="n">
        <v>0.05292697813402333</v>
      </c>
      <c r="L439" s="10" t="n">
        <v>0.2240743213457652</v>
      </c>
      <c r="M439" s="10" t="n">
        <v>0.3517191990927382</v>
      </c>
    </row>
    <row r="440">
      <c r="A440" s="4" t="inlineStr">
        <is>
          <t>RC</t>
        </is>
      </c>
      <c r="B440" s="5" t="n">
        <v>202301</v>
      </c>
      <c r="C440" s="6" t="n">
        <v>5821945.978024311</v>
      </c>
      <c r="D440" s="6" t="n">
        <v>255816.5396252455</v>
      </c>
      <c r="E440" s="6" t="n">
        <v>1378323.943415256</v>
      </c>
      <c r="F440" s="6" t="n">
        <v>1969951.062158289</v>
      </c>
      <c r="G440" s="6" t="n">
        <v>7456086.461064812</v>
      </c>
      <c r="H440" s="6" t="n">
        <v>5486135.398906523</v>
      </c>
      <c r="I440" s="6" t="n">
        <v>8821331.630614366</v>
      </c>
      <c r="J440" s="11" t="n">
        <v>0.6599849344535796</v>
      </c>
      <c r="K440" s="11" t="n">
        <v>0.04394004008124743</v>
      </c>
      <c r="L440" s="11" t="n">
        <v>0.2367462612360056</v>
      </c>
      <c r="M440" s="11" t="n">
        <v>0.3383664275817955</v>
      </c>
    </row>
    <row r="441">
      <c r="A441" t="inlineStr">
        <is>
          <t>RC</t>
        </is>
      </c>
      <c r="B441" s="8" t="n">
        <v>202302</v>
      </c>
      <c r="C441" s="9" t="n">
        <v>4997415.830573034</v>
      </c>
      <c r="D441" s="9" t="n">
        <v>232793.3228923947</v>
      </c>
      <c r="E441" s="9" t="n">
        <v>1031480.764844232</v>
      </c>
      <c r="F441" s="9" t="n">
        <v>1579642.031508352</v>
      </c>
      <c r="G441" s="9" t="n">
        <v>6261689.918309661</v>
      </c>
      <c r="H441" s="9" t="n">
        <v>4682047.886801309</v>
      </c>
      <c r="I441" s="9" t="n">
        <v>8027428.167772664</v>
      </c>
      <c r="J441" s="10" t="n">
        <v>0.6225425785354172</v>
      </c>
      <c r="K441" s="10" t="n">
        <v>0.0465827401170459</v>
      </c>
      <c r="L441" s="10" t="n">
        <v>0.2064028289448862</v>
      </c>
      <c r="M441" s="10" t="n">
        <v>0.3160917732409754</v>
      </c>
    </row>
    <row r="442">
      <c r="A442" s="4" t="inlineStr">
        <is>
          <t>RC</t>
        </is>
      </c>
      <c r="B442" s="5" t="n">
        <v>202303</v>
      </c>
      <c r="C442" s="6" t="n">
        <v>5122340.282240388</v>
      </c>
      <c r="D442" s="6" t="n">
        <v>216177.0972414137</v>
      </c>
      <c r="E442" s="6" t="n">
        <v>1169343.607971099</v>
      </c>
      <c r="F442" s="6" t="n">
        <v>1448663.295431213</v>
      </c>
      <c r="G442" s="6" t="n">
        <v>6507860.987452901</v>
      </c>
      <c r="H442" s="6" t="n">
        <v>5059197.692021688</v>
      </c>
      <c r="I442" s="6" t="n">
        <v>7454517.993699177</v>
      </c>
      <c r="J442" s="11" t="n">
        <v>0.6871457398815016</v>
      </c>
      <c r="K442" s="11" t="n">
        <v>0.04220279898055954</v>
      </c>
      <c r="L442" s="11" t="n">
        <v>0.2282830783470824</v>
      </c>
      <c r="M442" s="11" t="n">
        <v>0.2828127800204642</v>
      </c>
    </row>
    <row r="443">
      <c r="A443" t="inlineStr">
        <is>
          <t>RC</t>
        </is>
      </c>
      <c r="B443" s="8" t="n">
        <v>202304</v>
      </c>
      <c r="C443" s="9" t="n">
        <v>7213989.472543111</v>
      </c>
      <c r="D443" s="9" t="n">
        <v>326831.9320443402</v>
      </c>
      <c r="E443" s="9" t="n">
        <v>1475894.43913232</v>
      </c>
      <c r="F443" s="9" t="n">
        <v>2604257.491577812</v>
      </c>
      <c r="G443" s="9" t="n">
        <v>9016715.843719771</v>
      </c>
      <c r="H443" s="9" t="n">
        <v>6412458.35214196</v>
      </c>
      <c r="I443" s="9" t="n">
        <v>11270086.66413635</v>
      </c>
      <c r="J443" s="10" t="n">
        <v>0.6401006210093712</v>
      </c>
      <c r="K443" s="10" t="n">
        <v>0.04530529650594622</v>
      </c>
      <c r="L443" s="10" t="n">
        <v>0.2045878282397924</v>
      </c>
      <c r="M443" s="10" t="n">
        <v>0.3610010108123635</v>
      </c>
    </row>
    <row r="444">
      <c r="A444" s="4" t="inlineStr">
        <is>
          <t>RC</t>
        </is>
      </c>
      <c r="B444" s="5" t="n">
        <v>202305</v>
      </c>
      <c r="C444" s="6" t="n">
        <v>6600650.229526361</v>
      </c>
      <c r="D444" s="6" t="n">
        <v>308028.8259104734</v>
      </c>
      <c r="E444" s="6" t="n">
        <v>1268467.844826612</v>
      </c>
      <c r="F444" s="6" t="n">
        <v>2239344.832264849</v>
      </c>
      <c r="G444" s="6" t="n">
        <v>8177146.900263446</v>
      </c>
      <c r="H444" s="6" t="n">
        <v>5937802.067998597</v>
      </c>
      <c r="I444" s="6" t="n">
        <v>10621799.0290945</v>
      </c>
      <c r="J444" s="11" t="n">
        <v>0.621424884</v>
      </c>
      <c r="K444" s="11" t="n">
        <v>0.04666643666900926</v>
      </c>
      <c r="L444" s="11" t="n">
        <v>0.1921731648728238</v>
      </c>
      <c r="M444" s="11" t="n">
        <v>0.3392612476643131</v>
      </c>
    </row>
    <row r="445">
      <c r="A445" t="inlineStr">
        <is>
          <t>RC</t>
        </is>
      </c>
      <c r="B445" s="8" t="n">
        <v>202306</v>
      </c>
      <c r="C445" s="9" t="n">
        <v>7154276.626586272</v>
      </c>
      <c r="D445" s="9" t="n">
        <v>291275.4376124705</v>
      </c>
      <c r="E445" s="9" t="n">
        <v>1531452.68059548</v>
      </c>
      <c r="F445" s="9" t="n">
        <v>2260134.231344505</v>
      </c>
      <c r="G445" s="9" t="n">
        <v>8977004.744794223</v>
      </c>
      <c r="H445" s="9" t="n">
        <v>6716870.513449719</v>
      </c>
      <c r="I445" s="9" t="n">
        <v>10044060.79852236</v>
      </c>
      <c r="J445" s="10" t="n">
        <v>0.7122892593042426</v>
      </c>
      <c r="K445" s="10" t="n">
        <v>0.04071347151018051</v>
      </c>
      <c r="L445" s="10" t="n">
        <v>0.2140611497889796</v>
      </c>
      <c r="M445" s="10" t="n">
        <v>0.3159137323465431</v>
      </c>
    </row>
    <row r="446">
      <c r="A446" s="4" t="inlineStr">
        <is>
          <t>RC</t>
        </is>
      </c>
      <c r="B446" s="5" t="n">
        <v>202307</v>
      </c>
      <c r="C446" s="6" t="n">
        <v>6559183.330944447</v>
      </c>
      <c r="D446" s="6" t="n">
        <v>275661.1053379677</v>
      </c>
      <c r="E446" s="6" t="n">
        <v>1249147.549599265</v>
      </c>
      <c r="F446" s="6" t="n">
        <v>1964554.442732409</v>
      </c>
      <c r="G446" s="6" t="n">
        <v>8083991.985881679</v>
      </c>
      <c r="H446" s="6" t="n">
        <v>6119437.54314927</v>
      </c>
      <c r="I446" s="6" t="n">
        <v>9545642.629721856</v>
      </c>
      <c r="J446" s="11" t="n">
        <v>0.6871390000000001</v>
      </c>
      <c r="K446" s="11" t="n">
        <v>0.04202674196305407</v>
      </c>
      <c r="L446" s="11" t="n">
        <v>0.1904425423979423</v>
      </c>
      <c r="M446" s="11" t="n">
        <v>0.2995120495358278</v>
      </c>
    </row>
    <row r="447">
      <c r="A447" t="inlineStr">
        <is>
          <t>RC</t>
        </is>
      </c>
      <c r="B447" s="8" t="n">
        <v>202308</v>
      </c>
      <c r="C447" s="9" t="n">
        <v>6791011.923049862</v>
      </c>
      <c r="D447" s="9" t="n">
        <v>252814.0760589146</v>
      </c>
      <c r="E447" s="9" t="n">
        <v>2242754.086143815</v>
      </c>
      <c r="F447" s="9" t="n">
        <v>2068408.548126085</v>
      </c>
      <c r="G447" s="9" t="n">
        <v>9286580.085252592</v>
      </c>
      <c r="H447" s="9" t="n">
        <v>7218171.537126508</v>
      </c>
      <c r="I447" s="9" t="n">
        <v>8643263.234122263</v>
      </c>
      <c r="J447" s="10" t="n">
        <v>0.7857</v>
      </c>
      <c r="K447" s="10" t="n">
        <v>0.03722774734069015</v>
      </c>
      <c r="L447" s="10" t="n">
        <v>0.3302532982649497</v>
      </c>
      <c r="M447" s="10" t="n">
        <v>0.3045803146222658</v>
      </c>
    </row>
    <row r="448">
      <c r="A448" s="4" t="inlineStr">
        <is>
          <t>RC</t>
        </is>
      </c>
      <c r="B448" s="5" t="n">
        <v>202309</v>
      </c>
      <c r="C448" s="6" t="n">
        <v>6162719.323613286</v>
      </c>
      <c r="D448" s="6" t="n">
        <v>244683.2802575181</v>
      </c>
      <c r="E448" s="6" t="n">
        <v>2004320.883181565</v>
      </c>
      <c r="F448" s="6" t="n">
        <v>1795302.628543886</v>
      </c>
      <c r="G448" s="6" t="n">
        <v>8411723.48705237</v>
      </c>
      <c r="H448" s="6" t="n">
        <v>6616420.858508484</v>
      </c>
      <c r="I448" s="6" t="n">
        <v>8437440.650492299</v>
      </c>
      <c r="J448" s="11" t="n">
        <v>0.7304015019357452</v>
      </c>
      <c r="K448" s="11" t="n">
        <v>0.03970378454848354</v>
      </c>
      <c r="L448" s="11" t="n">
        <v>0.3252331930000025</v>
      </c>
      <c r="M448" s="11" t="n">
        <v>0.2913166305765287</v>
      </c>
    </row>
    <row r="449">
      <c r="A449" t="inlineStr">
        <is>
          <t>RC</t>
        </is>
      </c>
      <c r="B449" s="8" t="n">
        <v>202310</v>
      </c>
      <c r="C449" s="9" t="n">
        <v>7135293.873124184</v>
      </c>
      <c r="D449" s="9" t="n">
        <v>250356.2580788328</v>
      </c>
      <c r="E449" s="9" t="n">
        <v>2167398.375079748</v>
      </c>
      <c r="F449" s="9" t="n">
        <v>2565988.92291476</v>
      </c>
      <c r="G449" s="9" t="n">
        <v>9553048.506282764</v>
      </c>
      <c r="H449" s="9" t="n">
        <v>6987059.583368006</v>
      </c>
      <c r="I449" s="9" t="n">
        <v>8633039.029329641</v>
      </c>
      <c r="J449" s="10" t="n">
        <v>0.8265100909289231</v>
      </c>
      <c r="K449" s="10" t="n">
        <v>0.03508702830332263</v>
      </c>
      <c r="L449" s="10" t="n">
        <v>0.3037574084010017</v>
      </c>
      <c r="M449" s="10" t="n">
        <v>0.3596192348264478</v>
      </c>
    </row>
    <row r="450">
      <c r="A450" s="4" t="inlineStr">
        <is>
          <t>RC</t>
        </is>
      </c>
      <c r="B450" s="5" t="n">
        <v>202311</v>
      </c>
      <c r="C450" s="6" t="n">
        <v>11580733.78097807</v>
      </c>
      <c r="D450" s="6" t="n">
        <v>357149.9588780317</v>
      </c>
      <c r="E450" s="6" t="n">
        <v>4410683.754809545</v>
      </c>
      <c r="F450" s="6" t="n">
        <v>4321126.842580504</v>
      </c>
      <c r="G450" s="6" t="n">
        <v>16348567.49466565</v>
      </c>
      <c r="H450" s="6" t="n">
        <v>12027440.65208514</v>
      </c>
      <c r="I450" s="6" t="n">
        <v>12315626.80249358</v>
      </c>
      <c r="J450" s="11" t="n">
        <v>0.9403284109448076</v>
      </c>
      <c r="K450" s="11" t="n">
        <v>0.03084001114546542</v>
      </c>
      <c r="L450" s="11" t="n">
        <v>0.380863927815551</v>
      </c>
      <c r="M450" s="11" t="n">
        <v>0.3731306603108491</v>
      </c>
    </row>
    <row r="451">
      <c r="A451" t="inlineStr">
        <is>
          <t>RC</t>
        </is>
      </c>
      <c r="B451" s="8" t="n">
        <v>202312</v>
      </c>
      <c r="C451" s="9" t="n">
        <v>9464065.795739865</v>
      </c>
      <c r="D451" s="9" t="n">
        <v>367707.5330354933</v>
      </c>
      <c r="E451" s="9" t="n">
        <v>2856175.921516391</v>
      </c>
      <c r="F451" s="9" t="n">
        <v>3813936.484033336</v>
      </c>
      <c r="G451" s="9" t="n">
        <v>12687949.25029175</v>
      </c>
      <c r="H451" s="9" t="n">
        <v>8874012.766258411</v>
      </c>
      <c r="I451" s="9" t="n">
        <v>11381901.47798106</v>
      </c>
      <c r="J451" s="10" t="n">
        <v>0.8315012930000001</v>
      </c>
      <c r="K451" s="10" t="n">
        <v>0.03885301951313699</v>
      </c>
      <c r="L451" s="10" t="n">
        <v>0.3017916383043389</v>
      </c>
      <c r="M451" s="10" t="n">
        <v>0.4029913323035152</v>
      </c>
    </row>
    <row r="452">
      <c r="A452" s="4" t="inlineStr">
        <is>
          <t>RC</t>
        </is>
      </c>
      <c r="B452" s="5" t="n">
        <v>202401</v>
      </c>
      <c r="C452" s="6" t="n">
        <v>10306963.97721436</v>
      </c>
      <c r="D452" s="6" t="n">
        <v>329810.5628706167</v>
      </c>
      <c r="E452" s="6" t="n">
        <v>3558081.715459681</v>
      </c>
      <c r="F452" s="6" t="n">
        <v>4160822.473385627</v>
      </c>
      <c r="G452" s="6" t="n">
        <v>14194856.25554466</v>
      </c>
      <c r="H452" s="6" t="n">
        <v>10034033.78215903</v>
      </c>
      <c r="I452" s="6" t="n">
        <v>11675707.12327601</v>
      </c>
      <c r="J452" s="11" t="n">
        <v>0.8827700000000001</v>
      </c>
      <c r="K452" s="11" t="n">
        <v>0.03199880814561203</v>
      </c>
      <c r="L452" s="11" t="n">
        <v>0.3452114243656564</v>
      </c>
      <c r="M452" s="11" t="n">
        <v>0.4036904060772862</v>
      </c>
    </row>
    <row r="453">
      <c r="A453" t="inlineStr">
        <is>
          <t>RC</t>
        </is>
      </c>
      <c r="B453" s="8" t="n">
        <v>202402</v>
      </c>
      <c r="C453" s="9" t="n">
        <v>8705158.888960555</v>
      </c>
      <c r="D453" s="9" t="n">
        <v>293736.915030227</v>
      </c>
      <c r="E453" s="9" t="n">
        <v>2780966.377394557</v>
      </c>
      <c r="F453" s="9" t="n">
        <v>3507641.276979999</v>
      </c>
      <c r="G453" s="9" t="n">
        <v>11779862.18138534</v>
      </c>
      <c r="H453" s="9" t="n">
        <v>8272220.90440534</v>
      </c>
      <c r="I453" s="9" t="n">
        <v>10398664.61001903</v>
      </c>
      <c r="J453" s="10" t="n">
        <v>0.8371420000000002</v>
      </c>
      <c r="K453" s="10" t="n">
        <v>0.0337428551020165</v>
      </c>
      <c r="L453" s="10" t="n">
        <v>0.3194618746041774</v>
      </c>
      <c r="M453" s="10" t="n">
        <v>0.4029382256799716</v>
      </c>
    </row>
    <row r="454">
      <c r="A454" s="4" t="inlineStr">
        <is>
          <t>RC</t>
        </is>
      </c>
      <c r="B454" s="5" t="n">
        <v>202403</v>
      </c>
      <c r="C454" s="6" t="n">
        <v>11000548.96664151</v>
      </c>
      <c r="D454" s="6" t="n">
        <v>309168.4323018868</v>
      </c>
      <c r="E454" s="6" t="n">
        <v>3316368.84709434</v>
      </c>
      <c r="F454" s="6" t="n">
        <v>4565482.96090566</v>
      </c>
      <c r="G454" s="6" t="n">
        <v>14626086.24603774</v>
      </c>
      <c r="H454" s="6" t="n">
        <v>10060603.28513208</v>
      </c>
      <c r="I454" s="6" t="n">
        <v>10944948.62761323</v>
      </c>
      <c r="J454" s="11" t="n">
        <v>1.00508</v>
      </c>
      <c r="K454" s="11" t="n">
        <v>0.02810481851764136</v>
      </c>
      <c r="L454" s="11" t="n">
        <v>0.3014730316778759</v>
      </c>
      <c r="M454" s="11" t="n">
        <v>0.4150231933651864</v>
      </c>
    </row>
    <row r="455">
      <c r="A455" t="inlineStr">
        <is>
          <t>RC</t>
        </is>
      </c>
      <c r="B455" s="8" t="n">
        <v>202404</v>
      </c>
      <c r="C455" s="9" t="n">
        <v>9374962.758367006</v>
      </c>
      <c r="D455" s="9" t="n">
        <v>322709.1482355139</v>
      </c>
      <c r="E455" s="9" t="n">
        <v>2413547.871172665</v>
      </c>
      <c r="F455" s="9" t="n">
        <v>4037050.502137002</v>
      </c>
      <c r="G455" s="9" t="n">
        <v>12111219.77777518</v>
      </c>
      <c r="H455" s="9" t="n">
        <v>8074169.275638184</v>
      </c>
      <c r="I455" s="9" t="n">
        <v>11424382.78642352</v>
      </c>
      <c r="J455" s="10" t="n">
        <v>0.8206100000000001</v>
      </c>
      <c r="K455" s="10" t="n">
        <v>0.03442244588625178</v>
      </c>
      <c r="L455" s="10" t="n">
        <v>0.2574461289479376</v>
      </c>
      <c r="M455" s="10" t="n">
        <v>0.4306204308421384</v>
      </c>
    </row>
    <row r="456">
      <c r="A456" s="4" t="inlineStr">
        <is>
          <t>RC</t>
        </is>
      </c>
      <c r="B456" s="5" t="n">
        <v>202405</v>
      </c>
      <c r="C456" s="6" t="n">
        <v>9267601.014250183</v>
      </c>
      <c r="D456" s="6" t="n">
        <v>294844.8639219245</v>
      </c>
      <c r="E456" s="6" t="n">
        <v>2364874.559470068</v>
      </c>
      <c r="F456" s="6" t="n">
        <v>3878100.24103912</v>
      </c>
      <c r="G456" s="6" t="n">
        <v>11927320.43764218</v>
      </c>
      <c r="H456" s="6" t="n">
        <v>8049220.19660306</v>
      </c>
      <c r="I456" s="6" t="n">
        <v>10438015.71654655</v>
      </c>
      <c r="J456" s="11" t="n">
        <v>0.8878700000000002</v>
      </c>
      <c r="K456" s="11" t="n">
        <v>0.03181458324204515</v>
      </c>
      <c r="L456" s="11" t="n">
        <v>0.2551765614244458</v>
      </c>
      <c r="M456" s="11" t="n">
        <v>0.4184578333784568</v>
      </c>
    </row>
    <row r="457">
      <c r="A457" t="inlineStr">
        <is>
          <t>RC</t>
        </is>
      </c>
      <c r="B457" s="8" t="n">
        <v>202406</v>
      </c>
      <c r="C457" s="9" t="n">
        <v>10343456.0198401</v>
      </c>
      <c r="D457" s="9" t="n">
        <v>290223.0009515372</v>
      </c>
      <c r="E457" s="9" t="n">
        <v>2258588.111800155</v>
      </c>
      <c r="F457" s="9" t="n">
        <v>4405136.366768383</v>
      </c>
      <c r="G457" s="9" t="n">
        <v>12892267.13259179</v>
      </c>
      <c r="H457" s="9" t="n">
        <v>8487130.765823405</v>
      </c>
      <c r="I457" s="9" t="n">
        <v>10274411.97139234</v>
      </c>
      <c r="J457" s="10" t="n">
        <v>1.00672</v>
      </c>
      <c r="K457" s="10" t="n">
        <v>0.02805861023577146</v>
      </c>
      <c r="L457" s="10" t="n">
        <v>0.2183591352317726</v>
      </c>
      <c r="M457" s="10" t="n">
        <v>0.4258863148176739</v>
      </c>
    </row>
    <row r="458">
      <c r="A458" s="4" t="inlineStr">
        <is>
          <t>RC</t>
        </is>
      </c>
      <c r="B458" s="5" t="n">
        <v>202407</v>
      </c>
      <c r="C458" s="6" t="n">
        <v>11296572.83866466</v>
      </c>
      <c r="D458" s="6" t="n">
        <v>303294.2679261485</v>
      </c>
      <c r="E458" s="6" t="n">
        <v>2214884.317840274</v>
      </c>
      <c r="F458" s="6" t="n">
        <v>5246402.226814083</v>
      </c>
      <c r="G458" s="6" t="n">
        <v>13814751.42443109</v>
      </c>
      <c r="H458" s="6" t="n">
        <v>8568349.197617002</v>
      </c>
      <c r="I458" s="6" t="n">
        <v>10737166.46579666</v>
      </c>
      <c r="J458" s="11" t="n">
        <v>1.0521</v>
      </c>
      <c r="K458" s="11" t="n">
        <v>0.02684834349831007</v>
      </c>
      <c r="L458" s="11" t="n">
        <v>0.1960669266221533</v>
      </c>
      <c r="M458" s="11" t="n">
        <v>0.464424237487079</v>
      </c>
    </row>
    <row r="459">
      <c r="A459" t="inlineStr">
        <is>
          <t>RC</t>
        </is>
      </c>
      <c r="B459" s="8" t="n">
        <v>202408</v>
      </c>
      <c r="C459" s="9" t="n">
        <v>13760807.45633847</v>
      </c>
      <c r="D459" s="9" t="n">
        <v>318484.7249361763</v>
      </c>
      <c r="E459" s="9" t="n">
        <v>3918268.668761134</v>
      </c>
      <c r="F459" s="9" t="n">
        <v>6794443.189004553</v>
      </c>
      <c r="G459" s="9" t="n">
        <v>17997560.85003578</v>
      </c>
      <c r="H459" s="9" t="n">
        <v>11203117.66103123</v>
      </c>
      <c r="I459" s="9" t="n">
        <v>11275006.72391658</v>
      </c>
      <c r="J459" s="10" t="n">
        <v>1.22047</v>
      </c>
      <c r="K459" s="10" t="n">
        <v>0.0231443340768115</v>
      </c>
      <c r="L459" s="10" t="n">
        <v>0.2847411884217819</v>
      </c>
      <c r="M459" s="10" t="n">
        <v>0.493753234362342</v>
      </c>
    </row>
    <row r="460">
      <c r="A460" s="4" t="inlineStr">
        <is>
          <t>RC</t>
        </is>
      </c>
      <c r="B460" s="5" t="n">
        <v>202409</v>
      </c>
      <c r="C460" s="6" t="n">
        <v>12491028.09451506</v>
      </c>
      <c r="D460" s="6" t="n">
        <v>296830.703175385</v>
      </c>
      <c r="E460" s="6" t="n">
        <v>3572527.556228132</v>
      </c>
      <c r="F460" s="6" t="n">
        <v>5911917.899055967</v>
      </c>
      <c r="G460" s="6" t="n">
        <v>16360386.35391858</v>
      </c>
      <c r="H460" s="6" t="n">
        <v>10448468.45486261</v>
      </c>
      <c r="I460" s="6" t="n">
        <v>10508230.14790657</v>
      </c>
      <c r="J460" s="11" t="n">
        <v>1.18869</v>
      </c>
      <c r="K460" s="11" t="n">
        <v>0.02376351257313452</v>
      </c>
      <c r="L460" s="11" t="n">
        <v>0.2860074870696085</v>
      </c>
      <c r="M460" s="11" t="n">
        <v>0.4732931392294245</v>
      </c>
    </row>
    <row r="461">
      <c r="A461" t="inlineStr">
        <is>
          <t>RC</t>
        </is>
      </c>
      <c r="B461" s="8" t="n">
        <v>202410</v>
      </c>
      <c r="C461" s="9" t="n">
        <v>13972428.15565517</v>
      </c>
      <c r="D461" s="9" t="n">
        <v>279843.5617588414</v>
      </c>
      <c r="E461" s="9" t="n">
        <v>4146284.695341039</v>
      </c>
      <c r="F461" s="9" t="n">
        <v>6664519.628302576</v>
      </c>
      <c r="G461" s="9" t="n">
        <v>18398556.41275505</v>
      </c>
      <c r="H461" s="9" t="n">
        <v>11734036.78445247</v>
      </c>
      <c r="I461" s="9" t="n">
        <v>9906994.069354752</v>
      </c>
      <c r="J461" s="10" t="n">
        <v>1.41036</v>
      </c>
      <c r="K461" s="10" t="n">
        <v>0.02002826986414514</v>
      </c>
      <c r="L461" s="10" t="n">
        <v>0.296747612451518</v>
      </c>
      <c r="M461" s="10" t="n">
        <v>0.4769764821159731</v>
      </c>
    </row>
    <row r="462">
      <c r="A462" s="4" t="inlineStr">
        <is>
          <t>RC</t>
        </is>
      </c>
      <c r="B462" s="5" t="n">
        <v>202411</v>
      </c>
      <c r="C462" s="6" t="n">
        <v>16798668.67065139</v>
      </c>
      <c r="D462" s="6" t="n">
        <v>349840.4791489654</v>
      </c>
      <c r="E462" s="6" t="n">
        <v>4608474.060340551</v>
      </c>
      <c r="F462" s="6" t="n">
        <v>8048353.092907554</v>
      </c>
      <c r="G462" s="6" t="n">
        <v>21756983.2101409</v>
      </c>
      <c r="H462" s="6" t="n">
        <v>13708630.11723335</v>
      </c>
      <c r="I462" s="6" t="n">
        <v>12384885.13996384</v>
      </c>
      <c r="J462" s="11" t="n">
        <v>1.356384696410712</v>
      </c>
      <c r="K462" s="11" t="n">
        <v>0.02082548837695481</v>
      </c>
      <c r="L462" s="11" t="n">
        <v>0.2743356721114407</v>
      </c>
      <c r="M462" s="11" t="n">
        <v>0.4791066036660789</v>
      </c>
    </row>
    <row r="463">
      <c r="A463" t="inlineStr">
        <is>
          <t>RC</t>
        </is>
      </c>
      <c r="B463" s="8" t="n">
        <v>202412</v>
      </c>
      <c r="C463" s="9" t="n">
        <v>9291415.239741609</v>
      </c>
      <c r="D463" s="9" t="n">
        <v>353360.2617452557</v>
      </c>
      <c r="E463" s="9" t="n">
        <v>1943575.683932787</v>
      </c>
      <c r="F463" s="9" t="n">
        <v>4678693.511437588</v>
      </c>
      <c r="G463" s="9" t="n">
        <v>11588351.18541965</v>
      </c>
      <c r="H463" s="9" t="n">
        <v>6909657.673982061</v>
      </c>
      <c r="I463" s="9" t="n">
        <v>11617565.53389725</v>
      </c>
      <c r="J463" s="10" t="n">
        <v>0.799773</v>
      </c>
      <c r="K463" s="10" t="n">
        <v>0.03803083304617032</v>
      </c>
      <c r="L463" s="10" t="n">
        <v>0.2091797249163559</v>
      </c>
      <c r="M463" s="10" t="n">
        <v>0.503550147175179</v>
      </c>
    </row>
    <row r="464">
      <c r="A464" s="4" t="inlineStr">
        <is>
          <t>RC</t>
        </is>
      </c>
      <c r="B464" s="5" t="n">
        <v>202501</v>
      </c>
      <c r="C464" s="6" t="n">
        <v>12723801.12727255</v>
      </c>
      <c r="D464" s="6" t="n">
        <v>422740.1675440251</v>
      </c>
      <c r="E464" s="6" t="n">
        <v>3065462.014975516</v>
      </c>
      <c r="F464" s="6" t="n">
        <v>6736076.851757858</v>
      </c>
      <c r="G464" s="6" t="n">
        <v>16212003.30979209</v>
      </c>
      <c r="H464" s="6" t="n">
        <v>9475926.458034236</v>
      </c>
      <c r="I464" s="6" t="n">
        <v>15909265.66322263</v>
      </c>
      <c r="J464" s="11" t="n">
        <v>0.799773</v>
      </c>
      <c r="K464" s="11" t="n">
        <v>0.0332243614400662</v>
      </c>
      <c r="L464" s="11" t="n">
        <v>0.2409234460922938</v>
      </c>
      <c r="M464" s="11" t="n">
        <v>0.529407586960752</v>
      </c>
    </row>
    <row r="465">
      <c r="A465" t="inlineStr">
        <is>
          <t>RC</t>
        </is>
      </c>
      <c r="B465" s="8" t="n">
        <v>202502</v>
      </c>
      <c r="C465" s="9" t="n">
        <v>11508478.6152336</v>
      </c>
      <c r="D465" s="9" t="n">
        <v>407551.6566074778</v>
      </c>
      <c r="E465" s="9" t="n">
        <v>2561441.498770544</v>
      </c>
      <c r="F465" s="9" t="n">
        <v>5843467.748879883</v>
      </c>
      <c r="G465" s="9" t="n">
        <v>14477471.77061162</v>
      </c>
      <c r="H465" s="9" t="n">
        <v>8634004.021731734</v>
      </c>
      <c r="I465" s="9" t="n">
        <v>14422556.06896873</v>
      </c>
      <c r="J465" s="10" t="n">
        <v>0.79795</v>
      </c>
      <c r="K465" s="10" t="n">
        <v>0.03541316539164507</v>
      </c>
      <c r="L465" s="10" t="n">
        <v>0.2225699490269724</v>
      </c>
      <c r="M465" s="10" t="n">
        <v>0.5077532786258102</v>
      </c>
    </row>
    <row r="466">
      <c r="A466" s="4" t="inlineStr">
        <is>
          <t>RC</t>
        </is>
      </c>
      <c r="B466" s="5" t="n">
        <v>202503</v>
      </c>
      <c r="C466" s="6" t="n">
        <v>14805700.59383003</v>
      </c>
      <c r="D466" s="6" t="n">
        <v>497441.657054603</v>
      </c>
      <c r="E466" s="6" t="n">
        <v>3281742.920959512</v>
      </c>
      <c r="F466" s="6" t="n">
        <v>7464797.923794256</v>
      </c>
      <c r="G466" s="6" t="n">
        <v>18584885.17184415</v>
      </c>
      <c r="H466" s="6" t="n">
        <v>11120087.24804989</v>
      </c>
      <c r="I466" s="6" t="n">
        <v>17603410.64813872</v>
      </c>
      <c r="J466" s="11" t="n">
        <v>0.8410699999999999</v>
      </c>
      <c r="K466" s="11" t="n">
        <v>0.03359798166267805</v>
      </c>
      <c r="L466" s="11" t="n">
        <v>0.221654010910305</v>
      </c>
      <c r="M466" s="11" t="n">
        <v>0.5041840388765564</v>
      </c>
    </row>
    <row r="467">
      <c r="A467" t="inlineStr">
        <is>
          <t>RC</t>
        </is>
      </c>
      <c r="B467" s="8" t="n">
        <v>202504</v>
      </c>
      <c r="C467" s="9" t="n">
        <v>14614260.37545377</v>
      </c>
      <c r="D467" s="9" t="n">
        <v>494106.5235346902</v>
      </c>
      <c r="E467" s="9" t="n">
        <v>3095961.436962108</v>
      </c>
      <c r="F467" s="9" t="n">
        <v>7281829.581514867</v>
      </c>
      <c r="G467" s="9" t="n">
        <v>18204328.33595056</v>
      </c>
      <c r="H467" s="9" t="n">
        <v>10922498.7544357</v>
      </c>
      <c r="I467" s="9" t="n">
        <v>17485565.00491004</v>
      </c>
      <c r="J467" s="10" t="n">
        <v>0.83579</v>
      </c>
      <c r="K467" s="10" t="n">
        <v>0.03380988916583118</v>
      </c>
      <c r="L467" s="10" t="n">
        <v>0.2118452359150594</v>
      </c>
      <c r="M467" s="10" t="n">
        <v>0.498268772721847</v>
      </c>
    </row>
    <row r="468">
      <c r="A468" s="4" t="inlineStr">
        <is>
          <t>RC</t>
        </is>
      </c>
      <c r="B468" s="5" t="n">
        <v>202505</v>
      </c>
      <c r="C468" s="6" t="n">
        <v>13670527.89948287</v>
      </c>
      <c r="D468" s="6" t="n">
        <v>486002.0736555009</v>
      </c>
      <c r="E468" s="6" t="n">
        <v>3405276.952623519</v>
      </c>
      <c r="F468" s="6" t="n">
        <v>6641645.48637069</v>
      </c>
      <c r="G468" s="6" t="n">
        <v>17561806.92576189</v>
      </c>
      <c r="H468" s="6" t="n">
        <v>10920161.4393912</v>
      </c>
      <c r="I468" s="6" t="n">
        <v>17198661.27303283</v>
      </c>
      <c r="J468" s="11" t="n">
        <v>0.79486</v>
      </c>
      <c r="K468" s="11" t="n">
        <v>0.03555108312049056</v>
      </c>
      <c r="L468" s="11" t="n">
        <v>0.249096229323546</v>
      </c>
      <c r="M468" s="11" t="n">
        <v>0.4858367968819938</v>
      </c>
    </row>
    <row r="469">
      <c r="A469" t="inlineStr">
        <is>
          <t>RC</t>
        </is>
      </c>
      <c r="B469" s="8" t="n">
        <v>202506</v>
      </c>
      <c r="C469" s="9" t="n">
        <v>13531844.65345796</v>
      </c>
      <c r="D469" s="9" t="n">
        <v>473354.5498630457</v>
      </c>
      <c r="E469" s="9" t="n">
        <v>3525350.48493504</v>
      </c>
      <c r="F469" s="9" t="n">
        <v>6064766.537350656</v>
      </c>
      <c r="G469" s="9" t="n">
        <v>17530549.68825605</v>
      </c>
      <c r="H469" s="9" t="n">
        <v>11465783.15090539</v>
      </c>
      <c r="I469" s="9" t="n">
        <v>17024186.21324253</v>
      </c>
      <c r="J469" s="10" t="n">
        <v>0.7948599999999999</v>
      </c>
      <c r="K469" s="10" t="n">
        <v>0.03498078510250142</v>
      </c>
      <c r="L469" s="10" t="n">
        <v>0.2605225359303961</v>
      </c>
      <c r="M469" s="10" t="n">
        <v>0.4481847591858699</v>
      </c>
    </row>
    <row r="470">
      <c r="A470" s="4" t="inlineStr">
        <is>
          <t>RC</t>
        </is>
      </c>
      <c r="B470" s="5" t="n">
        <v>202507</v>
      </c>
      <c r="C470" s="6" t="n">
        <v>11221883.94106424</v>
      </c>
      <c r="D470" s="6" t="n">
        <v>440509.0650837397</v>
      </c>
      <c r="E470" s="6" t="n">
        <v>3103349.538371847</v>
      </c>
      <c r="F470" s="6" t="n">
        <v>4817435.111829553</v>
      </c>
      <c r="G470" s="6" t="n">
        <v>14765742.54451982</v>
      </c>
      <c r="H470" s="6" t="n">
        <v>9948307.43269027</v>
      </c>
      <c r="I470" s="6" t="n">
        <v>15588829.52137581</v>
      </c>
      <c r="J470" s="11" t="n">
        <v>0.719867</v>
      </c>
      <c r="K470" s="11" t="n">
        <v>0.03925446630861909</v>
      </c>
      <c r="L470" s="11" t="n">
        <v>0.276544433596908</v>
      </c>
      <c r="M470" s="11" t="n">
        <v>0.429289336543672</v>
      </c>
    </row>
    <row r="471">
      <c r="A471" t="inlineStr">
        <is>
          <t>RC</t>
        </is>
      </c>
      <c r="B471" s="8" t="n">
        <v>202508</v>
      </c>
      <c r="C471" s="9" t="n">
        <v>12588253.9972671</v>
      </c>
      <c r="D471" s="9" t="n">
        <v>491725.4100688584</v>
      </c>
      <c r="E471" s="9" t="n">
        <v>4508712.884816333</v>
      </c>
      <c r="F471" s="9" t="n">
        <v>5555109.048575944</v>
      </c>
      <c r="G471" s="9" t="n">
        <v>17588692.29215229</v>
      </c>
      <c r="H471" s="9" t="n">
        <v>12033583.24357635</v>
      </c>
      <c r="I471" s="9" t="n">
        <v>17401223.64194553</v>
      </c>
      <c r="J471" s="10" t="n">
        <v>0.7234120000000002</v>
      </c>
      <c r="K471" s="10" t="n">
        <v>0.03906224089342427</v>
      </c>
      <c r="L471" s="10" t="n">
        <v>0.3581682484159575</v>
      </c>
      <c r="M471" s="10" t="n">
        <v>0.4412930538088884</v>
      </c>
    </row>
    <row r="472">
      <c r="A472" s="4" t="inlineStr">
        <is>
          <t>RC</t>
        </is>
      </c>
      <c r="B472" s="5" t="n">
        <v>202509</v>
      </c>
      <c r="C472" s="6" t="n">
        <v>12476741.66816819</v>
      </c>
      <c r="D472" s="6" t="n">
        <v>482247.1632076965</v>
      </c>
      <c r="E472" s="6" t="n">
        <v>4216908.243105265</v>
      </c>
      <c r="F472" s="6" t="n">
        <v>5529010.261702348</v>
      </c>
      <c r="G472" s="6" t="n">
        <v>17175897.07448116</v>
      </c>
      <c r="H472" s="6" t="n">
        <v>11646886.81277881</v>
      </c>
      <c r="I472" s="6" t="n">
        <v>17065739.82488899</v>
      </c>
      <c r="J472" s="11" t="n">
        <v>0.731098786</v>
      </c>
      <c r="K472" s="11" t="n">
        <v>0.03865169096496161</v>
      </c>
      <c r="L472" s="11" t="n">
        <v>0.3379815303753406</v>
      </c>
      <c r="M472" s="11" t="n">
        <v>0.443145366695254</v>
      </c>
    </row>
    <row r="473">
      <c r="A473" t="inlineStr">
        <is>
          <t>RC</t>
        </is>
      </c>
      <c r="B473" s="8" t="n">
        <v>202510</v>
      </c>
      <c r="C473" s="9" t="n">
        <v>11636832.65786131</v>
      </c>
      <c r="D473" s="9" t="n">
        <v>429376.3703201361</v>
      </c>
      <c r="E473" s="9" t="n">
        <v>3185339.849620013</v>
      </c>
      <c r="F473" s="9" t="n">
        <v>4992469.363172513</v>
      </c>
      <c r="G473" s="9" t="n">
        <v>15251548.87780146</v>
      </c>
      <c r="H473" s="9" t="n">
        <v>10259079.51462895</v>
      </c>
      <c r="I473" s="9" t="n">
        <v>15194782.04159243</v>
      </c>
      <c r="J473" s="10" t="n">
        <v>0.765844</v>
      </c>
      <c r="K473" s="10" t="n">
        <v>0.03689804459206251</v>
      </c>
      <c r="L473" s="10" t="n">
        <v>0.2737291102547688</v>
      </c>
      <c r="M473" s="10" t="n">
        <v>0.4290230434653392</v>
      </c>
    </row>
    <row r="474">
      <c r="A474" s="4" t="inlineStr">
        <is>
          <t>RC</t>
        </is>
      </c>
      <c r="B474" s="5" t="n">
        <v>202511</v>
      </c>
      <c r="C474" s="6" t="n">
        <v>14749841.55602805</v>
      </c>
      <c r="D474" s="6" t="n">
        <v>537132.4744606538</v>
      </c>
      <c r="E474" s="6" t="n">
        <v>4993325.088957272</v>
      </c>
      <c r="F474" s="6" t="n">
        <v>5720125.718627188</v>
      </c>
      <c r="G474" s="6" t="n">
        <v>20280299.11944597</v>
      </c>
      <c r="H474" s="6" t="n">
        <v>14560173.40081878</v>
      </c>
      <c r="I474" s="6" t="n">
        <v>19007980.93257126</v>
      </c>
      <c r="J474" s="11" t="n">
        <v>0.7759815</v>
      </c>
      <c r="K474" s="11" t="n">
        <v>0.03641615216138613</v>
      </c>
      <c r="L474" s="11" t="n">
        <v>0.3385341510273087</v>
      </c>
      <c r="M474" s="11" t="n">
        <v>0.3878092992998596</v>
      </c>
    </row>
    <row r="475">
      <c r="A475" t="inlineStr">
        <is>
          <t>RC</t>
        </is>
      </c>
      <c r="B475" s="8" t="n">
        <v>202512</v>
      </c>
      <c r="C475" s="9" t="n">
        <v>11492584.66737006</v>
      </c>
      <c r="D475" s="9" t="n">
        <v>485279.8434029321</v>
      </c>
      <c r="E475" s="9" t="n">
        <v>2514925.314860062</v>
      </c>
      <c r="F475" s="9" t="n">
        <v>4538944.488005331</v>
      </c>
      <c r="G475" s="9" t="n">
        <v>14492789.82563305</v>
      </c>
      <c r="H475" s="9" t="n">
        <v>9953845.337627722</v>
      </c>
      <c r="I475" s="9" t="n">
        <v>17173052.69009396</v>
      </c>
      <c r="J475" s="10" t="n">
        <v>0.669222</v>
      </c>
      <c r="K475" s="10" t="n">
        <v>0.04222547472551991</v>
      </c>
      <c r="L475" s="10" t="n">
        <v>0.2188302620906923</v>
      </c>
      <c r="M475" s="10" t="n">
        <v>0.3949454904511061</v>
      </c>
    </row>
    <row r="476">
      <c r="A476" s="4" t="inlineStr">
        <is>
          <t>RC</t>
        </is>
      </c>
      <c r="B476" s="5" t="n">
        <v>202601</v>
      </c>
      <c r="C476" s="6" t="n">
        <v>11884111.0653785</v>
      </c>
      <c r="D476" s="6" t="n">
        <v>513290.1900677952</v>
      </c>
      <c r="E476" s="6" t="n">
        <v>2703636.331593963</v>
      </c>
      <c r="F476" s="6" t="n">
        <v>4498735.363172427</v>
      </c>
      <c r="G476" s="6" t="n">
        <v>15101037.58704026</v>
      </c>
      <c r="H476" s="6" t="n">
        <v>10602302.22386783</v>
      </c>
      <c r="I476" s="6" t="n">
        <v>18164285.69412097</v>
      </c>
      <c r="J476" s="11" t="n">
        <v>0.654257</v>
      </c>
      <c r="K476" s="11" t="n">
        <v>0.04319129863765265</v>
      </c>
      <c r="L476" s="11" t="n">
        <v>0.2275000895498492</v>
      </c>
      <c r="M476" s="11" t="n">
        <v>0.3785504307746173</v>
      </c>
    </row>
    <row r="477">
      <c r="A477" t="inlineStr">
        <is>
          <t>RC</t>
        </is>
      </c>
      <c r="B477" s="8" t="n">
        <v>202602</v>
      </c>
      <c r="C477" s="9" t="n">
        <v>12013974.34800775</v>
      </c>
      <c r="D477" s="9" t="n">
        <v>518899.1538899012</v>
      </c>
      <c r="E477" s="9" t="n">
        <v>2733180.240021356</v>
      </c>
      <c r="F477" s="9" t="n">
        <v>4547895.164753537</v>
      </c>
      <c r="G477" s="9" t="n">
        <v>15266053.74191901</v>
      </c>
      <c r="H477" s="9" t="n">
        <v>10718158.57716547</v>
      </c>
      <c r="I477" s="9" t="n">
        <v>17076462.38736639</v>
      </c>
      <c r="J477" s="10" t="n">
        <v>0.7035400000000001</v>
      </c>
      <c r="K477" s="10" t="n">
        <v>0.04319129863765266</v>
      </c>
      <c r="L477" s="10" t="n">
        <v>0.2275000895498493</v>
      </c>
      <c r="M477" s="10" t="n">
        <v>0.3785504307746173</v>
      </c>
    </row>
    <row r="478">
      <c r="A478" s="4" t="inlineStr">
        <is>
          <t>RC</t>
        </is>
      </c>
      <c r="B478" s="5" t="n">
        <v>202603</v>
      </c>
      <c r="C478" s="6" t="n">
        <v>13567105.97371298</v>
      </c>
      <c r="D478" s="6" t="n">
        <v>468053.16704974</v>
      </c>
      <c r="E478" s="6" t="n">
        <v>3224846.989712807</v>
      </c>
      <c r="F478" s="6" t="n">
        <v>4813344.482069935</v>
      </c>
      <c r="G478" s="6" t="n">
        <v>17260006.13047553</v>
      </c>
      <c r="H478" s="6" t="n">
        <v>12446661.6484056</v>
      </c>
      <c r="I478" s="6" t="n">
        <v>17837654.51691715</v>
      </c>
      <c r="J478" s="11" t="n">
        <v>0.760588</v>
      </c>
      <c r="K478" s="11" t="n">
        <v>0.03449911631534527</v>
      </c>
      <c r="L478" s="11" t="n">
        <v>0.2376960123965366</v>
      </c>
      <c r="M478" s="11" t="n">
        <v>0.3547804882924962</v>
      </c>
    </row>
    <row r="479">
      <c r="A479" t="inlineStr">
        <is>
          <t>RC</t>
        </is>
      </c>
      <c r="B479" s="8" t="n">
        <v>202604</v>
      </c>
      <c r="C479" s="9" t="n">
        <v>14714820.14047902</v>
      </c>
      <c r="D479" s="9" t="n">
        <v>529665.30900806</v>
      </c>
      <c r="E479" s="9" t="n">
        <v>3586896.33231819</v>
      </c>
      <c r="F479" s="9" t="n">
        <v>5724489.372481222</v>
      </c>
      <c r="G479" s="9" t="n">
        <v>18831381.78180528</v>
      </c>
      <c r="H479" s="9" t="n">
        <v>13106892.40932405</v>
      </c>
      <c r="I479" s="9" t="n">
        <v>20185630.70129843</v>
      </c>
      <c r="J479" s="10" t="n">
        <v>0.728975</v>
      </c>
      <c r="K479" s="10" t="n">
        <v>0.03599536412619837</v>
      </c>
      <c r="L479" s="10" t="n">
        <v>0.2437608002051612</v>
      </c>
      <c r="M479" s="10" t="n">
        <v>0.3890288374462502</v>
      </c>
    </row>
    <row r="480">
      <c r="A480" s="4" t="inlineStr">
        <is>
          <t>RC</t>
        </is>
      </c>
      <c r="B480" s="5" t="n">
        <v>202605</v>
      </c>
      <c r="C480" s="6" t="n">
        <v>14018639.5562886</v>
      </c>
      <c r="D480" s="6" t="n">
        <v>530985.9948904562</v>
      </c>
      <c r="E480" s="6" t="n">
        <v>3453981.835168194</v>
      </c>
      <c r="F480" s="6" t="n">
        <v>5529600.0559397</v>
      </c>
      <c r="G480" s="6" t="n">
        <v>18003607.38634725</v>
      </c>
      <c r="H480" s="6" t="n">
        <v>12474007.33040755</v>
      </c>
      <c r="I480" s="6" t="n">
        <v>20236071.27525403</v>
      </c>
      <c r="J480" s="11" t="n">
        <v>0.6927549999999999</v>
      </c>
      <c r="K480" s="11" t="n">
        <v>0.03787714155559852</v>
      </c>
      <c r="L480" s="11" t="n">
        <v>0.2463849520703867</v>
      </c>
      <c r="M480" s="11" t="n">
        <v>0.3944462680374135</v>
      </c>
    </row>
    <row r="481">
      <c r="A481" t="inlineStr">
        <is>
          <t>Vida</t>
        </is>
      </c>
      <c r="B481" s="8" t="n">
        <v>202201</v>
      </c>
      <c r="C481" s="9" t="n">
        <v>11443860.74155646</v>
      </c>
      <c r="D481" s="9" t="n">
        <v>486634.6357223942</v>
      </c>
      <c r="E481" s="9" t="n">
        <v>602018.699971863</v>
      </c>
      <c r="F481" s="9" t="n">
        <v>1123369.383507815</v>
      </c>
      <c r="G481" s="9" t="n">
        <v>12532514.07725072</v>
      </c>
      <c r="H481" s="9" t="n">
        <v>11409144.6937429</v>
      </c>
      <c r="I481" s="9" t="n">
        <v>12773967.40861351</v>
      </c>
      <c r="J481" s="10" t="n">
        <v>0.8958736448505298</v>
      </c>
      <c r="K481" s="10" t="n">
        <v>0.04252364186460798</v>
      </c>
      <c r="L481" s="10" t="n">
        <v>0.05260625881139333</v>
      </c>
      <c r="M481" s="10" t="n">
        <v>0.09816349647007566</v>
      </c>
    </row>
    <row r="482">
      <c r="A482" s="4" t="inlineStr">
        <is>
          <t>Vida</t>
        </is>
      </c>
      <c r="B482" s="5" t="n">
        <v>202202</v>
      </c>
      <c r="C482" s="6" t="n">
        <v>11233854.21953882</v>
      </c>
      <c r="D482" s="6" t="n">
        <v>472652.8921310645</v>
      </c>
      <c r="E482" s="6" t="n">
        <v>649732.984913163</v>
      </c>
      <c r="F482" s="6" t="n">
        <v>1193655.758435179</v>
      </c>
      <c r="G482" s="6" t="n">
        <v>12356240.09658305</v>
      </c>
      <c r="H482" s="6" t="n">
        <v>11162584.33814787</v>
      </c>
      <c r="I482" s="6" t="n">
        <v>12406952.40988748</v>
      </c>
      <c r="J482" s="11" t="n">
        <v>0.905448320297112</v>
      </c>
      <c r="K482" s="11" t="n">
        <v>0.04207397415830701</v>
      </c>
      <c r="L482" s="11" t="n">
        <v>0.05783704970846918</v>
      </c>
      <c r="M482" s="11" t="n">
        <v>0.1062552295150027</v>
      </c>
    </row>
    <row r="483">
      <c r="A483" t="inlineStr">
        <is>
          <t>Vida</t>
        </is>
      </c>
      <c r="B483" s="8" t="n">
        <v>202203</v>
      </c>
      <c r="C483" s="9" t="n">
        <v>11543533.27266968</v>
      </c>
      <c r="D483" s="9" t="n">
        <v>480894.3467178788</v>
      </c>
      <c r="E483" s="9" t="n">
        <v>644067.3527356456</v>
      </c>
      <c r="F483" s="9" t="n">
        <v>1191568.827264455</v>
      </c>
      <c r="G483" s="9" t="n">
        <v>12668494.97212321</v>
      </c>
      <c r="H483" s="9" t="n">
        <v>11476926.14485876</v>
      </c>
      <c r="I483" s="9" t="n">
        <v>12623287.54434651</v>
      </c>
      <c r="J483" s="10" t="n">
        <v>0.9144633069726432</v>
      </c>
      <c r="K483" s="10" t="n">
        <v>0.04165919873566249</v>
      </c>
      <c r="L483" s="10" t="n">
        <v>0.05579464601713679</v>
      </c>
      <c r="M483" s="10" t="n">
        <v>0.1032239262553691</v>
      </c>
    </row>
    <row r="484">
      <c r="A484" s="4" t="inlineStr">
        <is>
          <t>Vida</t>
        </is>
      </c>
      <c r="B484" s="5" t="n">
        <v>202204</v>
      </c>
      <c r="C484" s="6" t="n">
        <v>23565330.40702275</v>
      </c>
      <c r="D484" s="6" t="n">
        <v>978962.287112994</v>
      </c>
      <c r="E484" s="6" t="n">
        <v>849848.2185074686</v>
      </c>
      <c r="F484" s="6" t="n">
        <v>1177723.921986896</v>
      </c>
      <c r="G484" s="6" t="n">
        <v>25394140.91264322</v>
      </c>
      <c r="H484" s="6" t="n">
        <v>24216416.99065632</v>
      </c>
      <c r="I484" s="6" t="n">
        <v>25697374.39632122</v>
      </c>
      <c r="J484" s="11" t="n">
        <v>0.9170326136664106</v>
      </c>
      <c r="K484" s="11" t="n">
        <v>0.04154248084810436</v>
      </c>
      <c r="L484" s="11" t="n">
        <v>0.03606349683322087</v>
      </c>
      <c r="M484" s="11" t="n">
        <v>0.04997697471858576</v>
      </c>
    </row>
    <row r="485">
      <c r="A485" t="inlineStr">
        <is>
          <t>Vida</t>
        </is>
      </c>
      <c r="B485" s="8" t="n">
        <v>202205</v>
      </c>
      <c r="C485" s="9" t="n">
        <v>25211470.12166316</v>
      </c>
      <c r="D485" s="9" t="n">
        <v>998235.6358741204</v>
      </c>
      <c r="E485" s="9" t="n">
        <v>1055800.893551091</v>
      </c>
      <c r="F485" s="9" t="n">
        <v>1489653.669960123</v>
      </c>
      <c r="G485" s="9" t="n">
        <v>27265506.65108836</v>
      </c>
      <c r="H485" s="9" t="n">
        <v>25775852.98112824</v>
      </c>
      <c r="I485" s="9" t="n">
        <v>26203292.60510156</v>
      </c>
      <c r="J485" s="10" t="n">
        <v>0.962148936838369</v>
      </c>
      <c r="K485" s="10" t="n">
        <v>0.03959450325811736</v>
      </c>
      <c r="L485" s="10" t="n">
        <v>0.04187779960692913</v>
      </c>
      <c r="M485" s="10" t="n">
        <v>0.05908634691953667</v>
      </c>
    </row>
    <row r="486">
      <c r="A486" s="4" t="inlineStr">
        <is>
          <t>Vida</t>
        </is>
      </c>
      <c r="B486" s="5" t="n">
        <v>202206</v>
      </c>
      <c r="C486" s="6" t="n">
        <v>17261380.20888688</v>
      </c>
      <c r="D486" s="6" t="n">
        <v>639266.6064076523</v>
      </c>
      <c r="E486" s="6" t="n">
        <v>661050.5167541581</v>
      </c>
      <c r="F486" s="6" t="n">
        <v>1476147.304981798</v>
      </c>
      <c r="G486" s="6" t="n">
        <v>18561697.33204869</v>
      </c>
      <c r="H486" s="6" t="n">
        <v>17085550.02706689</v>
      </c>
      <c r="I486" s="6" t="n">
        <v>18093845.46573129</v>
      </c>
      <c r="J486" s="11" t="n">
        <v>0.9539918002272624</v>
      </c>
      <c r="K486" s="11" t="n">
        <v>0.03703450122015915</v>
      </c>
      <c r="L486" s="11" t="n">
        <v>0.03829650403122582</v>
      </c>
      <c r="M486" s="11" t="n">
        <v>0.08551733911879281</v>
      </c>
    </row>
    <row r="487">
      <c r="A487" t="inlineStr">
        <is>
          <t>Vida</t>
        </is>
      </c>
      <c r="B487" s="8" t="n">
        <v>202207</v>
      </c>
      <c r="C487" s="9" t="n">
        <v>18361636.28073036</v>
      </c>
      <c r="D487" s="9" t="n">
        <v>657295.4465539764</v>
      </c>
      <c r="E487" s="9" t="n">
        <v>862580.4366829382</v>
      </c>
      <c r="F487" s="9" t="n">
        <v>1651143.896162573</v>
      </c>
      <c r="G487" s="9" t="n">
        <v>19881512.16396728</v>
      </c>
      <c r="H487" s="9" t="n">
        <v>18230368.2678047</v>
      </c>
      <c r="I487" s="9" t="n">
        <v>18604135.22871768</v>
      </c>
      <c r="J487" s="10" t="n">
        <v>0.9869653200750231</v>
      </c>
      <c r="K487" s="10" t="n">
        <v>0.03579721526472975</v>
      </c>
      <c r="L487" s="10" t="n">
        <v>0.04697731855129787</v>
      </c>
      <c r="M487" s="10" t="n">
        <v>0.08992357058588334</v>
      </c>
    </row>
    <row r="488">
      <c r="A488" s="4" t="inlineStr">
        <is>
          <t>Vida</t>
        </is>
      </c>
      <c r="B488" s="5" t="n">
        <v>202208</v>
      </c>
      <c r="C488" s="6" t="n">
        <v>16511774.67383534</v>
      </c>
      <c r="D488" s="6" t="n">
        <v>569023.0499622701</v>
      </c>
      <c r="E488" s="6" t="n">
        <v>583435.943147067</v>
      </c>
      <c r="F488" s="6" t="n">
        <v>1477431.292446086</v>
      </c>
      <c r="G488" s="6" t="n">
        <v>17664233.66694468</v>
      </c>
      <c r="H488" s="6" t="n">
        <v>16186802.37449859</v>
      </c>
      <c r="I488" s="6" t="n">
        <v>16105667.45686741</v>
      </c>
      <c r="J488" s="11" t="n">
        <v>1.025215174599595</v>
      </c>
      <c r="K488" s="11" t="n">
        <v>0.03446165304471769</v>
      </c>
      <c r="L488" s="11" t="n">
        <v>0.03533453881681071</v>
      </c>
      <c r="M488" s="11" t="n">
        <v>0.08947743786664149</v>
      </c>
    </row>
    <row r="489">
      <c r="A489" t="inlineStr">
        <is>
          <t>Vida</t>
        </is>
      </c>
      <c r="B489" s="8" t="n">
        <v>202209</v>
      </c>
      <c r="C489" s="9" t="n">
        <v>16361467.58151944</v>
      </c>
      <c r="D489" s="9" t="n">
        <v>569746.2242449236</v>
      </c>
      <c r="E489" s="9" t="n">
        <v>889151.1782621441</v>
      </c>
      <c r="F489" s="9" t="n">
        <v>1315623.133486692</v>
      </c>
      <c r="G489" s="9" t="n">
        <v>17820364.98402651</v>
      </c>
      <c r="H489" s="9" t="n">
        <v>16504741.85053982</v>
      </c>
      <c r="I489" s="9" t="n">
        <v>16126136.29286676</v>
      </c>
      <c r="J489" s="10" t="n">
        <v>1.01459316009606</v>
      </c>
      <c r="K489" s="10" t="n">
        <v>0.03482244006573479</v>
      </c>
      <c r="L489" s="10" t="n">
        <v>0.05434421905199113</v>
      </c>
      <c r="M489" s="10" t="n">
        <v>0.0804098487456413</v>
      </c>
    </row>
    <row r="490">
      <c r="A490" s="4" t="inlineStr">
        <is>
          <t>Vida</t>
        </is>
      </c>
      <c r="B490" s="5" t="n">
        <v>202210</v>
      </c>
      <c r="C490" s="6" t="n">
        <v>15107600.2044391</v>
      </c>
      <c r="D490" s="6" t="n">
        <v>534560.7628354946</v>
      </c>
      <c r="E490" s="6" t="n">
        <v>923580.249668102</v>
      </c>
      <c r="F490" s="6" t="n">
        <v>1349144.594983418</v>
      </c>
      <c r="G490" s="6" t="n">
        <v>16565741.2169427</v>
      </c>
      <c r="H490" s="6" t="n">
        <v>15216596.62195928</v>
      </c>
      <c r="I490" s="6" t="n">
        <v>15130244.52409567</v>
      </c>
      <c r="J490" s="11" t="n">
        <v>0.9985033738469656</v>
      </c>
      <c r="K490" s="11" t="n">
        <v>0.035383565596237</v>
      </c>
      <c r="L490" s="11" t="n">
        <v>0.06113348494598925</v>
      </c>
      <c r="M490" s="11" t="n">
        <v>0.08930237607075379</v>
      </c>
    </row>
    <row r="491">
      <c r="A491" t="inlineStr">
        <is>
          <t>Vida</t>
        </is>
      </c>
      <c r="B491" s="8" t="n">
        <v>202211</v>
      </c>
      <c r="C491" s="9" t="n">
        <v>14389468.62612064</v>
      </c>
      <c r="D491" s="9" t="n">
        <v>551147.5556890632</v>
      </c>
      <c r="E491" s="9" t="n">
        <v>759070.7542430379</v>
      </c>
      <c r="F491" s="9" t="n">
        <v>1132133.268938943</v>
      </c>
      <c r="G491" s="9" t="n">
        <v>15699686.93605274</v>
      </c>
      <c r="H491" s="9" t="n">
        <v>14567553.6671138</v>
      </c>
      <c r="I491" s="9" t="n">
        <v>15599711.71042818</v>
      </c>
      <c r="J491" s="10" t="n">
        <v>0.9224188814016026</v>
      </c>
      <c r="K491" s="10" t="n">
        <v>0.03830214791174334</v>
      </c>
      <c r="L491" s="10" t="n">
        <v>0.05275182662861686</v>
      </c>
      <c r="M491" s="10" t="n">
        <v>0.07867790662428112</v>
      </c>
    </row>
    <row r="492">
      <c r="A492" s="4" t="inlineStr">
        <is>
          <t>Vida</t>
        </is>
      </c>
      <c r="B492" s="5" t="n">
        <v>202212</v>
      </c>
      <c r="C492" s="6" t="n">
        <v>14715900.68122754</v>
      </c>
      <c r="D492" s="6" t="n">
        <v>563396.2622187822</v>
      </c>
      <c r="E492" s="6" t="n">
        <v>793505.6712577337</v>
      </c>
      <c r="F492" s="6" t="n">
        <v>1002912.070900973</v>
      </c>
      <c r="G492" s="6" t="n">
        <v>16072802.61470406</v>
      </c>
      <c r="H492" s="6" t="n">
        <v>15069890.54380309</v>
      </c>
      <c r="I492" s="6" t="n">
        <v>15946406.51915398</v>
      </c>
      <c r="J492" s="11" t="n">
        <v>0.9228349135306176</v>
      </c>
      <c r="K492" s="11" t="n">
        <v>0.03828486440775475</v>
      </c>
      <c r="L492" s="11" t="n">
        <v>0.05392165171853706</v>
      </c>
      <c r="M492" s="11" t="n">
        <v>0.0681515927992329</v>
      </c>
    </row>
    <row r="493">
      <c r="A493" t="inlineStr">
        <is>
          <t>Vida</t>
        </is>
      </c>
      <c r="B493" s="8" t="n">
        <v>202301</v>
      </c>
      <c r="C493" s="9" t="n">
        <v>14284808.76851213</v>
      </c>
      <c r="D493" s="9" t="n">
        <v>451656.4775200383</v>
      </c>
      <c r="E493" s="9" t="n">
        <v>754024.1637029568</v>
      </c>
      <c r="F493" s="9" t="n">
        <v>1109840.879027549</v>
      </c>
      <c r="G493" s="9" t="n">
        <v>15490489.40973512</v>
      </c>
      <c r="H493" s="9" t="n">
        <v>14380648.53070758</v>
      </c>
      <c r="I493" s="9" t="n">
        <v>15574361.50586553</v>
      </c>
      <c r="J493" s="10" t="n">
        <v>0.9172002822158885</v>
      </c>
      <c r="K493" s="10" t="n">
        <v>0.03161795756871597</v>
      </c>
      <c r="L493" s="10" t="n">
        <v>0.05278503730235753</v>
      </c>
      <c r="M493" s="10" t="n">
        <v>0.07769378624612472</v>
      </c>
    </row>
    <row r="494">
      <c r="A494" s="4" t="inlineStr">
        <is>
          <t>Vida</t>
        </is>
      </c>
      <c r="B494" s="5" t="n">
        <v>202302</v>
      </c>
      <c r="C494" s="6" t="n">
        <v>16055013.93701604</v>
      </c>
      <c r="D494" s="6" t="n">
        <v>493395.2033527418</v>
      </c>
      <c r="E494" s="6" t="n">
        <v>810809.1671077691</v>
      </c>
      <c r="F494" s="6" t="n">
        <v>1075851.418530665</v>
      </c>
      <c r="G494" s="6" t="n">
        <v>17359218.30747655</v>
      </c>
      <c r="H494" s="6" t="n">
        <v>16283366.88894589</v>
      </c>
      <c r="I494" s="6" t="n">
        <v>17013627.79757486</v>
      </c>
      <c r="J494" s="11" t="n">
        <v>0.9436561166163835</v>
      </c>
      <c r="K494" s="11" t="n">
        <v>0.03073153379301541</v>
      </c>
      <c r="L494" s="11" t="n">
        <v>0.05050192857437436</v>
      </c>
      <c r="M494" s="11" t="n">
        <v>0.06701030735639592</v>
      </c>
    </row>
    <row r="495">
      <c r="A495" t="inlineStr">
        <is>
          <t>Vida</t>
        </is>
      </c>
      <c r="B495" s="8" t="n">
        <v>202303</v>
      </c>
      <c r="C495" s="9" t="n">
        <v>16195176.89524476</v>
      </c>
      <c r="D495" s="9" t="n">
        <v>497463.0551439781</v>
      </c>
      <c r="E495" s="9" t="n">
        <v>813971.2798486135</v>
      </c>
      <c r="F495" s="9" t="n">
        <v>997121.0265203856</v>
      </c>
      <c r="G495" s="9" t="n">
        <v>17506611.23023735</v>
      </c>
      <c r="H495" s="9" t="n">
        <v>16509490.20371696</v>
      </c>
      <c r="I495" s="9" t="n">
        <v>17153898.76408589</v>
      </c>
      <c r="J495" s="10" t="n">
        <v>0.9441105557385968</v>
      </c>
      <c r="K495" s="10" t="n">
        <v>0.03071674106196665</v>
      </c>
      <c r="L495" s="10" t="n">
        <v>0.05026010429608908</v>
      </c>
      <c r="M495" s="10" t="n">
        <v>0.06156901113029283</v>
      </c>
    </row>
    <row r="496">
      <c r="A496" s="4" t="inlineStr">
        <is>
          <t>Vida</t>
        </is>
      </c>
      <c r="B496" s="5" t="n">
        <v>202304</v>
      </c>
      <c r="C496" s="6" t="n">
        <v>15730687.1560245</v>
      </c>
      <c r="D496" s="6" t="n">
        <v>466674.8640775621</v>
      </c>
      <c r="E496" s="6" t="n">
        <v>886755.1889572053</v>
      </c>
      <c r="F496" s="6" t="n">
        <v>1008022.363549438</v>
      </c>
      <c r="G496" s="6" t="n">
        <v>17084117.20905927</v>
      </c>
      <c r="H496" s="6" t="n">
        <v>16076094.84550984</v>
      </c>
      <c r="I496" s="6" t="n">
        <v>16092237.06457278</v>
      </c>
      <c r="J496" s="11" t="n">
        <v>0.9775326508615614</v>
      </c>
      <c r="K496" s="11" t="n">
        <v>0.02966652756162886</v>
      </c>
      <c r="L496" s="11" t="n">
        <v>0.05637103962223276</v>
      </c>
      <c r="M496" s="11" t="n">
        <v>0.06407999558769358</v>
      </c>
    </row>
    <row r="497">
      <c r="A497" t="inlineStr">
        <is>
          <t>Vida</t>
        </is>
      </c>
      <c r="B497" s="8" t="n">
        <v>202305</v>
      </c>
      <c r="C497" s="9" t="n">
        <v>16447903.91268953</v>
      </c>
      <c r="D497" s="9" t="n">
        <v>509128.3945592076</v>
      </c>
      <c r="E497" s="9" t="n">
        <v>1087472.893275895</v>
      </c>
      <c r="F497" s="9" t="n">
        <v>882837.3958368667</v>
      </c>
      <c r="G497" s="9" t="n">
        <v>18044505.20052463</v>
      </c>
      <c r="H497" s="9" t="n">
        <v>17161667.80468776</v>
      </c>
      <c r="I497" s="9" t="n">
        <v>17556151.87026105</v>
      </c>
      <c r="J497" s="10" t="n">
        <v>0.9368740959999999</v>
      </c>
      <c r="K497" s="10" t="n">
        <v>0.03095399859227144</v>
      </c>
      <c r="L497" s="10" t="n">
        <v>0.06611619930712945</v>
      </c>
      <c r="M497" s="10" t="n">
        <v>0.05367476612966831</v>
      </c>
    </row>
    <row r="498">
      <c r="A498" s="4" t="inlineStr">
        <is>
          <t>Vida</t>
        </is>
      </c>
      <c r="B498" s="5" t="n">
        <v>202306</v>
      </c>
      <c r="C498" s="6" t="n">
        <v>15188457.85131692</v>
      </c>
      <c r="D498" s="6" t="n">
        <v>474828.9875902685</v>
      </c>
      <c r="E498" s="6" t="n">
        <v>743483.5997569469</v>
      </c>
      <c r="F498" s="6" t="n">
        <v>808148.7309822617</v>
      </c>
      <c r="G498" s="6" t="n">
        <v>16406770.43866414</v>
      </c>
      <c r="H498" s="6" t="n">
        <v>15598621.70768188</v>
      </c>
      <c r="I498" s="6" t="n">
        <v>16373413.82681541</v>
      </c>
      <c r="J498" s="11" t="n">
        <v>0.9276292660753594</v>
      </c>
      <c r="K498" s="11" t="n">
        <v>0.03126248841314053</v>
      </c>
      <c r="L498" s="11" t="n">
        <v>0.0489505654250792</v>
      </c>
      <c r="M498" s="11" t="n">
        <v>0.05320808332836706</v>
      </c>
    </row>
    <row r="499">
      <c r="A499" t="inlineStr">
        <is>
          <t>Vida</t>
        </is>
      </c>
      <c r="B499" s="8" t="n">
        <v>202307</v>
      </c>
      <c r="C499" s="9" t="n">
        <v>15115603.61020533</v>
      </c>
      <c r="D499" s="9" t="n">
        <v>466392.0635205026</v>
      </c>
      <c r="E499" s="9" t="n">
        <v>728600.7363743864</v>
      </c>
      <c r="F499" s="9" t="n">
        <v>873740.1542026493</v>
      </c>
      <c r="G499" s="9" t="n">
        <v>16310596.41010021</v>
      </c>
      <c r="H499" s="9" t="n">
        <v>15436856.25589756</v>
      </c>
      <c r="I499" s="9" t="n">
        <v>16124806.89963263</v>
      </c>
      <c r="J499" s="10" t="n">
        <v>0.9374130000000001</v>
      </c>
      <c r="K499" s="10" t="n">
        <v>0.03085500755031822</v>
      </c>
      <c r="L499" s="10" t="n">
        <v>0.04820189488711323</v>
      </c>
      <c r="M499" s="10" t="n">
        <v>0.05780385466133434</v>
      </c>
    </row>
    <row r="500">
      <c r="A500" s="4" t="inlineStr">
        <is>
          <t>Vida</t>
        </is>
      </c>
      <c r="B500" s="5" t="n">
        <v>202308</v>
      </c>
      <c r="C500" s="6" t="n">
        <v>22708100.03400723</v>
      </c>
      <c r="D500" s="6" t="n">
        <v>711461.7383554577</v>
      </c>
      <c r="E500" s="6" t="n">
        <v>1437120.115272762</v>
      </c>
      <c r="F500" s="6" t="n">
        <v>802835.9726065951</v>
      </c>
      <c r="G500" s="6" t="n">
        <v>24856681.88763544</v>
      </c>
      <c r="H500" s="6" t="n">
        <v>24053845.91502885</v>
      </c>
      <c r="I500" s="6" t="n">
        <v>23975204.43961145</v>
      </c>
      <c r="J500" s="11" t="n">
        <v>0.9471493805695881</v>
      </c>
      <c r="K500" s="11" t="n">
        <v>0.03133074705897834</v>
      </c>
      <c r="L500" s="11" t="n">
        <v>0.06328667361516628</v>
      </c>
      <c r="M500" s="11" t="n">
        <v>0.03535460788900362</v>
      </c>
    </row>
    <row r="501">
      <c r="A501" t="inlineStr">
        <is>
          <t>Vida</t>
        </is>
      </c>
      <c r="B501" s="8" t="n">
        <v>202309</v>
      </c>
      <c r="C501" s="9" t="n">
        <v>20654082.45055342</v>
      </c>
      <c r="D501" s="9" t="n">
        <v>651171.600135415</v>
      </c>
      <c r="E501" s="9" t="n">
        <v>1432729.68917655</v>
      </c>
      <c r="F501" s="9" t="n">
        <v>688971.1066737816</v>
      </c>
      <c r="G501" s="9" t="n">
        <v>22737983.73986539</v>
      </c>
      <c r="H501" s="9" t="n">
        <v>22049012.63319161</v>
      </c>
      <c r="I501" s="9" t="n">
        <v>22454193.26404306</v>
      </c>
      <c r="J501" s="10" t="n">
        <v>0.9198318642615304</v>
      </c>
      <c r="K501" s="10" t="n">
        <v>0.03152750075895852</v>
      </c>
      <c r="L501" s="10" t="n">
        <v>0.06936786916613476</v>
      </c>
      <c r="M501" s="10" t="n">
        <v>0.03335762352664186</v>
      </c>
    </row>
    <row r="502">
      <c r="A502" s="4" t="inlineStr">
        <is>
          <t>Vida</t>
        </is>
      </c>
      <c r="B502" s="5" t="n">
        <v>202310</v>
      </c>
      <c r="C502" s="6" t="n">
        <v>19108213.92915592</v>
      </c>
      <c r="D502" s="6" t="n">
        <v>586151.6207594797</v>
      </c>
      <c r="E502" s="6" t="n">
        <v>1556407.526559596</v>
      </c>
      <c r="F502" s="6" t="n">
        <v>593978.5842278993</v>
      </c>
      <c r="G502" s="6" t="n">
        <v>21250773.07647499</v>
      </c>
      <c r="H502" s="6" t="n">
        <v>20656794.49224709</v>
      </c>
      <c r="I502" s="6" t="n">
        <v>20212124.98800457</v>
      </c>
      <c r="J502" s="11" t="n">
        <v>0.9453837209346472</v>
      </c>
      <c r="K502" s="11" t="n">
        <v>0.03067537462855756</v>
      </c>
      <c r="L502" s="11" t="n">
        <v>0.08145227661413085</v>
      </c>
      <c r="M502" s="11" t="n">
        <v>0.03108498713851994</v>
      </c>
    </row>
    <row r="503">
      <c r="A503" t="inlineStr">
        <is>
          <t>Vida</t>
        </is>
      </c>
      <c r="B503" s="8" t="n">
        <v>202311</v>
      </c>
      <c r="C503" s="9" t="n">
        <v>15867785.82816193</v>
      </c>
      <c r="D503" s="9" t="n">
        <v>517124.4667084597</v>
      </c>
      <c r="E503" s="9" t="n">
        <v>1007619.862773404</v>
      </c>
      <c r="F503" s="9" t="n">
        <v>494835.1492181075</v>
      </c>
      <c r="G503" s="9" t="n">
        <v>17392530.1576438</v>
      </c>
      <c r="H503" s="9" t="n">
        <v>16897695.00842569</v>
      </c>
      <c r="I503" s="9" t="n">
        <v>17831878.4801122</v>
      </c>
      <c r="J503" s="10" t="n">
        <v>0.8898549777500554</v>
      </c>
      <c r="K503" s="10" t="n">
        <v>0.03258957943525265</v>
      </c>
      <c r="L503" s="10" t="n">
        <v>0.06350097447024357</v>
      </c>
      <c r="M503" s="10" t="n">
        <v>0.03118488959813667</v>
      </c>
    </row>
    <row r="504">
      <c r="A504" s="4" t="inlineStr">
        <is>
          <t>Vida</t>
        </is>
      </c>
      <c r="B504" s="5" t="n">
        <v>202312</v>
      </c>
      <c r="C504" s="6" t="n">
        <v>16306974.63899662</v>
      </c>
      <c r="D504" s="6" t="n">
        <v>544125.1753445005</v>
      </c>
      <c r="E504" s="6" t="n">
        <v>1098982.444331805</v>
      </c>
      <c r="F504" s="6" t="n">
        <v>450617.3876911108</v>
      </c>
      <c r="G504" s="6" t="n">
        <v>17950082.25867292</v>
      </c>
      <c r="H504" s="6" t="n">
        <v>17499464.87098181</v>
      </c>
      <c r="I504" s="6" t="n">
        <v>18821550.99887994</v>
      </c>
      <c r="J504" s="11" t="n">
        <v>0.866399089</v>
      </c>
      <c r="K504" s="11" t="n">
        <v>0.0333676348550439</v>
      </c>
      <c r="L504" s="11" t="n">
        <v>0.06739339875489168</v>
      </c>
      <c r="M504" s="11" t="n">
        <v>0.02763341439272869</v>
      </c>
    </row>
    <row r="505">
      <c r="A505" t="inlineStr">
        <is>
          <t>Vida</t>
        </is>
      </c>
      <c r="B505" s="8" t="n">
        <v>202401</v>
      </c>
      <c r="C505" s="9" t="n">
        <v>14858840.17602839</v>
      </c>
      <c r="D505" s="9" t="n">
        <v>478388.1215856562</v>
      </c>
      <c r="E505" s="9" t="n">
        <v>1128268.039407947</v>
      </c>
      <c r="F505" s="9" t="n">
        <v>386794.2761591258</v>
      </c>
      <c r="G505" s="9" t="n">
        <v>16465496.33702199</v>
      </c>
      <c r="H505" s="9" t="n">
        <v>16078702.06086286</v>
      </c>
      <c r="I505" s="9" t="n">
        <v>16935274.13810094</v>
      </c>
      <c r="J505" s="10" t="n">
        <v>0.87739</v>
      </c>
      <c r="K505" s="10" t="n">
        <v>0.03219552239059915</v>
      </c>
      <c r="L505" s="10" t="n">
        <v>0.0759324433160113</v>
      </c>
      <c r="M505" s="10" t="n">
        <v>0.02603125624724984</v>
      </c>
    </row>
    <row r="506">
      <c r="A506" s="4" t="inlineStr">
        <is>
          <t>Vida</t>
        </is>
      </c>
      <c r="B506" s="5" t="n">
        <v>202402</v>
      </c>
      <c r="C506" s="6" t="n">
        <v>15075992.98886498</v>
      </c>
      <c r="D506" s="6" t="n">
        <v>484497.8298728179</v>
      </c>
      <c r="E506" s="6" t="n">
        <v>1115108.471177357</v>
      </c>
      <c r="F506" s="6" t="n">
        <v>370758.5518021848</v>
      </c>
      <c r="G506" s="6" t="n">
        <v>16675599.28991515</v>
      </c>
      <c r="H506" s="6" t="n">
        <v>16304840.73811297</v>
      </c>
      <c r="I506" s="6" t="n">
        <v>17151632.0439246</v>
      </c>
      <c r="J506" s="11" t="n">
        <v>0.8789830000000001</v>
      </c>
      <c r="K506" s="11" t="n">
        <v>0.03213704266317082</v>
      </c>
      <c r="L506" s="11" t="n">
        <v>0.07396583906618744</v>
      </c>
      <c r="M506" s="11" t="n">
        <v>0.02459264554421221</v>
      </c>
    </row>
    <row r="507">
      <c r="A507" t="inlineStr">
        <is>
          <t>Vida</t>
        </is>
      </c>
      <c r="B507" s="8" t="n">
        <v>202403</v>
      </c>
      <c r="C507" s="9" t="n">
        <v>17537404.32603773</v>
      </c>
      <c r="D507" s="9" t="n">
        <v>541689.1435471697</v>
      </c>
      <c r="E507" s="9" t="n">
        <v>1164932.467924528</v>
      </c>
      <c r="F507" s="9" t="n">
        <v>380575.2851320754</v>
      </c>
      <c r="G507" s="9" t="n">
        <v>19244025.93750943</v>
      </c>
      <c r="H507" s="9" t="n">
        <v>18863450.65237736</v>
      </c>
      <c r="I507" s="9" t="n">
        <v>19176202.60025558</v>
      </c>
      <c r="J507" s="10" t="n">
        <v>0.91454</v>
      </c>
      <c r="K507" s="10" t="n">
        <v>0.03088764639718806</v>
      </c>
      <c r="L507" s="10" t="n">
        <v>0.06642559219524616</v>
      </c>
      <c r="M507" s="10" t="n">
        <v>0.02170077612723089</v>
      </c>
    </row>
    <row r="508">
      <c r="A508" s="4" t="inlineStr">
        <is>
          <t>Vida</t>
        </is>
      </c>
      <c r="B508" s="5" t="n">
        <v>202404</v>
      </c>
      <c r="C508" s="6" t="n">
        <v>16983137.14470888</v>
      </c>
      <c r="D508" s="6" t="n">
        <v>518420.502954434</v>
      </c>
      <c r="E508" s="6" t="n">
        <v>1247659.787584371</v>
      </c>
      <c r="F508" s="6" t="n">
        <v>321757.9816428054</v>
      </c>
      <c r="G508" s="6" t="n">
        <v>18749217.43524769</v>
      </c>
      <c r="H508" s="6" t="n">
        <v>18427459.45360488</v>
      </c>
      <c r="I508" s="6" t="n">
        <v>18352608.81444259</v>
      </c>
      <c r="J508" s="11" t="n">
        <v>0.92538</v>
      </c>
      <c r="K508" s="11" t="n">
        <v>0.03052560304595719</v>
      </c>
      <c r="L508" s="11" t="n">
        <v>0.07346462417122275</v>
      </c>
      <c r="M508" s="11" t="n">
        <v>0.01894573298803334</v>
      </c>
    </row>
    <row r="509">
      <c r="A509" t="inlineStr">
        <is>
          <t>Vida</t>
        </is>
      </c>
      <c r="B509" s="8" t="n">
        <v>202405</v>
      </c>
      <c r="C509" s="9" t="n">
        <v>19621113.00609375</v>
      </c>
      <c r="D509" s="9" t="n">
        <v>570066.7495668369</v>
      </c>
      <c r="E509" s="9" t="n">
        <v>1740839.00413715</v>
      </c>
      <c r="F509" s="9" t="n">
        <v>305034.0784526349</v>
      </c>
      <c r="G509" s="9" t="n">
        <v>21932018.75979774</v>
      </c>
      <c r="H509" s="9" t="n">
        <v>21626984.68134511</v>
      </c>
      <c r="I509" s="9" t="n">
        <v>20180932.06147918</v>
      </c>
      <c r="J509" s="10" t="n">
        <v>0.97226</v>
      </c>
      <c r="K509" s="10" t="n">
        <v>0.02905374172147067</v>
      </c>
      <c r="L509" s="10" t="n">
        <v>0.08872274491240614</v>
      </c>
      <c r="M509" s="10" t="n">
        <v>0.01554621689187051</v>
      </c>
    </row>
    <row r="510">
      <c r="A510" s="4" t="inlineStr">
        <is>
          <t>Vida</t>
        </is>
      </c>
      <c r="B510" s="5" t="n">
        <v>202406</v>
      </c>
      <c r="C510" s="6" t="n">
        <v>23026863.44784592</v>
      </c>
      <c r="D510" s="6" t="n">
        <v>674211.1811092518</v>
      </c>
      <c r="E510" s="6" t="n">
        <v>1505512.780676138</v>
      </c>
      <c r="F510" s="6" t="n">
        <v>280325.0084763373</v>
      </c>
      <c r="G510" s="6" t="n">
        <v>25206587.4096313</v>
      </c>
      <c r="H510" s="6" t="n">
        <v>24926262.40115497</v>
      </c>
      <c r="I510" s="6" t="n">
        <v>23867723.3411548</v>
      </c>
      <c r="J510" s="11" t="n">
        <v>0.9647700000000001</v>
      </c>
      <c r="K510" s="11" t="n">
        <v>0.02927933205650385</v>
      </c>
      <c r="L510" s="11" t="n">
        <v>0.06538071431595577</v>
      </c>
      <c r="M510" s="11" t="n">
        <v>0.01217382511132061</v>
      </c>
    </row>
    <row r="511">
      <c r="A511" t="inlineStr">
        <is>
          <t>Vida</t>
        </is>
      </c>
      <c r="B511" s="8" t="n">
        <v>202407</v>
      </c>
      <c r="C511" s="9" t="n">
        <v>21754148.95072993</v>
      </c>
      <c r="D511" s="9" t="n">
        <v>637120.5125590382</v>
      </c>
      <c r="E511" s="9" t="n">
        <v>1392459.682267067</v>
      </c>
      <c r="F511" s="9" t="n">
        <v>270849.057535423</v>
      </c>
      <c r="G511" s="9" t="n">
        <v>23783729.14555603</v>
      </c>
      <c r="H511" s="9" t="n">
        <v>23512880.08802061</v>
      </c>
      <c r="I511" s="9" t="n">
        <v>22554612.13541583</v>
      </c>
      <c r="J511" s="10" t="n">
        <v>0.96451</v>
      </c>
      <c r="K511" s="10" t="n">
        <v>0.02928731038856203</v>
      </c>
      <c r="L511" s="10" t="n">
        <v>0.06400892470768642</v>
      </c>
      <c r="M511" s="10" t="n">
        <v>0.01245045522805134</v>
      </c>
    </row>
    <row r="512">
      <c r="A512" s="4" t="inlineStr">
        <is>
          <t>Vida</t>
        </is>
      </c>
      <c r="B512" s="5" t="n">
        <v>202408</v>
      </c>
      <c r="C512" s="6" t="n">
        <v>18778113.54230638</v>
      </c>
      <c r="D512" s="6" t="n">
        <v>565881.2553609405</v>
      </c>
      <c r="E512" s="6" t="n">
        <v>1246905.533251788</v>
      </c>
      <c r="F512" s="6" t="n">
        <v>241818.3000299451</v>
      </c>
      <c r="G512" s="6" t="n">
        <v>20590900.33091912</v>
      </c>
      <c r="H512" s="6" t="n">
        <v>20349082.03088917</v>
      </c>
      <c r="I512" s="6" t="n">
        <v>20032765.65529767</v>
      </c>
      <c r="J512" s="11" t="n">
        <v>0.93737</v>
      </c>
      <c r="K512" s="11" t="n">
        <v>0.03013514931018131</v>
      </c>
      <c r="L512" s="11" t="n">
        <v>0.06640206591799314</v>
      </c>
      <c r="M512" s="11" t="n">
        <v>0.01287766736978864</v>
      </c>
    </row>
    <row r="513">
      <c r="A513" t="inlineStr">
        <is>
          <t>Vida</t>
        </is>
      </c>
      <c r="B513" s="8" t="n">
        <v>202409</v>
      </c>
      <c r="C513" s="9" t="n">
        <v>17605884.00119845</v>
      </c>
      <c r="D513" s="9" t="n">
        <v>543708.0443426552</v>
      </c>
      <c r="E513" s="9" t="n">
        <v>1176192.808791343</v>
      </c>
      <c r="F513" s="9" t="n">
        <v>223412.4628658193</v>
      </c>
      <c r="G513" s="9" t="n">
        <v>19325784.85433245</v>
      </c>
      <c r="H513" s="9" t="n">
        <v>19102372.39146663</v>
      </c>
      <c r="I513" s="9" t="n">
        <v>19247714.00590188</v>
      </c>
      <c r="J513" s="10" t="n">
        <v>0.9147</v>
      </c>
      <c r="K513" s="10" t="n">
        <v>0.03088217804375199</v>
      </c>
      <c r="L513" s="10" t="n">
        <v>0.06680680212997417</v>
      </c>
      <c r="M513" s="10" t="n">
        <v>0.01268964755479539</v>
      </c>
    </row>
    <row r="514">
      <c r="A514" s="4" t="inlineStr">
        <is>
          <t>Vida</t>
        </is>
      </c>
      <c r="B514" s="5" t="n">
        <v>202410</v>
      </c>
      <c r="C514" s="6" t="n">
        <v>15596924.8974309</v>
      </c>
      <c r="D514" s="6" t="n">
        <v>480692.3981430121</v>
      </c>
      <c r="E514" s="6" t="n">
        <v>1096425.283220645</v>
      </c>
      <c r="F514" s="6" t="n">
        <v>386058.0788470284</v>
      </c>
      <c r="G514" s="6" t="n">
        <v>17174042.57879456</v>
      </c>
      <c r="H514" s="6" t="n">
        <v>16787984.49994753</v>
      </c>
      <c r="I514" s="6" t="n">
        <v>17016992.9599377</v>
      </c>
      <c r="J514" s="11" t="n">
        <v>0.91655</v>
      </c>
      <c r="K514" s="11" t="n">
        <v>0.03081969050336268</v>
      </c>
      <c r="L514" s="11" t="n">
        <v>0.07029752918802901</v>
      </c>
      <c r="M514" s="11" t="n">
        <v>0.02475219194718436</v>
      </c>
    </row>
    <row r="515">
      <c r="A515" t="inlineStr">
        <is>
          <t>Vida</t>
        </is>
      </c>
      <c r="B515" s="8" t="n">
        <v>202411</v>
      </c>
      <c r="C515" s="9" t="n">
        <v>15111568.80227493</v>
      </c>
      <c r="D515" s="9" t="n">
        <v>500526.5619244539</v>
      </c>
      <c r="E515" s="9" t="n">
        <v>784553.97399944</v>
      </c>
      <c r="F515" s="9" t="n">
        <v>422138.929134477</v>
      </c>
      <c r="G515" s="9" t="n">
        <v>16396649.33819882</v>
      </c>
      <c r="H515" s="9" t="n">
        <v>15974510.40906434</v>
      </c>
      <c r="I515" s="9" t="n">
        <v>17719078.24756355</v>
      </c>
      <c r="J515" s="10" t="n">
        <v>0.8528416992770397</v>
      </c>
      <c r="K515" s="10" t="n">
        <v>0.03312207808954314</v>
      </c>
      <c r="L515" s="10" t="n">
        <v>0.05191744048978764</v>
      </c>
      <c r="M515" s="10" t="n">
        <v>0.02793481832746096</v>
      </c>
    </row>
    <row r="516">
      <c r="A516" s="4" t="inlineStr">
        <is>
          <t>Vida</t>
        </is>
      </c>
      <c r="B516" s="5" t="n">
        <v>202412</v>
      </c>
      <c r="C516" s="6" t="n">
        <v>17925332.34512448</v>
      </c>
      <c r="D516" s="6" t="n">
        <v>642639.5016975611</v>
      </c>
      <c r="E516" s="6" t="n">
        <v>929814.8997505136</v>
      </c>
      <c r="F516" s="6" t="n">
        <v>2153442.911185706</v>
      </c>
      <c r="G516" s="6" t="n">
        <v>19497786.74657256</v>
      </c>
      <c r="H516" s="6" t="n">
        <v>17344343.83538685</v>
      </c>
      <c r="I516" s="6" t="n">
        <v>21127899.32477367</v>
      </c>
      <c r="J516" s="11" t="n">
        <v>0.84842</v>
      </c>
      <c r="K516" s="11" t="n">
        <v>0.03585091139871407</v>
      </c>
      <c r="L516" s="11" t="n">
        <v>0.05187155707065116</v>
      </c>
      <c r="M516" s="11" t="n">
        <v>0.1201340577527101</v>
      </c>
    </row>
    <row r="517">
      <c r="A517" t="inlineStr">
        <is>
          <t>Vida</t>
        </is>
      </c>
      <c r="B517" s="8" t="n">
        <v>202501</v>
      </c>
      <c r="C517" s="9" t="n">
        <v>17892106.32761479</v>
      </c>
      <c r="D517" s="9" t="n">
        <v>583907.1880543913</v>
      </c>
      <c r="E517" s="9" t="n">
        <v>164664.6678364778</v>
      </c>
      <c r="F517" s="9" t="n">
        <v>2594853.715600543</v>
      </c>
      <c r="G517" s="9" t="n">
        <v>18640678.18350565</v>
      </c>
      <c r="H517" s="9" t="n">
        <v>16045824.46790512</v>
      </c>
      <c r="I517" s="9" t="n">
        <v>21088737.0967384</v>
      </c>
      <c r="J517" s="10" t="n">
        <v>0.84842</v>
      </c>
      <c r="K517" s="10" t="n">
        <v>0.03263490487719633</v>
      </c>
      <c r="L517" s="10" t="n">
        <v>0.009203201949584511</v>
      </c>
      <c r="M517" s="10" t="n">
        <v>0.1450278501640486</v>
      </c>
    </row>
    <row r="518">
      <c r="A518" s="4" t="inlineStr">
        <is>
          <t>Vida</t>
        </is>
      </c>
      <c r="B518" s="5" t="n">
        <v>202502</v>
      </c>
      <c r="C518" s="6" t="n">
        <v>19555920.69568767</v>
      </c>
      <c r="D518" s="6" t="n">
        <v>640029.1687319591</v>
      </c>
      <c r="E518" s="6" t="n">
        <v>169207.8340185245</v>
      </c>
      <c r="F518" s="6" t="n">
        <v>2464391.519180492</v>
      </c>
      <c r="G518" s="6" t="n">
        <v>20365157.69843816</v>
      </c>
      <c r="H518" s="6" t="n">
        <v>17900766.17925766</v>
      </c>
      <c r="I518" s="6" t="n">
        <v>22649109.59277263</v>
      </c>
      <c r="J518" s="11" t="n">
        <v>0.8634299999999999</v>
      </c>
      <c r="K518" s="11" t="n">
        <v>0.03272815321209058</v>
      </c>
      <c r="L518" s="11" t="n">
        <v>0.008652511771324423</v>
      </c>
      <c r="M518" s="11" t="n">
        <v>0.1260176678730305</v>
      </c>
    </row>
    <row r="519">
      <c r="A519" t="inlineStr">
        <is>
          <t>Vida</t>
        </is>
      </c>
      <c r="B519" s="8" t="n">
        <v>202503</v>
      </c>
      <c r="C519" s="9" t="n">
        <v>19989769.46442885</v>
      </c>
      <c r="D519" s="9" t="n">
        <v>641914.2304158276</v>
      </c>
      <c r="E519" s="9" t="n">
        <v>166039.8843619871</v>
      </c>
      <c r="F519" s="9" t="n">
        <v>3352216.59547223</v>
      </c>
      <c r="G519" s="9" t="n">
        <v>20797723.57920666</v>
      </c>
      <c r="H519" s="9" t="n">
        <v>17445506.98373443</v>
      </c>
      <c r="I519" s="9" t="n">
        <v>22715905.25395612</v>
      </c>
      <c r="J519" s="10" t="n">
        <v>0.8799899999999999</v>
      </c>
      <c r="K519" s="10" t="n">
        <v>0.03211213773916169</v>
      </c>
      <c r="L519" s="10" t="n">
        <v>0.008306243083865959</v>
      </c>
      <c r="M519" s="10" t="n">
        <v>0.1676966110808527</v>
      </c>
    </row>
    <row r="520">
      <c r="A520" s="4" t="inlineStr">
        <is>
          <t>Vida</t>
        </is>
      </c>
      <c r="B520" s="5" t="n">
        <v>202504</v>
      </c>
      <c r="C520" s="6" t="n">
        <v>19601047.1825672</v>
      </c>
      <c r="D520" s="6" t="n">
        <v>637192.3823265488</v>
      </c>
      <c r="E520" s="6" t="n">
        <v>980710.127666517</v>
      </c>
      <c r="F520" s="6" t="n">
        <v>4120110.306623974</v>
      </c>
      <c r="G520" s="6" t="n">
        <v>21218949.69256026</v>
      </c>
      <c r="H520" s="6" t="n">
        <v>17098839.38593629</v>
      </c>
      <c r="I520" s="6" t="n">
        <v>22548859.59778573</v>
      </c>
      <c r="J520" s="11" t="n">
        <v>0.86927</v>
      </c>
      <c r="K520" s="11" t="n">
        <v>0.03250807859353839</v>
      </c>
      <c r="L520" s="11" t="n">
        <v>0.05003355782637685</v>
      </c>
      <c r="M520" s="11" t="n">
        <v>0.2101984791041329</v>
      </c>
    </row>
    <row r="521">
      <c r="A521" t="inlineStr">
        <is>
          <t>Vida</t>
        </is>
      </c>
      <c r="B521" s="8" t="n">
        <v>202505</v>
      </c>
      <c r="C521" s="9" t="n">
        <v>23867031.81736158</v>
      </c>
      <c r="D521" s="9" t="n">
        <v>727675.1114937847</v>
      </c>
      <c r="E521" s="9" t="n">
        <v>1600194.550854055</v>
      </c>
      <c r="F521" s="9" t="n">
        <v>5742587.703460044</v>
      </c>
      <c r="G521" s="9" t="n">
        <v>26194901.47970942</v>
      </c>
      <c r="H521" s="9" t="n">
        <v>20452313.77624937</v>
      </c>
      <c r="I521" s="9" t="n">
        <v>25750695.16897187</v>
      </c>
      <c r="J521" s="10" t="n">
        <v>0.9268499999999998</v>
      </c>
      <c r="K521" s="10" t="n">
        <v>0.03048871418374079</v>
      </c>
      <c r="L521" s="10" t="n">
        <v>0.06704623193613991</v>
      </c>
      <c r="M521" s="10" t="n">
        <v>0.2406075354239365</v>
      </c>
    </row>
    <row r="522">
      <c r="A522" s="4" t="inlineStr">
        <is>
          <t>Vida</t>
        </is>
      </c>
      <c r="B522" s="5" t="n">
        <v>202506</v>
      </c>
      <c r="C522" s="6" t="n">
        <v>28861466.29701472</v>
      </c>
      <c r="D522" s="6" t="n">
        <v>860598.0671874833</v>
      </c>
      <c r="E522" s="6" t="n">
        <v>1748509.42319375</v>
      </c>
      <c r="F522" s="6" t="n">
        <v>6980911.140716425</v>
      </c>
      <c r="G522" s="6" t="n">
        <v>31470573.78739595</v>
      </c>
      <c r="H522" s="6" t="n">
        <v>24489662.64667952</v>
      </c>
      <c r="I522" s="6" t="n">
        <v>31139306.57281623</v>
      </c>
      <c r="J522" s="11" t="n">
        <v>0.92685</v>
      </c>
      <c r="K522" s="11" t="n">
        <v>0.02981823786536095</v>
      </c>
      <c r="L522" s="11" t="n">
        <v>0.06058283405284253</v>
      </c>
      <c r="M522" s="11" t="n">
        <v>0.2418765238354676</v>
      </c>
    </row>
    <row r="523">
      <c r="A523" t="inlineStr">
        <is>
          <t>Vida</t>
        </is>
      </c>
      <c r="B523" s="8" t="n">
        <v>202507</v>
      </c>
      <c r="C523" s="9" t="n">
        <v>32325091.54282383</v>
      </c>
      <c r="D523" s="9" t="n">
        <v>918706.7776128897</v>
      </c>
      <c r="E523" s="9" t="n">
        <v>2279817.404070384</v>
      </c>
      <c r="F523" s="9" t="n">
        <v>9857583.878524488</v>
      </c>
      <c r="G523" s="9" t="n">
        <v>35523615.72450711</v>
      </c>
      <c r="H523" s="9" t="n">
        <v>25666031.84598262</v>
      </c>
      <c r="I523" s="9" t="n">
        <v>32510923.9843182</v>
      </c>
      <c r="J523" s="10" t="n">
        <v>0.9942839999999999</v>
      </c>
      <c r="K523" s="10" t="n">
        <v>0.02842085617594616</v>
      </c>
      <c r="L523" s="10" t="n">
        <v>0.07052779420748471</v>
      </c>
      <c r="M523" s="10" t="n">
        <v>0.3049514605539569</v>
      </c>
    </row>
    <row r="524">
      <c r="A524" s="4" t="inlineStr">
        <is>
          <t>Vida</t>
        </is>
      </c>
      <c r="B524" s="5" t="n">
        <v>202508</v>
      </c>
      <c r="C524" s="6" t="n">
        <v>34492225.88591485</v>
      </c>
      <c r="D524" s="6" t="n">
        <v>1013669.965436862</v>
      </c>
      <c r="E524" s="6" t="n">
        <v>2722619.816734989</v>
      </c>
      <c r="F524" s="6" t="n">
        <v>10975787.5015406</v>
      </c>
      <c r="G524" s="6" t="n">
        <v>38228515.66808671</v>
      </c>
      <c r="H524" s="6" t="n">
        <v>27252728.1665461</v>
      </c>
      <c r="I524" s="6" t="n">
        <v>35871484.46353789</v>
      </c>
      <c r="J524" s="11" t="n">
        <v>0.96155</v>
      </c>
      <c r="K524" s="11" t="n">
        <v>0.0293883604029974</v>
      </c>
      <c r="L524" s="11" t="n">
        <v>0.07893430321778074</v>
      </c>
      <c r="M524" s="11" t="n">
        <v>0.318210472639362</v>
      </c>
    </row>
    <row r="525">
      <c r="A525" t="inlineStr">
        <is>
          <t>Vida</t>
        </is>
      </c>
      <c r="B525" s="8" t="n">
        <v>202509</v>
      </c>
      <c r="C525" s="9" t="n">
        <v>34899500.63227899</v>
      </c>
      <c r="D525" s="9" t="n">
        <v>1090211.413236362</v>
      </c>
      <c r="E525" s="9" t="n">
        <v>2285707.746782639</v>
      </c>
      <c r="F525" s="9" t="n">
        <v>12631655.87642713</v>
      </c>
      <c r="G525" s="9" t="n">
        <v>38275419.792298</v>
      </c>
      <c r="H525" s="9" t="n">
        <v>25643763.91587086</v>
      </c>
      <c r="I525" s="9" t="n">
        <v>38580097.2747276</v>
      </c>
      <c r="J525" s="10" t="n">
        <v>0.9045985649999999</v>
      </c>
      <c r="K525" s="10" t="n">
        <v>0.03123859635481465</v>
      </c>
      <c r="L525" s="10" t="n">
        <v>0.06549399576991537</v>
      </c>
      <c r="M525" s="10" t="n">
        <v>0.3619437426776231</v>
      </c>
    </row>
    <row r="526">
      <c r="A526" s="4" t="inlineStr">
        <is>
          <t>Vida</t>
        </is>
      </c>
      <c r="B526" s="5" t="n">
        <v>202510</v>
      </c>
      <c r="C526" s="6" t="n">
        <v>36571967.76572155</v>
      </c>
      <c r="D526" s="6" t="n">
        <v>1123150.7206829</v>
      </c>
      <c r="E526" s="6" t="n">
        <v>2233209.058860255</v>
      </c>
      <c r="F526" s="6" t="n">
        <v>14095946.90574609</v>
      </c>
      <c r="G526" s="6" t="n">
        <v>39928327.54526471</v>
      </c>
      <c r="H526" s="6" t="n">
        <v>25832380.63951862</v>
      </c>
      <c r="I526" s="6" t="n">
        <v>39745744.9950677</v>
      </c>
      <c r="J526" s="11" t="n">
        <v>0.920148</v>
      </c>
      <c r="K526" s="11" t="n">
        <v>0.0307106997325863</v>
      </c>
      <c r="L526" s="11" t="n">
        <v>0.06106340990908929</v>
      </c>
      <c r="M526" s="11" t="n">
        <v>0.3854303655751891</v>
      </c>
    </row>
    <row r="527">
      <c r="A527" t="inlineStr">
        <is>
          <t>Vida</t>
        </is>
      </c>
      <c r="B527" s="8" t="n">
        <v>202511</v>
      </c>
      <c r="C527" s="9" t="n">
        <v>39040809.88559903</v>
      </c>
      <c r="D527" s="9" t="n">
        <v>1201716.973758287</v>
      </c>
      <c r="E527" s="9" t="n">
        <v>1897601.413477778</v>
      </c>
      <c r="F527" s="9" t="n">
        <v>14695063.91422934</v>
      </c>
      <c r="G527" s="9" t="n">
        <v>42140128.27283509</v>
      </c>
      <c r="H527" s="9" t="n">
        <v>27445064.35860576</v>
      </c>
      <c r="I527" s="9" t="n">
        <v>42526026.10220242</v>
      </c>
      <c r="J527" s="10" t="n">
        <v>0.9180450999999999</v>
      </c>
      <c r="K527" s="10" t="n">
        <v>0.03078104622521072</v>
      </c>
      <c r="L527" s="10" t="n">
        <v>0.04860558525907389</v>
      </c>
      <c r="M527" s="10" t="n">
        <v>0.376402640142204</v>
      </c>
    </row>
    <row r="528">
      <c r="A528" s="4" t="inlineStr">
        <is>
          <t>Vida</t>
        </is>
      </c>
      <c r="B528" s="5" t="n">
        <v>202512</v>
      </c>
      <c r="C528" s="6" t="n">
        <v>39068329.1303865</v>
      </c>
      <c r="D528" s="6" t="n">
        <v>1223484.1370502</v>
      </c>
      <c r="E528" s="6" t="n">
        <v>1992967.805975122</v>
      </c>
      <c r="F528" s="6" t="n">
        <v>15670333.4329187</v>
      </c>
      <c r="G528" s="6" t="n">
        <v>42284781.07341182</v>
      </c>
      <c r="H528" s="6" t="n">
        <v>26614447.64049312</v>
      </c>
      <c r="I528" s="6" t="n">
        <v>43296299.35500106</v>
      </c>
      <c r="J528" s="11" t="n">
        <v>0.902348</v>
      </c>
      <c r="K528" s="11" t="n">
        <v>0.03131652067757872</v>
      </c>
      <c r="L528" s="11" t="n">
        <v>0.05101236347538178</v>
      </c>
      <c r="M528" s="11" t="n">
        <v>0.4011006813375763</v>
      </c>
    </row>
    <row r="529">
      <c r="A529" t="inlineStr">
        <is>
          <t>Vida</t>
        </is>
      </c>
      <c r="B529" s="8" t="n">
        <v>202601</v>
      </c>
      <c r="C529" s="9" t="n">
        <v>39695964.10009127</v>
      </c>
      <c r="D529" s="9" t="n">
        <v>1222235.071555272</v>
      </c>
      <c r="E529" s="9" t="n">
        <v>2194144.796528148</v>
      </c>
      <c r="F529" s="9" t="n">
        <v>14253678.74983496</v>
      </c>
      <c r="G529" s="9" t="n">
        <v>43112343.96817469</v>
      </c>
      <c r="H529" s="9" t="n">
        <v>28858665.21833973</v>
      </c>
      <c r="I529" s="9" t="n">
        <v>43252109.27235503</v>
      </c>
      <c r="J529" s="10" t="n">
        <v>0.9177809999999998</v>
      </c>
      <c r="K529" s="10" t="n">
        <v>0.03078990772143665</v>
      </c>
      <c r="L529" s="10" t="n">
        <v>0.05527375002143111</v>
      </c>
      <c r="M529" s="10" t="n">
        <v>0.3590712323775552</v>
      </c>
    </row>
    <row r="530">
      <c r="A530" s="4" t="inlineStr">
        <is>
          <t>Vida</t>
        </is>
      </c>
      <c r="B530" s="5" t="n">
        <v>202602</v>
      </c>
      <c r="C530" s="6" t="n">
        <v>40129740.60864216</v>
      </c>
      <c r="D530" s="6" t="n">
        <v>1235591.010225281</v>
      </c>
      <c r="E530" s="6" t="n">
        <v>2218121.250826959</v>
      </c>
      <c r="F530" s="6" t="n">
        <v>14409435.41533676</v>
      </c>
      <c r="G530" s="6" t="n">
        <v>43583452.8696944</v>
      </c>
      <c r="H530" s="6" t="n">
        <v>29174017.45435764</v>
      </c>
      <c r="I530" s="6" t="n">
        <v>43321588.61458776</v>
      </c>
      <c r="J530" s="11" t="n">
        <v>0.9263219999999999</v>
      </c>
      <c r="K530" s="11" t="n">
        <v>0.03078990772143665</v>
      </c>
      <c r="L530" s="11" t="n">
        <v>0.05527375002143111</v>
      </c>
      <c r="M530" s="11" t="n">
        <v>0.3590712323775552</v>
      </c>
    </row>
    <row r="531">
      <c r="A531" t="inlineStr">
        <is>
          <t>Vida</t>
        </is>
      </c>
      <c r="B531" s="8" t="n">
        <v>202603</v>
      </c>
      <c r="C531" s="9" t="n">
        <v>46726219.01736103</v>
      </c>
      <c r="D531" s="9" t="n">
        <v>1415925.772097382</v>
      </c>
      <c r="E531" s="9" t="n">
        <v>2466672.906299511</v>
      </c>
      <c r="F531" s="9" t="n">
        <v>20418292.01347823</v>
      </c>
      <c r="G531" s="9" t="n">
        <v>50608817.69575792</v>
      </c>
      <c r="H531" s="9" t="n">
        <v>30190525.68227969</v>
      </c>
      <c r="I531" s="9" t="n">
        <v>53960859.35246467</v>
      </c>
      <c r="J531" s="10" t="n">
        <v>0.865928</v>
      </c>
      <c r="K531" s="10" t="n">
        <v>0.0303025967406286</v>
      </c>
      <c r="L531" s="10" t="n">
        <v>0.05278991020829278</v>
      </c>
      <c r="M531" s="10" t="n">
        <v>0.4369771927382324</v>
      </c>
    </row>
    <row r="532">
      <c r="A532" s="4" t="inlineStr">
        <is>
          <t>Vida</t>
        </is>
      </c>
      <c r="B532" s="5" t="n">
        <v>202604</v>
      </c>
      <c r="C532" s="6" t="n">
        <v>58662206.61007052</v>
      </c>
      <c r="D532" s="6" t="n">
        <v>1714340.311297857</v>
      </c>
      <c r="E532" s="6" t="n">
        <v>2336269.129533797</v>
      </c>
      <c r="F532" s="6" t="n">
        <v>32399932.32792177</v>
      </c>
      <c r="G532" s="6" t="n">
        <v>62712816.05090217</v>
      </c>
      <c r="H532" s="6" t="n">
        <v>30312883.7229804</v>
      </c>
      <c r="I532" s="6" t="n">
        <v>65333400.0936312</v>
      </c>
      <c r="J532" s="11" t="n">
        <v>0.89789</v>
      </c>
      <c r="K532" s="11" t="n">
        <v>0.02922393156283958</v>
      </c>
      <c r="L532" s="11" t="n">
        <v>0.03982579695753775</v>
      </c>
      <c r="M532" s="11" t="n">
        <v>0.5523135626875598</v>
      </c>
    </row>
    <row r="533">
      <c r="A533" t="inlineStr">
        <is>
          <t>Vida</t>
        </is>
      </c>
      <c r="B533" s="8" t="n">
        <v>202605</v>
      </c>
      <c r="C533" s="9" t="n">
        <v>67933429.43062611</v>
      </c>
      <c r="D533" s="9" t="n">
        <v>1977782.615440511</v>
      </c>
      <c r="E533" s="9" t="n">
        <v>2702404.708162006</v>
      </c>
      <c r="F533" s="9" t="n">
        <v>38487768.39291584</v>
      </c>
      <c r="G533" s="9" t="n">
        <v>72613616.75422864</v>
      </c>
      <c r="H533" s="9" t="n">
        <v>34125848.36131279</v>
      </c>
      <c r="I533" s="9" t="n">
        <v>75373134.69022475</v>
      </c>
      <c r="J533" s="10" t="n">
        <v>0.9012949999999998</v>
      </c>
      <c r="K533" s="10" t="n">
        <v>0.02911354000551717</v>
      </c>
      <c r="L533" s="10" t="n">
        <v>0.03978018967703835</v>
      </c>
      <c r="M533" s="10" t="n">
        <v>0.5665512357538156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SUPUESTOS Y FUENTES</t>
        </is>
      </c>
    </row>
    <row r="2" ht="30" customHeight="1">
      <c r="A2" s="2" t="inlineStr"/>
    </row>
    <row r="3" ht="32" customHeight="1">
      <c r="A3" s="3" t="inlineStr">
        <is>
          <t>Supuesto</t>
        </is>
      </c>
    </row>
    <row r="4">
      <c r="A4" s="4" t="inlineStr">
        <is>
          <t>Prima base: BD del MEC (PrimasNal, Tipo Póliza P*), fuente BD, origen Real, hasta 202605; fianzas (130–170) excluidas por no tener RRC en la base.</t>
        </is>
      </c>
    </row>
    <row r="5">
      <c r="A5" t="inlineStr">
        <is>
          <t>Conversión a USD al TC de cierre del mes de registro (base BEL-IRR-MR 2022+; 2019–2021 promedios Banxico aproximados).</t>
        </is>
      </c>
    </row>
    <row r="6">
      <c r="A6" s="4" t="inlineStr">
        <is>
          <t>Real = saldos BD_Montos_RRC_SONR (USD). AyE = RAM_30+34+37; CAT = RAM_71+73. Índices de siniestralidad: HParametros 'Real' (31/35/39 y 30/34/37 según fecha; TEV/Hidro para CAT desde 2024, antes se rellenan).</t>
        </is>
      </c>
    </row>
    <row r="7">
      <c r="A7" t="inlineStr">
        <is>
          <t>Prima no devengada real implícita = Σ BEL_subramo / IS_subramo. IS efectivo, gasto, MR y % cesión se toman del real mes a mes.</t>
        </is>
      </c>
    </row>
    <row r="8">
      <c r="A8" s="4" t="inlineStr">
        <is>
          <t>Prima retenida = prima emitida × (1 − % cedido anual del ER real por ramo: 2023, 2024, 2025 YTD oct; 2026 usa 2025).</t>
        </is>
      </c>
    </row>
    <row r="9">
      <c r="A9" t="inlineStr">
        <is>
          <t>No proporcional (TipoRea 2): la BD del MEC no trae fin de vigencia por registro; se usa la curva PF+ de cartera por antigüedad de cohorte como proxy de la prorrata exacta.</t>
        </is>
      </c>
    </row>
    <row r="10">
      <c r="A10" s="4" t="inlineStr">
        <is>
          <t>Antigüedad de registro k = mes de valuación − mes de registro (Periodo). El año de los reportes es el CONTABLE (año de PERIODO), no el de suscripción.</t>
        </is>
      </c>
    </row>
    <row r="11">
      <c r="A11" t="inlineStr">
        <is>
          <t>Ventana de calibración y reporte: 202301–202605 (CAT desde 202401). Vectores MEC: m2_fnd_prorrata sobre Registros_Vigencia_MEC.csv, horizonte 72 meses; abre sólo Vida (decisión M3).</t>
        </is>
      </c>
    </row>
    <row r="12">
      <c r="A12" s="4" t="inlineStr">
        <is>
          <t>Las columnas ámbar de la hoja Mensual son fórmulas Excel; sus valores se recalculan al abrir el archivo. Si Excel muestra ceros, pulsa F9 o activa el cálculo automático.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2026-09-04T02:08:16Z</dcterms:created>
  <dcterms:modified xsi:type="dcterms:W3CDTF">2026-09-04T02:08:17Z</dcterms:modified>
</cp:coreProperties>
</file>