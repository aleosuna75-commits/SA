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nóstico" sheetId="1" state="visible" r:id="rId3"/>
    <sheet name="Parlay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<sst xmlns="http://schemas.openxmlformats.org/spreadsheetml/2006/main" count="125" uniqueCount="73">
  <si>
    <t xml:space="preserve">CEREBRO LIGA MX 2026 — PRONÓSTICO</t>
  </si>
  <si>
    <t xml:space="preserve">Jornada 2 · Apertura 2026</t>
  </si>
  <si>
    <t xml:space="preserve">Fecha</t>
  </si>
  <si>
    <t xml:space="preserve">Local</t>
  </si>
  <si>
    <t xml:space="preserve">Visitante</t>
  </si>
  <si>
    <t xml:space="preserve">P(Local)</t>
  </si>
  <si>
    <t xml:space="preserve">P(Empate)</t>
  </si>
  <si>
    <t xml:space="preserve">P(Visita)</t>
  </si>
  <si>
    <t xml:space="preserve">Pick quiniela</t>
  </si>
  <si>
    <t xml:space="preserve">Marcador</t>
  </si>
  <si>
    <t xml:space="preserve">2026-07-21</t>
  </si>
  <si>
    <t xml:space="preserve">Cruz Azul</t>
  </si>
  <si>
    <t xml:space="preserve">Puebla</t>
  </si>
  <si>
    <t xml:space="preserve">1-0</t>
  </si>
  <si>
    <t xml:space="preserve">Toluca</t>
  </si>
  <si>
    <t xml:space="preserve">Pumas</t>
  </si>
  <si>
    <t xml:space="preserve">2-0</t>
  </si>
  <si>
    <t xml:space="preserve">2026-07-24</t>
  </si>
  <si>
    <t xml:space="preserve">Tigres</t>
  </si>
  <si>
    <t xml:space="preserve">Atlético San Luis</t>
  </si>
  <si>
    <t xml:space="preserve">1-1</t>
  </si>
  <si>
    <t xml:space="preserve">Tijuana</t>
  </si>
  <si>
    <t xml:space="preserve">León</t>
  </si>
  <si>
    <t xml:space="preserve">Atlante</t>
  </si>
  <si>
    <t xml:space="preserve">América</t>
  </si>
  <si>
    <t xml:space="preserve">0-1</t>
  </si>
  <si>
    <t xml:space="preserve">2026-07-25</t>
  </si>
  <si>
    <t xml:space="preserve">Chivas</t>
  </si>
  <si>
    <t xml:space="preserve">Juárez</t>
  </si>
  <si>
    <t xml:space="preserve">0-0</t>
  </si>
  <si>
    <t xml:space="preserve">Santos</t>
  </si>
  <si>
    <t xml:space="preserve">Atlas</t>
  </si>
  <si>
    <t xml:space="preserve">2026-07-26</t>
  </si>
  <si>
    <t xml:space="preserve">Necaxa</t>
  </si>
  <si>
    <t xml:space="preserve">Monterrey</t>
  </si>
  <si>
    <t xml:space="preserve">Pachuca</t>
  </si>
  <si>
    <t xml:space="preserve">Querétaro</t>
  </si>
  <si>
    <t xml:space="preserve">PARLAYS — Mejor combinación por jornada</t>
  </si>
  <si>
    <t xml:space="preserve">PARLAY RECOMENDADO</t>
  </si>
  <si>
    <t xml:space="preserve">Equilibrio óptimo entre número de picks y seguridad (máx. valor esperado).</t>
  </si>
  <si>
    <t xml:space="preserve">Partido</t>
  </si>
  <si>
    <t xml:space="preserve">Selección (mercado)</t>
  </si>
  <si>
    <t xml:space="preserve">Prob.</t>
  </si>
  <si>
    <t xml:space="preserve">Chivas vs Juárez</t>
  </si>
  <si>
    <t xml:space="preserve">Chivas o empate</t>
  </si>
  <si>
    <t xml:space="preserve">Tijuana vs León</t>
  </si>
  <si>
    <t xml:space="preserve">Más de 1.5 goles</t>
  </si>
  <si>
    <t xml:space="preserve">Más de 0.5 goles 2T</t>
  </si>
  <si>
    <t xml:space="preserve">Atlante vs América</t>
  </si>
  <si>
    <t xml:space="preserve">Menos de 1.5 goles 1T</t>
  </si>
  <si>
    <t xml:space="preserve">Menos de 2.5 goles</t>
  </si>
  <si>
    <t xml:space="preserve">Picks: 5</t>
  </si>
  <si>
    <t xml:space="preserve">Prob. combinada (conjunta) →</t>
  </si>
  <si>
    <t xml:space="preserve">Valor esperado (picks × prob) →</t>
  </si>
  <si>
    <t xml:space="preserve">PARLAY SEGURO</t>
  </si>
  <si>
    <t xml:space="preserve">Máxima probabilidad: los legs más sólidos, uno por partido. Menos premio, más certeza.</t>
  </si>
  <si>
    <t xml:space="preserve">Toluca vs Pumas</t>
  </si>
  <si>
    <t xml:space="preserve">No hay empate</t>
  </si>
  <si>
    <t xml:space="preserve">Picks: 4</t>
  </si>
  <si>
    <t xml:space="preserve">PARLAY AGRESIVO</t>
  </si>
  <si>
    <t xml:space="preserve">Más picks = más premio si pega, pero menor probabilidad combinada.</t>
  </si>
  <si>
    <t xml:space="preserve">Necaxa vs Monterrey</t>
  </si>
  <si>
    <t xml:space="preserve">Tigres vs Atlético San Luis</t>
  </si>
  <si>
    <t xml:space="preserve">Tigres o empate al descanso</t>
  </si>
  <si>
    <t xml:space="preserve">Pachuca vs Querétaro</t>
  </si>
  <si>
    <t xml:space="preserve">Menos de 3.5 goles</t>
  </si>
  <si>
    <t xml:space="preserve">Picks: 10</t>
  </si>
  <si>
    <t xml:space="preserve">Criterio: búsqueda voraz que agrega el leg que más suba (nº de picks × P(todos peguen)); un partido puede aportar varios legs o ninguno.</t>
  </si>
  <si>
    <t xml:space="preserve">Prob. combinada = probabilidad conjunta EXACTA sobre el joint de mitades (h1,a1,h2,a2): legs del mismo partido (incluso 1T vs tiempo completo) están correlacionados; partidos distintos se multiplican.</t>
  </si>
  <si>
    <t xml:space="preserve">Mercados: resultado, doble oportunidad, más/menos goles, ambos anotan, total por equipo, y MITADES (gol en 1T, resultado al descanso, 2T más goleador) calibradas con 2,047 partidos reales con marcador HT (2018-2024).</t>
  </si>
  <si>
    <t xml:space="preserve">Reparto de mitades: 44.4% de los goles caen en el 1T (dato real Liga MX); modelo validado: P(gol en 1T) 68.8% vs 68.9% observado.</t>
  </si>
  <si>
    <t xml:space="preserve">Tarjetas, córners y minuto exacto de gol NO se modelan: no existe base pública de Liga MX con esos campos (verificado: football-data.co.uk los publica vacíos para MEX). Requieren API de pago.</t>
  </si>
  <si>
    <t xml:space="preserve">Probabilidades del modelo Dixon-Coles + Monte Carlo con histórico real 2010-2025 (openfootball).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</si>
</sst>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573F"/>
      <name val="Calibri"/>
      <family val="0"/>
      <charset val="1"/>
    </font>
    <font>
      <b val="true"/>
      <sz val="11"/>
      <color rgb="FFC9A96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00573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11"/>
      <color rgb="FF00573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573F"/>
        <bgColor rgb="FF003300"/>
      </patternFill>
    </fill>
    <fill>
      <patternFill patternType="solid">
        <fgColor rgb="FFE4EFEA"/>
        <bgColor rgb="FFD9D9D9"/>
      </patternFill>
    </fill>
    <fill>
      <patternFill patternType="solid">
        <fgColor rgb="FFC9A961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EF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C9A961"/>
      <rgbColor rgb="FF00573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5" t="s">
        <v>12</v>
      </c>
      <c r="D5" s="6" t="n">
        <v>0.6926</v>
      </c>
      <c r="E5" s="6" t="n">
        <v>0.2269</v>
      </c>
      <c r="F5" s="6" t="n">
        <v>0.0805</v>
      </c>
      <c r="G5" s="7" t="s">
        <v>11</v>
      </c>
      <c r="H5" s="4" t="s">
        <v>13</v>
      </c>
    </row>
    <row r="6" customFormat="false" ht="15" hidden="false" customHeight="false" outlineLevel="0" collapsed="false">
      <c r="A6" s="8" t="s">
        <v>10</v>
      </c>
      <c r="B6" s="9" t="s">
        <v>14</v>
      </c>
      <c r="C6" s="9" t="s">
        <v>15</v>
      </c>
      <c r="D6" s="10" t="n">
        <v>0.7534</v>
      </c>
      <c r="E6" s="10" t="n">
        <v>0.1747</v>
      </c>
      <c r="F6" s="10" t="n">
        <v>0.0719</v>
      </c>
      <c r="G6" s="11" t="s">
        <v>14</v>
      </c>
      <c r="H6" s="8" t="s">
        <v>16</v>
      </c>
    </row>
    <row r="7" customFormat="false" ht="15" hidden="false" customHeight="false" outlineLevel="0" collapsed="false">
      <c r="A7" s="4" t="s">
        <v>17</v>
      </c>
      <c r="B7" s="5" t="s">
        <v>18</v>
      </c>
      <c r="C7" s="5" t="s">
        <v>19</v>
      </c>
      <c r="D7" s="6" t="n">
        <v>0.4839</v>
      </c>
      <c r="E7" s="6" t="n">
        <v>0.2935</v>
      </c>
      <c r="F7" s="6" t="n">
        <v>0.2226</v>
      </c>
      <c r="G7" s="7" t="s">
        <v>18</v>
      </c>
      <c r="H7" s="4" t="s">
        <v>20</v>
      </c>
    </row>
    <row r="8" customFormat="false" ht="15" hidden="false" customHeight="false" outlineLevel="0" collapsed="false">
      <c r="A8" s="8" t="s">
        <v>17</v>
      </c>
      <c r="B8" s="9" t="s">
        <v>21</v>
      </c>
      <c r="C8" s="9" t="s">
        <v>22</v>
      </c>
      <c r="D8" s="10" t="n">
        <v>0.5466</v>
      </c>
      <c r="E8" s="10" t="n">
        <v>0.2369</v>
      </c>
      <c r="F8" s="10" t="n">
        <v>0.2165</v>
      </c>
      <c r="G8" s="11" t="s">
        <v>21</v>
      </c>
      <c r="H8" s="8" t="s">
        <v>20</v>
      </c>
    </row>
    <row r="9" customFormat="false" ht="15" hidden="false" customHeight="false" outlineLevel="0" collapsed="false">
      <c r="A9" s="4" t="s">
        <v>17</v>
      </c>
      <c r="B9" s="5" t="s">
        <v>23</v>
      </c>
      <c r="C9" s="5" t="s">
        <v>24</v>
      </c>
      <c r="D9" s="6" t="n">
        <v>0.1108</v>
      </c>
      <c r="E9" s="6" t="n">
        <v>0.3274</v>
      </c>
      <c r="F9" s="6" t="n">
        <v>0.5618</v>
      </c>
      <c r="G9" s="7" t="s">
        <v>24</v>
      </c>
      <c r="H9" s="4" t="s">
        <v>25</v>
      </c>
    </row>
    <row r="10" customFormat="false" ht="15" hidden="false" customHeight="false" outlineLevel="0" collapsed="false">
      <c r="A10" s="8" t="s">
        <v>26</v>
      </c>
      <c r="B10" s="9" t="s">
        <v>27</v>
      </c>
      <c r="C10" s="9" t="s">
        <v>28</v>
      </c>
      <c r="D10" s="10" t="n">
        <v>0.4849</v>
      </c>
      <c r="E10" s="10" t="n">
        <v>0.3655</v>
      </c>
      <c r="F10" s="10" t="n">
        <v>0.1496</v>
      </c>
      <c r="G10" s="11" t="s">
        <v>27</v>
      </c>
      <c r="H10" s="8" t="s">
        <v>29</v>
      </c>
    </row>
    <row r="11" customFormat="false" ht="15" hidden="false" customHeight="false" outlineLevel="0" collapsed="false">
      <c r="A11" s="4" t="s">
        <v>26</v>
      </c>
      <c r="B11" s="5" t="s">
        <v>30</v>
      </c>
      <c r="C11" s="5" t="s">
        <v>31</v>
      </c>
      <c r="D11" s="6" t="n">
        <v>0.3238</v>
      </c>
      <c r="E11" s="6" t="n">
        <v>0.2713</v>
      </c>
      <c r="F11" s="6" t="n">
        <v>0.4049</v>
      </c>
      <c r="G11" s="7" t="s">
        <v>31</v>
      </c>
      <c r="H11" s="4" t="s">
        <v>20</v>
      </c>
    </row>
    <row r="12" customFormat="false" ht="15" hidden="false" customHeight="false" outlineLevel="0" collapsed="false">
      <c r="A12" s="8" t="s">
        <v>32</v>
      </c>
      <c r="B12" s="9" t="s">
        <v>33</v>
      </c>
      <c r="C12" s="9" t="s">
        <v>34</v>
      </c>
      <c r="D12" s="10" t="n">
        <v>0.3549</v>
      </c>
      <c r="E12" s="10" t="n">
        <v>0.2695</v>
      </c>
      <c r="F12" s="10" t="n">
        <v>0.3756</v>
      </c>
      <c r="G12" s="11" t="s">
        <v>34</v>
      </c>
      <c r="H12" s="8" t="s">
        <v>20</v>
      </c>
    </row>
    <row r="13" customFormat="false" ht="15" hidden="false" customHeight="false" outlineLevel="0" collapsed="false">
      <c r="A13" s="4" t="s">
        <v>32</v>
      </c>
      <c r="B13" s="5" t="s">
        <v>35</v>
      </c>
      <c r="C13" s="5" t="s">
        <v>36</v>
      </c>
      <c r="D13" s="6" t="n">
        <v>0.6474</v>
      </c>
      <c r="E13" s="6" t="n">
        <v>0.247</v>
      </c>
      <c r="F13" s="6" t="n">
        <v>0.1055</v>
      </c>
      <c r="G13" s="7" t="s">
        <v>35</v>
      </c>
      <c r="H13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2"/>
  </cols>
  <sheetData>
    <row r="1" customFormat="false" ht="19.7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12" t="s">
        <v>38</v>
      </c>
      <c r="B4" s="12"/>
      <c r="C4" s="12"/>
    </row>
    <row r="5" customFormat="false" ht="15" hidden="false" customHeight="false" outlineLevel="0" collapsed="false">
      <c r="A5" s="13" t="s">
        <v>39</v>
      </c>
      <c r="B5" s="13"/>
      <c r="C5" s="13"/>
    </row>
    <row r="6" customFormat="false" ht="15" hidden="false" customHeight="false" outlineLevel="0" collapsed="false">
      <c r="A6" s="14" t="s">
        <v>40</v>
      </c>
      <c r="B6" s="14" t="s">
        <v>41</v>
      </c>
      <c r="C6" s="14" t="s">
        <v>42</v>
      </c>
    </row>
    <row r="7" customFormat="false" ht="15" hidden="false" customHeight="false" outlineLevel="0" collapsed="false">
      <c r="A7" s="5" t="s">
        <v>43</v>
      </c>
      <c r="B7" s="5" t="s">
        <v>44</v>
      </c>
      <c r="C7" s="6" t="n">
        <v>0.8487</v>
      </c>
    </row>
    <row r="8" customFormat="false" ht="15" hidden="false" customHeight="false" outlineLevel="0" collapsed="false">
      <c r="A8" s="5" t="s">
        <v>45</v>
      </c>
      <c r="B8" s="5" t="s">
        <v>46</v>
      </c>
      <c r="C8" s="6" t="n">
        <v>0.8398</v>
      </c>
    </row>
    <row r="9" customFormat="false" ht="15" hidden="false" customHeight="false" outlineLevel="0" collapsed="false">
      <c r="A9" s="5" t="s">
        <v>45</v>
      </c>
      <c r="B9" s="5" t="s">
        <v>47</v>
      </c>
      <c r="C9" s="6" t="n">
        <v>0.8279</v>
      </c>
    </row>
    <row r="10" customFormat="false" ht="15" hidden="false" customHeight="false" outlineLevel="0" collapsed="false">
      <c r="A10" s="5" t="s">
        <v>48</v>
      </c>
      <c r="B10" s="5" t="s">
        <v>49</v>
      </c>
      <c r="C10" s="6" t="n">
        <v>0.8353</v>
      </c>
    </row>
    <row r="11" customFormat="false" ht="15" hidden="false" customHeight="false" outlineLevel="0" collapsed="false">
      <c r="A11" s="5" t="s">
        <v>48</v>
      </c>
      <c r="B11" s="5" t="s">
        <v>50</v>
      </c>
      <c r="C11" s="6" t="n">
        <v>0.7782</v>
      </c>
    </row>
    <row r="12" customFormat="false" ht="15" hidden="false" customHeight="false" outlineLevel="0" collapsed="false">
      <c r="A12" s="15" t="s">
        <v>51</v>
      </c>
      <c r="B12" s="16" t="s">
        <v>52</v>
      </c>
      <c r="C12" s="17" t="n">
        <v>0.4722</v>
      </c>
    </row>
    <row r="13" customFormat="false" ht="15" hidden="false" customHeight="false" outlineLevel="0" collapsed="false">
      <c r="B13" s="18" t="s">
        <v>53</v>
      </c>
      <c r="C13" s="19" t="n">
        <f aca="false">COUNT(C7:C11)*C12</f>
        <v>2.361</v>
      </c>
    </row>
    <row r="15" customFormat="false" ht="15" hidden="false" customHeight="false" outlineLevel="0" collapsed="false">
      <c r="A15" s="12" t="s">
        <v>54</v>
      </c>
      <c r="B15" s="12"/>
      <c r="C15" s="12"/>
    </row>
    <row r="16" customFormat="false" ht="15" hidden="false" customHeight="false" outlineLevel="0" collapsed="false">
      <c r="A16" s="13" t="s">
        <v>55</v>
      </c>
      <c r="B16" s="13"/>
      <c r="C16" s="13"/>
    </row>
    <row r="17" customFormat="false" ht="15" hidden="false" customHeight="false" outlineLevel="0" collapsed="false">
      <c r="A17" s="14" t="s">
        <v>40</v>
      </c>
      <c r="B17" s="14" t="s">
        <v>41</v>
      </c>
      <c r="C17" s="14" t="s">
        <v>42</v>
      </c>
    </row>
    <row r="18" customFormat="false" ht="15" hidden="false" customHeight="false" outlineLevel="0" collapsed="false">
      <c r="A18" s="5" t="s">
        <v>43</v>
      </c>
      <c r="B18" s="5" t="s">
        <v>44</v>
      </c>
      <c r="C18" s="6" t="n">
        <v>0.8487</v>
      </c>
    </row>
    <row r="19" customFormat="false" ht="15" hidden="false" customHeight="false" outlineLevel="0" collapsed="false">
      <c r="A19" s="5" t="s">
        <v>45</v>
      </c>
      <c r="B19" s="5" t="s">
        <v>46</v>
      </c>
      <c r="C19" s="6" t="n">
        <v>0.8398</v>
      </c>
    </row>
    <row r="20" customFormat="false" ht="15" hidden="false" customHeight="false" outlineLevel="0" collapsed="false">
      <c r="A20" s="5" t="s">
        <v>48</v>
      </c>
      <c r="B20" s="5" t="s">
        <v>49</v>
      </c>
      <c r="C20" s="6" t="n">
        <v>0.8353</v>
      </c>
    </row>
    <row r="21" customFormat="false" ht="15" hidden="false" customHeight="false" outlineLevel="0" collapsed="false">
      <c r="A21" s="5" t="s">
        <v>56</v>
      </c>
      <c r="B21" s="5" t="s">
        <v>57</v>
      </c>
      <c r="C21" s="6" t="n">
        <v>0.8263</v>
      </c>
    </row>
    <row r="22" customFormat="false" ht="15" hidden="false" customHeight="false" outlineLevel="0" collapsed="false">
      <c r="A22" s="15" t="s">
        <v>58</v>
      </c>
      <c r="B22" s="16" t="s">
        <v>52</v>
      </c>
      <c r="C22" s="17" t="n">
        <v>0.4919</v>
      </c>
    </row>
    <row r="23" customFormat="false" ht="15" hidden="false" customHeight="false" outlineLevel="0" collapsed="false">
      <c r="B23" s="18" t="s">
        <v>53</v>
      </c>
      <c r="C23" s="19" t="n">
        <f aca="false">COUNT(C18:C21)*C22</f>
        <v>1.9676</v>
      </c>
    </row>
    <row r="25" customFormat="false" ht="15" hidden="false" customHeight="false" outlineLevel="0" collapsed="false">
      <c r="A25" s="12" t="s">
        <v>59</v>
      </c>
      <c r="B25" s="12"/>
      <c r="C25" s="12"/>
    </row>
    <row r="26" customFormat="false" ht="15" hidden="false" customHeight="false" outlineLevel="0" collapsed="false">
      <c r="A26" s="13" t="s">
        <v>60</v>
      </c>
      <c r="B26" s="13"/>
      <c r="C26" s="13"/>
    </row>
    <row r="27" customFormat="false" ht="15" hidden="false" customHeight="false" outlineLevel="0" collapsed="false">
      <c r="A27" s="14" t="s">
        <v>40</v>
      </c>
      <c r="B27" s="14" t="s">
        <v>41</v>
      </c>
      <c r="C27" s="14" t="s">
        <v>42</v>
      </c>
    </row>
    <row r="28" customFormat="false" ht="15" hidden="false" customHeight="false" outlineLevel="0" collapsed="false">
      <c r="A28" s="5" t="s">
        <v>43</v>
      </c>
      <c r="B28" s="5" t="s">
        <v>44</v>
      </c>
      <c r="C28" s="6" t="n">
        <v>0.8487</v>
      </c>
    </row>
    <row r="29" customFormat="false" ht="15" hidden="false" customHeight="false" outlineLevel="0" collapsed="false">
      <c r="A29" s="5" t="s">
        <v>45</v>
      </c>
      <c r="B29" s="5" t="s">
        <v>46</v>
      </c>
      <c r="C29" s="6" t="n">
        <v>0.8398</v>
      </c>
    </row>
    <row r="30" customFormat="false" ht="15" hidden="false" customHeight="false" outlineLevel="0" collapsed="false">
      <c r="A30" s="5" t="s">
        <v>48</v>
      </c>
      <c r="B30" s="5" t="s">
        <v>49</v>
      </c>
      <c r="C30" s="6" t="n">
        <v>0.8353</v>
      </c>
    </row>
    <row r="31" customFormat="false" ht="15" hidden="false" customHeight="false" outlineLevel="0" collapsed="false">
      <c r="A31" s="5" t="s">
        <v>45</v>
      </c>
      <c r="B31" s="5" t="s">
        <v>47</v>
      </c>
      <c r="C31" s="6" t="n">
        <v>0.8279</v>
      </c>
    </row>
    <row r="32" customFormat="false" ht="15" hidden="false" customHeight="false" outlineLevel="0" collapsed="false">
      <c r="A32" s="5" t="s">
        <v>56</v>
      </c>
      <c r="B32" s="5" t="s">
        <v>57</v>
      </c>
      <c r="C32" s="6" t="n">
        <v>0.8263</v>
      </c>
    </row>
    <row r="33" customFormat="false" ht="15" hidden="false" customHeight="false" outlineLevel="0" collapsed="false">
      <c r="A33" s="5" t="s">
        <v>61</v>
      </c>
      <c r="B33" s="5" t="s">
        <v>46</v>
      </c>
      <c r="C33" s="6" t="n">
        <v>0.8125</v>
      </c>
    </row>
    <row r="34" customFormat="false" ht="15" hidden="false" customHeight="false" outlineLevel="0" collapsed="false">
      <c r="A34" s="5" t="s">
        <v>62</v>
      </c>
      <c r="B34" s="5" t="s">
        <v>63</v>
      </c>
      <c r="C34" s="6" t="n">
        <v>0.8075</v>
      </c>
    </row>
    <row r="35" customFormat="false" ht="15" hidden="false" customHeight="false" outlineLevel="0" collapsed="false">
      <c r="A35" s="5" t="s">
        <v>61</v>
      </c>
      <c r="B35" s="5" t="s">
        <v>47</v>
      </c>
      <c r="C35" s="6" t="n">
        <v>0.807</v>
      </c>
    </row>
    <row r="36" customFormat="false" ht="15" hidden="false" customHeight="false" outlineLevel="0" collapsed="false">
      <c r="A36" s="5" t="s">
        <v>64</v>
      </c>
      <c r="B36" s="5" t="s">
        <v>65</v>
      </c>
      <c r="C36" s="6" t="n">
        <v>0.8065</v>
      </c>
    </row>
    <row r="37" customFormat="false" ht="15" hidden="false" customHeight="false" outlineLevel="0" collapsed="false">
      <c r="A37" s="5" t="s">
        <v>56</v>
      </c>
      <c r="B37" s="5" t="s">
        <v>47</v>
      </c>
      <c r="C37" s="6" t="n">
        <v>0.8064</v>
      </c>
    </row>
    <row r="38" customFormat="false" ht="15" hidden="false" customHeight="false" outlineLevel="0" collapsed="false">
      <c r="A38" s="15" t="s">
        <v>66</v>
      </c>
      <c r="B38" s="16" t="s">
        <v>52</v>
      </c>
      <c r="C38" s="17" t="n">
        <v>0.1853</v>
      </c>
    </row>
    <row r="39" customFormat="false" ht="15" hidden="false" customHeight="false" outlineLevel="0" collapsed="false">
      <c r="B39" s="18" t="s">
        <v>53</v>
      </c>
      <c r="C39" s="19" t="n">
        <f aca="false">COUNT(C28:C37)*C38</f>
        <v>1.853</v>
      </c>
    </row>
    <row r="41" customFormat="false" ht="15" hidden="false" customHeight="false" outlineLevel="0" collapsed="false">
      <c r="A41" s="13" t="s">
        <v>67</v>
      </c>
      <c r="B41" s="13"/>
      <c r="C41" s="13"/>
    </row>
    <row r="42" customFormat="false" ht="15" hidden="false" customHeight="false" outlineLevel="0" collapsed="false">
      <c r="A42" s="13" t="s">
        <v>68</v>
      </c>
      <c r="B42" s="13"/>
      <c r="C42" s="13"/>
    </row>
    <row r="43" customFormat="false" ht="15" hidden="false" customHeight="false" outlineLevel="0" collapsed="false">
      <c r="A43" s="13" t="s">
        <v>69</v>
      </c>
      <c r="B43" s="13"/>
      <c r="C43" s="13"/>
    </row>
    <row r="44" customFormat="false" ht="15" hidden="false" customHeight="false" outlineLevel="0" collapsed="false">
      <c r="A44" s="13" t="s">
        <v>70</v>
      </c>
      <c r="B44" s="13"/>
      <c r="C44" s="13"/>
    </row>
    <row r="45" customFormat="false" ht="15" hidden="false" customHeight="false" outlineLevel="0" collapsed="false">
      <c r="A45" s="13" t="s">
        <v>71</v>
      </c>
      <c r="B45" s="13"/>
      <c r="C45" s="13"/>
    </row>
    <row r="46" customFormat="false" ht="15" hidden="false" customHeight="false" outlineLevel="0" collapsed="false">
      <c r="A46" s="13" t="s">
        <v>72</v>
      </c>
      <c r="B46" s="13"/>
      <c r="C46" s="13"/>
    </row>
  </sheetData>
  <mergeCells count="12">
    <mergeCell ref="A4:C4"/>
    <mergeCell ref="A5:C5"/>
    <mergeCell ref="A15:C15"/>
    <mergeCell ref="A16:C16"/>
    <mergeCell ref="A25:C25"/>
    <mergeCell ref="A26:C26"/>
    <mergeCell ref="A41:C41"/>
    <mergeCell ref="A42:C42"/>
    <mergeCell ref="A43:C43"/>
    <mergeCell ref="A44:C44"/>
    <mergeCell ref="A45:C45"/>
    <mergeCell ref="A46:C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2026-07-22T00:05:32Z</dcterms:created>
  <dc:creator>openpyxl</dc:creator>
  <dc:description/>
  <dc:language>en-US</dc:language>
  <cp:lastModifiedBy/>
  <dcterms:modified xsi:type="dcterms:W3CDTF">2026-07-22T00:05:32Z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